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chlan McGinness\GithubRepositories\CONFOLD\"/>
    </mc:Choice>
  </mc:AlternateContent>
  <xr:revisionPtr revIDLastSave="0" documentId="13_ncr:1_{59EB8791-F4AB-42F5-88DC-6395E68A2F42}" xr6:coauthVersionLast="47" xr6:coauthVersionMax="47" xr10:uidLastSave="{00000000-0000-0000-0000-000000000000}"/>
  <bookViews>
    <workbookView xWindow="28680" yWindow="-120" windowWidth="29040" windowHeight="15720" xr2:uid="{FED06C44-3E91-4B07-8A28-C21F1FD0AFCA}"/>
  </bookViews>
  <sheets>
    <sheet name="strategy_experiment_2_30trials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5" i="1" l="1"/>
  <c r="Y29" i="1"/>
  <c r="W29" i="1" s="1"/>
  <c r="X35" i="1"/>
  <c r="X29" i="1"/>
  <c r="V29" i="1" s="1"/>
  <c r="AA25" i="1"/>
  <c r="Z25" i="1"/>
  <c r="Z9" i="1"/>
  <c r="Y12" i="1"/>
  <c r="AB25" i="1"/>
  <c r="T5" i="1"/>
  <c r="U5" i="1"/>
  <c r="V5" i="1"/>
  <c r="W5" i="1"/>
  <c r="T6" i="1"/>
  <c r="U6" i="1"/>
  <c r="V6" i="1"/>
  <c r="W6" i="1"/>
  <c r="T7" i="1"/>
  <c r="U7" i="1"/>
  <c r="V7" i="1"/>
  <c r="W7" i="1"/>
  <c r="T8" i="1"/>
  <c r="U8" i="1"/>
  <c r="V8" i="1"/>
  <c r="W8" i="1"/>
  <c r="U4" i="1"/>
  <c r="V4" i="1"/>
  <c r="W4" i="1"/>
  <c r="T4" i="1"/>
  <c r="N5" i="1"/>
  <c r="O5" i="1"/>
  <c r="P5" i="1"/>
  <c r="Q5" i="1"/>
  <c r="N6" i="1"/>
  <c r="O6" i="1"/>
  <c r="P6" i="1"/>
  <c r="Q6" i="1"/>
  <c r="N7" i="1"/>
  <c r="O7" i="1"/>
  <c r="P7" i="1"/>
  <c r="Q7" i="1"/>
  <c r="N8" i="1"/>
  <c r="O8" i="1"/>
  <c r="P8" i="1"/>
  <c r="Q8" i="1"/>
  <c r="O4" i="1"/>
  <c r="P4" i="1"/>
  <c r="Q4" i="1"/>
  <c r="N4" i="1"/>
  <c r="X31" i="1" l="1"/>
  <c r="Y31" i="1"/>
  <c r="AA35" i="1"/>
  <c r="W36" i="1" s="1"/>
  <c r="W35" i="1"/>
  <c r="V35" i="1"/>
  <c r="Z35" i="1"/>
  <c r="V36" i="1" s="1"/>
  <c r="AA29" i="1"/>
  <c r="AC25" i="1"/>
  <c r="Z18" i="1" s="1"/>
  <c r="Z16" i="1"/>
  <c r="Z29" i="1"/>
  <c r="U29" i="1"/>
  <c r="U36" i="1" l="1"/>
  <c r="V30" i="1"/>
  <c r="Z31" i="1"/>
  <c r="W30" i="1"/>
  <c r="AA31" i="1"/>
  <c r="U35" i="1"/>
  <c r="AD25" i="1"/>
  <c r="Z8" i="1"/>
  <c r="Z6" i="1"/>
  <c r="Z10" i="1"/>
  <c r="Z7" i="1"/>
  <c r="Z13" i="1" s="1"/>
  <c r="Z11" i="1"/>
  <c r="Z14" i="1"/>
  <c r="Z15" i="1"/>
  <c r="Z20" i="1" s="1"/>
  <c r="Z5" i="1"/>
  <c r="Z12" i="1" s="1"/>
  <c r="Z19" i="1"/>
  <c r="Z4" i="1"/>
  <c r="U30" i="1" l="1"/>
  <c r="U31" i="1" s="1"/>
  <c r="U37" i="1"/>
  <c r="U32" i="1"/>
</calcChain>
</file>

<file path=xl/sharedStrings.xml><?xml version="1.0" encoding="utf-8"?>
<sst xmlns="http://schemas.openxmlformats.org/spreadsheetml/2006/main" count="33776" uniqueCount="80">
  <si>
    <t>dataset</t>
  </si>
  <si>
    <t>strategy</t>
  </si>
  <si>
    <t>fit_method</t>
  </si>
  <si>
    <t>metric</t>
  </si>
  <si>
    <t>accuracy</t>
  </si>
  <si>
    <t>brier_score</t>
  </si>
  <si>
    <t>time</t>
  </si>
  <si>
    <t>num_rules</t>
  </si>
  <si>
    <t>num_preds</t>
  </si>
  <si>
    <t>trial_count</t>
  </si>
  <si>
    <t>Wine</t>
  </si>
  <si>
    <t>greedy</t>
  </si>
  <si>
    <t>FOLD-RM (fit)</t>
  </si>
  <si>
    <t>original</t>
  </si>
  <si>
    <t>information_gain</t>
  </si>
  <si>
    <t>Gini_Impurity</t>
  </si>
  <si>
    <t>Precision_Information_Gain</t>
  </si>
  <si>
    <t>Precision_Gini_Impurity</t>
  </si>
  <si>
    <t>CON-FOLD (confidence_fit)</t>
  </si>
  <si>
    <t>round_robin</t>
  </si>
  <si>
    <t>best_rule</t>
  </si>
  <si>
    <t>info_gain</t>
  </si>
  <si>
    <t>Ecoli</t>
  </si>
  <si>
    <t>Weight Lifting</t>
  </si>
  <si>
    <t>Wall Robot</t>
  </si>
  <si>
    <t>Page Blocks</t>
  </si>
  <si>
    <t>Nursery</t>
  </si>
  <si>
    <t>Dry Bean</t>
  </si>
  <si>
    <t>tp</t>
  </si>
  <si>
    <t>fp</t>
  </si>
  <si>
    <t>fn</t>
  </si>
  <si>
    <t>tn</t>
  </si>
  <si>
    <t>tot_p</t>
  </si>
  <si>
    <t>tot_n</t>
  </si>
  <si>
    <t>tot</t>
  </si>
  <si>
    <t>Example Values</t>
  </si>
  <si>
    <t>Precision</t>
  </si>
  <si>
    <t>TP Information gain</t>
  </si>
  <si>
    <t>TP Gini Impurity</t>
  </si>
  <si>
    <t>Reduced false positives</t>
  </si>
  <si>
    <t>increase</t>
  </si>
  <si>
    <t>decrease</t>
  </si>
  <si>
    <t>No Change</t>
  </si>
  <si>
    <t>Increases</t>
  </si>
  <si>
    <t>increases neg</t>
  </si>
  <si>
    <t>increase neg</t>
  </si>
  <si>
    <t>decreases</t>
  </si>
  <si>
    <t>Reduce true positive</t>
  </si>
  <si>
    <t>inf</t>
  </si>
  <si>
    <t>increases</t>
  </si>
  <si>
    <t>reduce fn</t>
  </si>
  <si>
    <t>no change</t>
  </si>
  <si>
    <t>decrease tn</t>
  </si>
  <si>
    <t>IG/P - inf</t>
  </si>
  <si>
    <t>IG/P</t>
  </si>
  <si>
    <t>low tp but high tn</t>
  </si>
  <si>
    <t>IG without intereference</t>
  </si>
  <si>
    <t>Mathews Correlation Coefficient</t>
  </si>
  <si>
    <t>decreaes</t>
  </si>
  <si>
    <t>log Odds ratio</t>
  </si>
  <si>
    <t>original with guard</t>
  </si>
  <si>
    <t>original reweight terms (difference between original and IG amplified)</t>
  </si>
  <si>
    <t>original remove tp and tn terms</t>
  </si>
  <si>
    <t>Mathews P</t>
  </si>
  <si>
    <t>entropy of pos</t>
  </si>
  <si>
    <t>entropy of neg</t>
  </si>
  <si>
    <t>actual pos</t>
  </si>
  <si>
    <t>actual neg</t>
  </si>
  <si>
    <t>P(tp)</t>
  </si>
  <si>
    <t>P(fp)</t>
  </si>
  <si>
    <t>P(fn)</t>
  </si>
  <si>
    <t>P(tn)</t>
  </si>
  <si>
    <t>Total entropy</t>
  </si>
  <si>
    <t>Normal entropy</t>
  </si>
  <si>
    <t>FOLD entropy</t>
  </si>
  <si>
    <t>Such rules are not allowed because fp + fn &gt; tp + tn</t>
  </si>
  <si>
    <t xml:space="preserve">fp </t>
  </si>
  <si>
    <t>Illustrative example with 200 actually positive examples and 200 actually negative examples.</t>
  </si>
  <si>
    <t>Illustrative example with 200 actually positive examples and 2000 actually negative examples</t>
  </si>
  <si>
    <t>Gini Impurity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</si>
</sst>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A7A69-E6D7-4DEA-82BB-A77A43101E41}">
  <dimension ref="A1:AE8401"/>
  <sheetViews>
    <sheetView tabSelected="1" topLeftCell="F28" workbookViewId="0">
      <selection activeCell="AD35" sqref="AD35"/>
    </sheetView>
  </sheetViews>
  <sheetFormatPr defaultRowHeight="15" x14ac:dyDescent="0.25"/>
  <cols>
    <col min="20" max="20" width="14.7109375" customWidth="1"/>
    <col min="22" max="22" width="15.140625" customWidth="1"/>
    <col min="23" max="23" width="14.140625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M1" t="s">
        <v>12</v>
      </c>
      <c r="S1" t="s">
        <v>12</v>
      </c>
    </row>
    <row r="2" spans="1:31" x14ac:dyDescent="0.25">
      <c r="A2" t="s">
        <v>10</v>
      </c>
      <c r="B2" t="s">
        <v>11</v>
      </c>
      <c r="C2" t="s">
        <v>12</v>
      </c>
      <c r="D2" t="s">
        <v>13</v>
      </c>
      <c r="E2">
        <v>0.94444444444444398</v>
      </c>
      <c r="F2">
        <v>0.96076686980277703</v>
      </c>
      <c r="G2">
        <v>0.79272413253784102</v>
      </c>
      <c r="H2">
        <v>7</v>
      </c>
      <c r="I2">
        <v>7</v>
      </c>
      <c r="J2">
        <v>30</v>
      </c>
      <c r="M2" t="s">
        <v>10</v>
      </c>
      <c r="N2" t="s">
        <v>1</v>
      </c>
      <c r="S2" t="s">
        <v>10</v>
      </c>
      <c r="T2" t="s">
        <v>1</v>
      </c>
    </row>
    <row r="3" spans="1:31" x14ac:dyDescent="0.25">
      <c r="A3" t="s">
        <v>10</v>
      </c>
      <c r="B3" t="s">
        <v>11</v>
      </c>
      <c r="C3" t="s">
        <v>12</v>
      </c>
      <c r="D3" t="s">
        <v>13</v>
      </c>
      <c r="E3">
        <v>0.88888888888888795</v>
      </c>
      <c r="F3">
        <v>0.91326623542777696</v>
      </c>
      <c r="G3">
        <v>1.09431624412536</v>
      </c>
      <c r="H3">
        <v>6</v>
      </c>
      <c r="I3">
        <v>6</v>
      </c>
      <c r="J3">
        <v>30</v>
      </c>
      <c r="M3" t="s">
        <v>3</v>
      </c>
      <c r="N3" t="s">
        <v>11</v>
      </c>
      <c r="O3" t="s">
        <v>19</v>
      </c>
      <c r="P3" t="s">
        <v>20</v>
      </c>
      <c r="Q3" t="s">
        <v>21</v>
      </c>
      <c r="S3" t="s">
        <v>3</v>
      </c>
      <c r="T3" t="s">
        <v>11</v>
      </c>
      <c r="U3" t="s">
        <v>19</v>
      </c>
      <c r="V3" t="s">
        <v>20</v>
      </c>
      <c r="W3" t="s">
        <v>21</v>
      </c>
      <c r="Z3" t="s">
        <v>35</v>
      </c>
      <c r="AA3" t="s">
        <v>39</v>
      </c>
      <c r="AB3" t="s">
        <v>47</v>
      </c>
      <c r="AC3" t="s">
        <v>50</v>
      </c>
      <c r="AD3" t="s">
        <v>52</v>
      </c>
      <c r="AE3" t="s">
        <v>55</v>
      </c>
    </row>
    <row r="4" spans="1:31" x14ac:dyDescent="0.25">
      <c r="A4" t="s">
        <v>10</v>
      </c>
      <c r="B4" t="s">
        <v>11</v>
      </c>
      <c r="C4" t="s">
        <v>12</v>
      </c>
      <c r="D4" t="s">
        <v>13</v>
      </c>
      <c r="E4">
        <v>1</v>
      </c>
      <c r="F4">
        <v>0.98797322804722199</v>
      </c>
      <c r="G4">
        <v>1.2385663986205999</v>
      </c>
      <c r="H4">
        <v>8</v>
      </c>
      <c r="I4">
        <v>8</v>
      </c>
      <c r="J4">
        <v>30</v>
      </c>
      <c r="M4" s="4" t="s">
        <v>13</v>
      </c>
      <c r="N4">
        <f>AVERAGEIFS($E:$E, $A:$A, $M$2, $C:$C, $M$1, $B:$B, N$3, $D:$D, $M4)</f>
        <v>0.9499999999999994</v>
      </c>
      <c r="O4">
        <f t="shared" ref="O4:Q8" si="0">AVERAGEIFS($E:$E, $A:$A, $M$2, $C:$C, $M$1, $B:$B, O$3, $D:$D, $M4)</f>
        <v>0.92592592592592537</v>
      </c>
      <c r="P4">
        <f t="shared" si="0"/>
        <v>0.92592592592592515</v>
      </c>
      <c r="Q4">
        <f t="shared" si="0"/>
        <v>0.93148148148148069</v>
      </c>
      <c r="S4" t="s">
        <v>13</v>
      </c>
      <c r="T4">
        <f>AVERAGEIFS($H:$H, $A:$A, $M$2, $C:$C, $M$1, $B:$B, T$3, $D:$D, $M4)</f>
        <v>7.5666666666666664</v>
      </c>
      <c r="U4">
        <f t="shared" ref="U4:W8" si="1">AVERAGEIFS($H:$H, $A:$A, $M$2, $C:$C, $M$1, $B:$B, U$3, $D:$D, $M4)</f>
        <v>8.4333333333333336</v>
      </c>
      <c r="V4">
        <f t="shared" si="1"/>
        <v>7.9666666666666668</v>
      </c>
      <c r="W4">
        <f t="shared" si="1"/>
        <v>7.5333333333333332</v>
      </c>
      <c r="Y4">
        <v>-0.69314718055994529</v>
      </c>
      <c r="Z4">
        <f>IF((X25 + AA25) &lt; (Y25 + Z25), "-inf",
    IF(X25 &gt; 0, (X25/AD25) * LN(X25/AB25), 0) +
    IF(Y25 &gt; 0, (Y25/AD25) * LN(Y25/AB25), 0) +
    IF(AA25 &gt; 0, (AA25/AD25) * LN(AA25/AC25), 0) +
    IF(Z25 &gt; 0, (Z25/AD25) * LN(Z25/AC25), 0)
)</f>
        <v>-0.3036004301020086</v>
      </c>
      <c r="AA4" s="1" t="s">
        <v>45</v>
      </c>
      <c r="AB4" s="1" t="s">
        <v>48</v>
      </c>
      <c r="AC4" s="1" t="s">
        <v>45</v>
      </c>
      <c r="AD4" s="1" t="s">
        <v>48</v>
      </c>
      <c r="AE4" s="2" t="s">
        <v>45</v>
      </c>
    </row>
    <row r="5" spans="1:31" x14ac:dyDescent="0.25">
      <c r="A5" t="s">
        <v>10</v>
      </c>
      <c r="B5" t="s">
        <v>11</v>
      </c>
      <c r="C5" t="s">
        <v>12</v>
      </c>
      <c r="D5" t="s">
        <v>13</v>
      </c>
      <c r="E5">
        <v>0.94444444444444398</v>
      </c>
      <c r="F5">
        <v>0.95116314036944405</v>
      </c>
      <c r="G5">
        <v>1.0863618850707999</v>
      </c>
      <c r="H5">
        <v>7</v>
      </c>
      <c r="I5">
        <v>7</v>
      </c>
      <c r="J5">
        <v>30</v>
      </c>
      <c r="M5" t="s">
        <v>14</v>
      </c>
      <c r="N5">
        <f t="shared" ref="N5:N8" si="2">AVERAGEIFS($E:$E, $A:$A, $M$2, $C:$C, $M$1, $B:$B, N$3, $D:$D, $M5)</f>
        <v>0.9490740740740734</v>
      </c>
      <c r="O5">
        <f t="shared" si="0"/>
        <v>0.91388888888888808</v>
      </c>
      <c r="P5">
        <f t="shared" si="0"/>
        <v>0.48888888888888843</v>
      </c>
      <c r="Q5">
        <f t="shared" si="0"/>
        <v>0.95370370370370294</v>
      </c>
      <c r="S5" t="s">
        <v>14</v>
      </c>
      <c r="T5">
        <f t="shared" ref="T5:T8" si="3">AVERAGEIFS($H:$H, $A:$A, $M$2, $C:$C, $M$1, $B:$B, T$3, $D:$D, $M5)</f>
        <v>7.4</v>
      </c>
      <c r="U5">
        <f t="shared" si="1"/>
        <v>8.2333333333333325</v>
      </c>
      <c r="V5">
        <f t="shared" si="1"/>
        <v>4.166666666666667</v>
      </c>
      <c r="W5">
        <f t="shared" si="1"/>
        <v>7.4333333333333336</v>
      </c>
      <c r="Y5">
        <v>-1.3862943611198906</v>
      </c>
      <c r="Z5">
        <f>IF((X25 + AA25) &lt; (Y25 + Z25), "-inf",
    IF(X25 &gt; 0, (X25/AB25) * LN(X25/AB25), 0) +
    IF(Y25 &gt; 0, (Y25/AB25) * LN(Y25/AB25), 0) +
    IF(AA25 &gt; 0, (AA25/AC25) * LN(AA25/AC25), 0) +
    IF(Z25 &gt; 0, (Z25/AC25) * LN(Z25/AC25), 0)
)</f>
        <v>-0.40502407903603366</v>
      </c>
      <c r="AA5" s="1" t="s">
        <v>45</v>
      </c>
      <c r="AB5" s="1" t="s">
        <v>48</v>
      </c>
      <c r="AC5" s="1" t="s">
        <v>45</v>
      </c>
      <c r="AD5" s="1" t="s">
        <v>48</v>
      </c>
      <c r="AE5" s="2" t="s">
        <v>45</v>
      </c>
    </row>
    <row r="6" spans="1:31" x14ac:dyDescent="0.25">
      <c r="A6" t="s">
        <v>10</v>
      </c>
      <c r="B6" t="s">
        <v>11</v>
      </c>
      <c r="C6" t="s">
        <v>12</v>
      </c>
      <c r="D6" t="s">
        <v>13</v>
      </c>
      <c r="E6">
        <v>0.94444444444444398</v>
      </c>
      <c r="F6">
        <v>0.94514845524722202</v>
      </c>
      <c r="G6">
        <v>1.12005710601806</v>
      </c>
      <c r="H6">
        <v>7</v>
      </c>
      <c r="I6">
        <v>7</v>
      </c>
      <c r="J6">
        <v>30</v>
      </c>
      <c r="M6" t="s">
        <v>15</v>
      </c>
      <c r="N6">
        <f t="shared" si="2"/>
        <v>3.0555555555555506E-2</v>
      </c>
      <c r="O6">
        <f t="shared" si="0"/>
        <v>0</v>
      </c>
      <c r="P6">
        <f t="shared" si="0"/>
        <v>2.2222222222222195E-2</v>
      </c>
      <c r="Q6">
        <f t="shared" si="0"/>
        <v>1.018518518518516E-2</v>
      </c>
      <c r="S6" t="s">
        <v>15</v>
      </c>
      <c r="T6">
        <f t="shared" si="3"/>
        <v>7.0333333333333332</v>
      </c>
      <c r="U6">
        <f t="shared" si="1"/>
        <v>3.3333333333333333E-2</v>
      </c>
      <c r="V6">
        <f t="shared" si="1"/>
        <v>7.9333333333333336</v>
      </c>
      <c r="W6">
        <f t="shared" si="1"/>
        <v>6.3</v>
      </c>
      <c r="Y6">
        <v>1</v>
      </c>
      <c r="Z6">
        <f>IF(OR(AB25=0, AC25=0), 0,
    (X25/AB25)*(1 - X25/AB25) +
    (Y25/AB25)*(1 - Y25/AB25) +
    (AA25/AC25)*(1 - AA25/AC25) +
    (Z25/AC25)*(1 - Z25/AC25)
)</f>
        <v>0.20649920284268311</v>
      </c>
      <c r="AA6" s="2" t="s">
        <v>41</v>
      </c>
      <c r="AB6" s="1" t="s">
        <v>41</v>
      </c>
      <c r="AC6" s="2" t="s">
        <v>41</v>
      </c>
      <c r="AD6" s="1" t="s">
        <v>41</v>
      </c>
      <c r="AE6" s="1" t="s">
        <v>41</v>
      </c>
    </row>
    <row r="7" spans="1:31" x14ac:dyDescent="0.25">
      <c r="A7" t="s">
        <v>10</v>
      </c>
      <c r="B7" t="s">
        <v>11</v>
      </c>
      <c r="C7" t="s">
        <v>12</v>
      </c>
      <c r="D7" t="s">
        <v>13</v>
      </c>
      <c r="E7">
        <v>0.94444444444444398</v>
      </c>
      <c r="F7">
        <v>0.945674978005555</v>
      </c>
      <c r="G7">
        <v>1.1329269409179601</v>
      </c>
      <c r="H7">
        <v>7</v>
      </c>
      <c r="I7">
        <v>7</v>
      </c>
      <c r="J7">
        <v>30</v>
      </c>
      <c r="M7" t="s">
        <v>16</v>
      </c>
      <c r="N7">
        <f t="shared" si="2"/>
        <v>0</v>
      </c>
      <c r="O7">
        <f t="shared" si="0"/>
        <v>0</v>
      </c>
      <c r="P7">
        <f t="shared" si="0"/>
        <v>0</v>
      </c>
      <c r="Q7">
        <f t="shared" si="0"/>
        <v>0</v>
      </c>
      <c r="S7" t="s">
        <v>16</v>
      </c>
      <c r="T7">
        <f t="shared" si="3"/>
        <v>0</v>
      </c>
      <c r="U7">
        <f t="shared" si="1"/>
        <v>0</v>
      </c>
      <c r="V7">
        <f t="shared" si="1"/>
        <v>0</v>
      </c>
      <c r="W7">
        <f t="shared" si="1"/>
        <v>0</v>
      </c>
      <c r="Y7">
        <v>-0.69314718055994529</v>
      </c>
      <c r="Z7">
        <f>IF(OR(AB25=0, AC25=0), 0,
    (X25 / (X25 + Y25)) * (
        IF(X25 &gt; 0, (X25/AB25) * LN(X25/AB25), 0) +
        IF(Y25 &gt; 0, (Y25/AB25) * LN(Y25/AB25), 0) +
        IF(AA25 &gt; 0, (AA25/AC25) * LN(AA25/AC25), 0) +
        IF(Z25 &gt; 0, (Z25/AC25) * LN(Z25/AC25), 0)
    )
)</f>
        <v>-7.9416486085496802E-3</v>
      </c>
      <c r="AA7" s="3" t="s">
        <v>42</v>
      </c>
      <c r="AB7" s="2" t="s">
        <v>49</v>
      </c>
      <c r="AC7" s="1" t="s">
        <v>45</v>
      </c>
      <c r="AD7" s="2" t="s">
        <v>49</v>
      </c>
      <c r="AE7" s="2" t="s">
        <v>45</v>
      </c>
    </row>
    <row r="8" spans="1:31" x14ac:dyDescent="0.25">
      <c r="A8" t="s">
        <v>10</v>
      </c>
      <c r="B8" t="s">
        <v>11</v>
      </c>
      <c r="C8" t="s">
        <v>12</v>
      </c>
      <c r="D8" t="s">
        <v>13</v>
      </c>
      <c r="E8">
        <v>0.97222222222222199</v>
      </c>
      <c r="F8">
        <v>0.96677734698888895</v>
      </c>
      <c r="G8">
        <v>1.1115367412567101</v>
      </c>
      <c r="H8">
        <v>7</v>
      </c>
      <c r="I8">
        <v>7</v>
      </c>
      <c r="J8">
        <v>30</v>
      </c>
      <c r="M8" t="s">
        <v>17</v>
      </c>
      <c r="N8">
        <f t="shared" si="2"/>
        <v>0.65833333333333277</v>
      </c>
      <c r="O8">
        <f t="shared" si="0"/>
        <v>0.61296296296296249</v>
      </c>
      <c r="P8">
        <f t="shared" si="0"/>
        <v>0.65462962962962901</v>
      </c>
      <c r="Q8">
        <f t="shared" si="0"/>
        <v>0.62499999999999956</v>
      </c>
      <c r="S8" t="s">
        <v>17</v>
      </c>
      <c r="T8">
        <f t="shared" si="3"/>
        <v>59.8</v>
      </c>
      <c r="U8">
        <f t="shared" si="1"/>
        <v>54.666666666666664</v>
      </c>
      <c r="V8">
        <f t="shared" si="1"/>
        <v>56.966666666666669</v>
      </c>
      <c r="W8">
        <f t="shared" si="1"/>
        <v>59.533333333333331</v>
      </c>
      <c r="Y8">
        <v>0.5</v>
      </c>
      <c r="Z8">
        <f>IF(OR(AB25=0, AC25=0), 0,
    (X25 / (X25 + Y25)) * (
        (X25/AB25)*(1 - X25/AB25) +
        (Y25/AB25)*(1 - Y25/AB25) +
        (AA25/AC25)*(1 - AA25/AC25) +
        (Z25/AC25)*(1 - Z25/AC25)
    )
)</f>
        <v>4.0490039773075116E-3</v>
      </c>
      <c r="AA8" s="3" t="s">
        <v>42</v>
      </c>
      <c r="AB8" s="1" t="s">
        <v>46</v>
      </c>
      <c r="AC8" s="2" t="s">
        <v>41</v>
      </c>
      <c r="AD8" s="1" t="s">
        <v>46</v>
      </c>
      <c r="AE8" s="1" t="s">
        <v>41</v>
      </c>
    </row>
    <row r="9" spans="1:31" x14ac:dyDescent="0.25">
      <c r="A9" t="s">
        <v>10</v>
      </c>
      <c r="B9" t="s">
        <v>11</v>
      </c>
      <c r="C9" t="s">
        <v>12</v>
      </c>
      <c r="D9" t="s">
        <v>13</v>
      </c>
      <c r="E9">
        <v>1</v>
      </c>
      <c r="F9">
        <v>0.99148717688333299</v>
      </c>
      <c r="G9">
        <v>1.11822414398193</v>
      </c>
      <c r="H9">
        <v>8</v>
      </c>
      <c r="I9">
        <v>8</v>
      </c>
      <c r="J9">
        <v>30</v>
      </c>
      <c r="M9" t="s">
        <v>36</v>
      </c>
      <c r="Y9">
        <v>0.5</v>
      </c>
      <c r="Z9">
        <f>IF(X25=0, "-inf", X25 / (X25 + Y25))</f>
        <v>1.9607843137254902E-2</v>
      </c>
      <c r="AA9" s="1" t="s">
        <v>43</v>
      </c>
      <c r="AB9" s="1" t="s">
        <v>46</v>
      </c>
      <c r="AC9" s="3" t="s">
        <v>51</v>
      </c>
      <c r="AD9" s="1" t="s">
        <v>46</v>
      </c>
      <c r="AE9" s="1" t="s">
        <v>41</v>
      </c>
    </row>
    <row r="10" spans="1:31" x14ac:dyDescent="0.25">
      <c r="A10" t="s">
        <v>10</v>
      </c>
      <c r="B10" t="s">
        <v>11</v>
      </c>
      <c r="C10" t="s">
        <v>12</v>
      </c>
      <c r="D10" t="s">
        <v>13</v>
      </c>
      <c r="E10">
        <v>0.97222222222222199</v>
      </c>
      <c r="F10">
        <v>0.97232729916388805</v>
      </c>
      <c r="G10">
        <v>1.2233192920684799</v>
      </c>
      <c r="H10">
        <v>7</v>
      </c>
      <c r="I10">
        <v>7</v>
      </c>
      <c r="J10">
        <v>30</v>
      </c>
      <c r="M10" t="s">
        <v>37</v>
      </c>
      <c r="Y10">
        <v>-138.62943611198907</v>
      </c>
      <c r="Z10">
        <f>IF(OR(AB25=0, AC25=0), 0,
    X25 * (
        IF(X25 &gt; 0, (X25/AB25) * LN(X25/AB25), 0) +
        IF(Y25 &gt; 0, (Y25/AB25) * LN(Y25/AB25), 0) +
        IF(AA25 &gt; 0, (AA25/AC25) * LN(AA25/AC25), 0) +
        IF(Z25 &gt; 0, (Z25/AC25) * LN(Z25/AC25), 0)
    )
)</f>
        <v>-0.40502407903603366</v>
      </c>
      <c r="AA10" s="1" t="s">
        <v>44</v>
      </c>
      <c r="AB10" s="2" t="s">
        <v>44</v>
      </c>
      <c r="AC10" s="1" t="s">
        <v>45</v>
      </c>
      <c r="AD10" s="2" t="s">
        <v>44</v>
      </c>
      <c r="AE10" s="2" t="s">
        <v>45</v>
      </c>
    </row>
    <row r="11" spans="1:31" x14ac:dyDescent="0.25">
      <c r="A11" t="s">
        <v>10</v>
      </c>
      <c r="B11" t="s">
        <v>11</v>
      </c>
      <c r="C11" t="s">
        <v>12</v>
      </c>
      <c r="D11" t="s">
        <v>13</v>
      </c>
      <c r="E11">
        <v>0.97222222222222199</v>
      </c>
      <c r="F11">
        <v>0.97238711958333301</v>
      </c>
      <c r="G11">
        <v>1.1770329475402801</v>
      </c>
      <c r="H11">
        <v>8</v>
      </c>
      <c r="I11">
        <v>8</v>
      </c>
      <c r="J11">
        <v>30</v>
      </c>
      <c r="M11" t="s">
        <v>38</v>
      </c>
      <c r="Y11">
        <v>100</v>
      </c>
      <c r="Z11">
        <f>IF(OR(AB25=0, AC25=0), 0,
    X25 * (
        (X25/AB25)*(1 - X25/AB25) +
        (Y25/AB25)*(1 - Y25/AB25) +
        (AA25/AC25)*(1 - AA25/AC25) +
        (Z25/AC25)*(1 - Z25/AC25)
    )
)</f>
        <v>0.20649920284268311</v>
      </c>
      <c r="AA11" s="2" t="s">
        <v>46</v>
      </c>
      <c r="AB11" s="1" t="s">
        <v>46</v>
      </c>
      <c r="AC11" s="2" t="s">
        <v>46</v>
      </c>
      <c r="AD11" s="1" t="s">
        <v>46</v>
      </c>
      <c r="AE11" s="1" t="s">
        <v>41</v>
      </c>
    </row>
    <row r="12" spans="1:31" x14ac:dyDescent="0.25">
      <c r="A12" t="s">
        <v>10</v>
      </c>
      <c r="B12" t="s">
        <v>11</v>
      </c>
      <c r="C12" t="s">
        <v>12</v>
      </c>
      <c r="D12" t="s">
        <v>13</v>
      </c>
      <c r="E12">
        <v>0.97222222222222199</v>
      </c>
      <c r="F12">
        <v>0.97282543630277696</v>
      </c>
      <c r="G12">
        <v>1.32454180717468</v>
      </c>
      <c r="H12">
        <v>7</v>
      </c>
      <c r="I12">
        <v>7</v>
      </c>
      <c r="J12">
        <v>30</v>
      </c>
      <c r="M12" s="4" t="s">
        <v>53</v>
      </c>
      <c r="Y12">
        <f>Y5/Y9</f>
        <v>-2.7725887222397811</v>
      </c>
      <c r="Z12">
        <f>Z5/Z9</f>
        <v>-20.656228030837717</v>
      </c>
      <c r="AA12" s="1" t="s">
        <v>45</v>
      </c>
      <c r="AB12" s="1" t="s">
        <v>48</v>
      </c>
      <c r="AC12" s="1" t="s">
        <v>45</v>
      </c>
      <c r="AD12" s="1" t="s">
        <v>48</v>
      </c>
      <c r="AE12" s="1" t="s">
        <v>41</v>
      </c>
    </row>
    <row r="13" spans="1:31" x14ac:dyDescent="0.25">
      <c r="A13" t="s">
        <v>10</v>
      </c>
      <c r="B13" t="s">
        <v>11</v>
      </c>
      <c r="C13" t="s">
        <v>12</v>
      </c>
      <c r="D13" t="s">
        <v>13</v>
      </c>
      <c r="E13">
        <v>1</v>
      </c>
      <c r="F13">
        <v>0.99210274231666595</v>
      </c>
      <c r="G13">
        <v>1.3898131847381501</v>
      </c>
      <c r="H13">
        <v>8</v>
      </c>
      <c r="I13">
        <v>8</v>
      </c>
      <c r="J13">
        <v>30</v>
      </c>
      <c r="M13" t="s">
        <v>54</v>
      </c>
      <c r="Y13">
        <v>-2.7725887222397811</v>
      </c>
      <c r="Z13">
        <f>Z7/Z9^2</f>
        <v>-20.656228030837717</v>
      </c>
      <c r="AA13" s="1" t="s">
        <v>45</v>
      </c>
      <c r="AB13" s="1" t="s">
        <v>41</v>
      </c>
      <c r="AC13" s="1" t="s">
        <v>45</v>
      </c>
      <c r="AD13" s="2" t="s">
        <v>40</v>
      </c>
      <c r="AE13" s="1" t="s">
        <v>41</v>
      </c>
    </row>
    <row r="14" spans="1:31" x14ac:dyDescent="0.25">
      <c r="A14" t="s">
        <v>10</v>
      </c>
      <c r="B14" t="s">
        <v>11</v>
      </c>
      <c r="C14" t="s">
        <v>12</v>
      </c>
      <c r="D14" t="s">
        <v>13</v>
      </c>
      <c r="E14">
        <v>0.94444444444444398</v>
      </c>
      <c r="F14">
        <v>0.94122246752777705</v>
      </c>
      <c r="G14">
        <v>1.22994661331176</v>
      </c>
      <c r="H14">
        <v>7</v>
      </c>
      <c r="I14">
        <v>7</v>
      </c>
      <c r="J14">
        <v>30</v>
      </c>
      <c r="M14" t="s">
        <v>56</v>
      </c>
      <c r="Y14">
        <v>-1.3862943611198906</v>
      </c>
      <c r="Z14">
        <f xml:space="preserve">
    IF(X25 &gt; 0, (X25/AB25) * LN(X25/AB25), 0) +
    IF(Y25 &gt; 0, (Y25/AB25) * LN(Y25/AB25), 0) +
    IF(AA25 &gt; 0, (AA25/AC25) * LN(AA25/AC25), 0) +
    IF(Z25 &gt; 0, (Z25/AC25) * LN(Z25/AC25), 0)</f>
        <v>-0.40502407903603366</v>
      </c>
      <c r="AA14" s="1" t="s">
        <v>45</v>
      </c>
      <c r="AB14" s="1" t="s">
        <v>41</v>
      </c>
      <c r="AC14" s="1" t="s">
        <v>45</v>
      </c>
      <c r="AD14" s="2" t="s">
        <v>40</v>
      </c>
      <c r="AE14" s="1" t="s">
        <v>41</v>
      </c>
    </row>
    <row r="15" spans="1:31" x14ac:dyDescent="0.25">
      <c r="A15" t="s">
        <v>10</v>
      </c>
      <c r="B15" t="s">
        <v>11</v>
      </c>
      <c r="C15" t="s">
        <v>12</v>
      </c>
      <c r="D15" t="s">
        <v>13</v>
      </c>
      <c r="E15">
        <v>0.97222222222222199</v>
      </c>
      <c r="F15">
        <v>0.97252549243888797</v>
      </c>
      <c r="G15">
        <v>1.2672088146209699</v>
      </c>
      <c r="H15">
        <v>8</v>
      </c>
      <c r="I15">
        <v>8</v>
      </c>
      <c r="J15">
        <v>30</v>
      </c>
      <c r="M15" s="4" t="s">
        <v>57</v>
      </c>
      <c r="Y15">
        <v>0</v>
      </c>
      <c r="Z15">
        <f>(X25*AA25-Y25*Z25)/SQRT(AB25*AC25*(X25+Z25)*(Y25+AA25))</f>
        <v>-3.8208210302969864E-2</v>
      </c>
      <c r="AA15" s="1" t="s">
        <v>49</v>
      </c>
      <c r="AB15" s="1" t="s">
        <v>58</v>
      </c>
      <c r="AC15" s="1" t="s">
        <v>49</v>
      </c>
      <c r="AD15" s="1" t="s">
        <v>46</v>
      </c>
      <c r="AE15" s="1" t="s">
        <v>46</v>
      </c>
    </row>
    <row r="16" spans="1:31" x14ac:dyDescent="0.25">
      <c r="A16" t="s">
        <v>10</v>
      </c>
      <c r="B16" t="s">
        <v>11</v>
      </c>
      <c r="C16" t="s">
        <v>12</v>
      </c>
      <c r="D16" t="s">
        <v>13</v>
      </c>
      <c r="E16">
        <v>0.91666666666666596</v>
      </c>
      <c r="F16">
        <v>0.927551716372222</v>
      </c>
      <c r="G16">
        <v>1.5318181514739899</v>
      </c>
      <c r="H16">
        <v>7</v>
      </c>
      <c r="I16">
        <v>7</v>
      </c>
      <c r="J16">
        <v>30</v>
      </c>
      <c r="M16" s="4" t="s">
        <v>59</v>
      </c>
      <c r="Y16">
        <v>0</v>
      </c>
      <c r="Z16">
        <f>LOG(X25*AA25/Y25/Z25)</f>
        <v>-0.7077884693832075</v>
      </c>
      <c r="AA16" s="1" t="s">
        <v>49</v>
      </c>
      <c r="AB16" s="1" t="s">
        <v>46</v>
      </c>
      <c r="AC16" s="1" t="s">
        <v>49</v>
      </c>
      <c r="AD16" s="1" t="s">
        <v>46</v>
      </c>
      <c r="AE16" s="1" t="s">
        <v>46</v>
      </c>
    </row>
    <row r="17" spans="1:31" x14ac:dyDescent="0.25">
      <c r="A17" t="s">
        <v>10</v>
      </c>
      <c r="B17" t="s">
        <v>11</v>
      </c>
      <c r="C17" t="s">
        <v>12</v>
      </c>
      <c r="D17" t="s">
        <v>13</v>
      </c>
      <c r="E17">
        <v>1</v>
      </c>
      <c r="F17">
        <v>0.99059151971666604</v>
      </c>
      <c r="G17">
        <v>1.2811815738677901</v>
      </c>
      <c r="H17">
        <v>8</v>
      </c>
      <c r="I17">
        <v>8</v>
      </c>
      <c r="J17">
        <v>30</v>
      </c>
      <c r="M17" s="4" t="s">
        <v>60</v>
      </c>
    </row>
    <row r="18" spans="1:31" x14ac:dyDescent="0.25">
      <c r="A18" t="s">
        <v>10</v>
      </c>
      <c r="B18" t="s">
        <v>11</v>
      </c>
      <c r="C18" t="s">
        <v>12</v>
      </c>
      <c r="D18" t="s">
        <v>13</v>
      </c>
      <c r="E18">
        <v>1</v>
      </c>
      <c r="F18">
        <v>0.99026713464722205</v>
      </c>
      <c r="G18">
        <v>1.3537402153015099</v>
      </c>
      <c r="H18">
        <v>8</v>
      </c>
      <c r="I18">
        <v>8</v>
      </c>
      <c r="J18">
        <v>30</v>
      </c>
      <c r="M18" s="4" t="s">
        <v>61</v>
      </c>
      <c r="Y18">
        <v>-1.3862943611198906</v>
      </c>
      <c r="Z18">
        <f>IF((X25 + AA25) &lt; (Y25 + Z25), "-inf",
    IF(X25 &gt; 0, (X25/AC25) * LN(X25/AC25), 0) +
    IF(Y25 &gt; 0, (Y25/AC25) * LN(Y25/AC25), 0) +
    IF(AA25 &gt; 0, (AA25/AB25) * LN(AA25/AB25), 0) +
    IF(Z25 &gt; 0, (Z25/AB25) * LN(Z25/AB25), 0)
)</f>
        <v>144.54156616105365</v>
      </c>
      <c r="AA18" s="1" t="s">
        <v>40</v>
      </c>
      <c r="AB18" s="1" t="s">
        <v>48</v>
      </c>
      <c r="AC18" s="1" t="s">
        <v>40</v>
      </c>
      <c r="AD18" s="1" t="s">
        <v>48</v>
      </c>
      <c r="AE18" s="2" t="s">
        <v>40</v>
      </c>
    </row>
    <row r="19" spans="1:31" x14ac:dyDescent="0.25">
      <c r="A19" t="s">
        <v>10</v>
      </c>
      <c r="B19" t="s">
        <v>11</v>
      </c>
      <c r="C19" t="s">
        <v>12</v>
      </c>
      <c r="D19" t="s">
        <v>13</v>
      </c>
      <c r="E19">
        <v>0.94444444444444398</v>
      </c>
      <c r="F19">
        <v>0.93802368416666604</v>
      </c>
      <c r="G19">
        <v>1.32509565353393</v>
      </c>
      <c r="H19">
        <v>7</v>
      </c>
      <c r="I19">
        <v>7</v>
      </c>
      <c r="J19">
        <v>30</v>
      </c>
      <c r="M19" s="4" t="s">
        <v>62</v>
      </c>
      <c r="Y19">
        <v>-0.34657359027997264</v>
      </c>
      <c r="Z19">
        <f>IF((X25 + AA25) &lt; (Y25 + Z25), "-inf",
    IF(Y25 &gt; 0, (Y25/AD25) * LN(Y25/AB25), 0) +
    IF(Z25 &gt; 0, (Z25/AD25) * LN(Z25/AC25), 0)
)</f>
        <v>-0.21568240576204301</v>
      </c>
      <c r="AA19" s="1" t="s">
        <v>40</v>
      </c>
      <c r="AB19" s="1" t="s">
        <v>48</v>
      </c>
      <c r="AC19" s="1" t="s">
        <v>40</v>
      </c>
      <c r="AD19" s="1" t="s">
        <v>48</v>
      </c>
      <c r="AE19" s="2" t="s">
        <v>40</v>
      </c>
    </row>
    <row r="20" spans="1:31" x14ac:dyDescent="0.25">
      <c r="A20" t="s">
        <v>10</v>
      </c>
      <c r="B20" t="s">
        <v>11</v>
      </c>
      <c r="C20" t="s">
        <v>12</v>
      </c>
      <c r="D20" t="s">
        <v>13</v>
      </c>
      <c r="E20">
        <v>0.94444444444444398</v>
      </c>
      <c r="F20">
        <v>0.94340420562222205</v>
      </c>
      <c r="G20">
        <v>1.3158445358276301</v>
      </c>
      <c r="H20">
        <v>7</v>
      </c>
      <c r="I20">
        <v>7</v>
      </c>
      <c r="J20">
        <v>30</v>
      </c>
      <c r="M20" s="4" t="s">
        <v>63</v>
      </c>
      <c r="Y20">
        <v>0</v>
      </c>
      <c r="Z20">
        <f>Z15*(1+Z9)</f>
        <v>-3.8957390897145741E-2</v>
      </c>
      <c r="AA20" s="1" t="s">
        <v>40</v>
      </c>
      <c r="AB20" s="1" t="s">
        <v>41</v>
      </c>
      <c r="AC20" s="1" t="s">
        <v>40</v>
      </c>
      <c r="AD20" s="1" t="s">
        <v>41</v>
      </c>
      <c r="AE20" s="1" t="s">
        <v>41</v>
      </c>
    </row>
    <row r="21" spans="1:31" x14ac:dyDescent="0.25">
      <c r="A21" t="s">
        <v>10</v>
      </c>
      <c r="B21" t="s">
        <v>11</v>
      </c>
      <c r="C21" t="s">
        <v>12</v>
      </c>
      <c r="D21" t="s">
        <v>13</v>
      </c>
      <c r="E21">
        <v>0.86111111111111105</v>
      </c>
      <c r="F21">
        <v>0.88737876526388804</v>
      </c>
      <c r="G21">
        <v>1.42849922180175</v>
      </c>
      <c r="H21">
        <v>9</v>
      </c>
      <c r="I21">
        <v>9</v>
      </c>
      <c r="J21">
        <v>30</v>
      </c>
    </row>
    <row r="22" spans="1:31" x14ac:dyDescent="0.25">
      <c r="A22" t="s">
        <v>10</v>
      </c>
      <c r="B22" t="s">
        <v>11</v>
      </c>
      <c r="C22" t="s">
        <v>12</v>
      </c>
      <c r="D22" t="s">
        <v>13</v>
      </c>
      <c r="E22">
        <v>0.97222222222222199</v>
      </c>
      <c r="F22">
        <v>0.97929029176944404</v>
      </c>
      <c r="G22">
        <v>1.3709590435028001</v>
      </c>
      <c r="H22">
        <v>7</v>
      </c>
      <c r="I22">
        <v>8</v>
      </c>
      <c r="J22">
        <v>30</v>
      </c>
    </row>
    <row r="23" spans="1:31" x14ac:dyDescent="0.25">
      <c r="A23" t="s">
        <v>10</v>
      </c>
      <c r="B23" t="s">
        <v>11</v>
      </c>
      <c r="C23" t="s">
        <v>12</v>
      </c>
      <c r="D23" t="s">
        <v>13</v>
      </c>
      <c r="E23">
        <v>0.97222222222222199</v>
      </c>
      <c r="F23">
        <v>0.97434319971388805</v>
      </c>
      <c r="G23">
        <v>1.39214611053466</v>
      </c>
      <c r="H23">
        <v>8</v>
      </c>
      <c r="I23">
        <v>9</v>
      </c>
      <c r="J23">
        <v>30</v>
      </c>
    </row>
    <row r="24" spans="1:31" x14ac:dyDescent="0.25">
      <c r="A24" t="s">
        <v>10</v>
      </c>
      <c r="B24" t="s">
        <v>11</v>
      </c>
      <c r="C24" t="s">
        <v>12</v>
      </c>
      <c r="D24" t="s">
        <v>13</v>
      </c>
      <c r="E24">
        <v>0.94444444444444398</v>
      </c>
      <c r="F24">
        <v>0.95025474971388801</v>
      </c>
      <c r="G24">
        <v>1.50484943389892</v>
      </c>
      <c r="H24">
        <v>8</v>
      </c>
      <c r="I24">
        <v>8</v>
      </c>
      <c r="J24">
        <v>30</v>
      </c>
      <c r="U24" t="s">
        <v>66</v>
      </c>
      <c r="V24" t="s">
        <v>67</v>
      </c>
      <c r="X24" t="s">
        <v>28</v>
      </c>
      <c r="Y24" t="s">
        <v>29</v>
      </c>
      <c r="Z24" t="s">
        <v>30</v>
      </c>
      <c r="AA24" t="s">
        <v>31</v>
      </c>
      <c r="AB24" t="s">
        <v>32</v>
      </c>
      <c r="AC24" t="s">
        <v>33</v>
      </c>
      <c r="AD24" t="s">
        <v>34</v>
      </c>
    </row>
    <row r="25" spans="1:31" x14ac:dyDescent="0.25">
      <c r="A25" t="s">
        <v>10</v>
      </c>
      <c r="B25" t="s">
        <v>11</v>
      </c>
      <c r="C25" t="s">
        <v>12</v>
      </c>
      <c r="D25" t="s">
        <v>13</v>
      </c>
      <c r="E25">
        <v>1</v>
      </c>
      <c r="F25">
        <v>0.98900736180833304</v>
      </c>
      <c r="G25">
        <v>1.51962494850158</v>
      </c>
      <c r="H25">
        <v>8</v>
      </c>
      <c r="I25">
        <v>8</v>
      </c>
      <c r="J25">
        <v>30</v>
      </c>
      <c r="U25">
        <v>200</v>
      </c>
      <c r="V25">
        <v>2000</v>
      </c>
      <c r="X25">
        <v>1</v>
      </c>
      <c r="Y25">
        <v>50</v>
      </c>
      <c r="Z25">
        <f>U25-X25</f>
        <v>199</v>
      </c>
      <c r="AA25">
        <f>V25-Y25</f>
        <v>1950</v>
      </c>
      <c r="AB25">
        <f>Y25+X25</f>
        <v>51</v>
      </c>
      <c r="AC25">
        <f>Z25+AA25</f>
        <v>2149</v>
      </c>
      <c r="AD25">
        <f>AB25+AC25</f>
        <v>2200</v>
      </c>
    </row>
    <row r="26" spans="1:31" x14ac:dyDescent="0.25">
      <c r="A26" t="s">
        <v>10</v>
      </c>
      <c r="B26" t="s">
        <v>11</v>
      </c>
      <c r="C26" t="s">
        <v>12</v>
      </c>
      <c r="D26" t="s">
        <v>13</v>
      </c>
      <c r="E26">
        <v>0.94444444444444398</v>
      </c>
      <c r="F26">
        <v>0.96469792145</v>
      </c>
      <c r="G26">
        <v>1.4639074802398599</v>
      </c>
      <c r="H26">
        <v>9</v>
      </c>
      <c r="I26">
        <v>9</v>
      </c>
      <c r="J26">
        <v>30</v>
      </c>
    </row>
    <row r="27" spans="1:31" x14ac:dyDescent="0.25">
      <c r="A27" t="s">
        <v>10</v>
      </c>
      <c r="B27" t="s">
        <v>11</v>
      </c>
      <c r="C27" t="s">
        <v>12</v>
      </c>
      <c r="D27" t="s">
        <v>13</v>
      </c>
      <c r="E27">
        <v>1</v>
      </c>
      <c r="F27">
        <v>0.98500084165833302</v>
      </c>
      <c r="G27">
        <v>1.3783733844757</v>
      </c>
      <c r="H27">
        <v>8</v>
      </c>
      <c r="I27">
        <v>9</v>
      </c>
      <c r="J27">
        <v>30</v>
      </c>
    </row>
    <row r="28" spans="1:31" x14ac:dyDescent="0.25">
      <c r="A28" t="s">
        <v>10</v>
      </c>
      <c r="B28" t="s">
        <v>11</v>
      </c>
      <c r="C28" t="s">
        <v>12</v>
      </c>
      <c r="D28" t="s">
        <v>13</v>
      </c>
      <c r="E28">
        <v>0.88888888888888795</v>
      </c>
      <c r="F28">
        <v>0.89786202514166602</v>
      </c>
      <c r="G28">
        <v>1.41090607643127</v>
      </c>
      <c r="H28">
        <v>8</v>
      </c>
      <c r="I28">
        <v>9</v>
      </c>
      <c r="J28">
        <v>30</v>
      </c>
      <c r="V28" t="b">
        <v>1</v>
      </c>
      <c r="W28" t="b">
        <v>0</v>
      </c>
      <c r="X28" t="s">
        <v>68</v>
      </c>
      <c r="Y28" t="s">
        <v>69</v>
      </c>
      <c r="Z28" t="s">
        <v>70</v>
      </c>
      <c r="AA28" t="s">
        <v>71</v>
      </c>
    </row>
    <row r="29" spans="1:31" x14ac:dyDescent="0.25">
      <c r="A29" t="s">
        <v>10</v>
      </c>
      <c r="B29" t="s">
        <v>11</v>
      </c>
      <c r="C29" t="s">
        <v>12</v>
      </c>
      <c r="D29" t="s">
        <v>13</v>
      </c>
      <c r="E29">
        <v>0.86111111111111105</v>
      </c>
      <c r="F29">
        <v>0.87186596660833304</v>
      </c>
      <c r="G29">
        <v>1.4476296901702801</v>
      </c>
      <c r="H29">
        <v>7</v>
      </c>
      <c r="I29">
        <v>7</v>
      </c>
      <c r="J29">
        <v>30</v>
      </c>
      <c r="T29" t="s">
        <v>64</v>
      </c>
      <c r="U29">
        <f>V29+W29</f>
        <v>4.1913309101839519E-2</v>
      </c>
      <c r="V29">
        <f>IF(X29=0,0,-X29*LOG(X29))</f>
        <v>3.3481768158783065E-2</v>
      </c>
      <c r="W29">
        <f>IF(Y29=0, 0, -Y29*LOG(Y29))</f>
        <v>8.4315409430564502E-3</v>
      </c>
      <c r="X29">
        <f>X25/(X25+Y25)</f>
        <v>1.9607843137254902E-2</v>
      </c>
      <c r="Y29">
        <f>Y25/(X25+Y25)</f>
        <v>0.98039215686274506</v>
      </c>
      <c r="Z29">
        <f>Z25/(Z25+AA25)</f>
        <v>9.2601209865053519E-2</v>
      </c>
      <c r="AA29">
        <f>AA25/(Z25+AA25)</f>
        <v>0.90739879013494651</v>
      </c>
    </row>
    <row r="30" spans="1:31" x14ac:dyDescent="0.25">
      <c r="A30" t="s">
        <v>10</v>
      </c>
      <c r="B30" t="s">
        <v>11</v>
      </c>
      <c r="C30" t="s">
        <v>12</v>
      </c>
      <c r="D30" t="s">
        <v>13</v>
      </c>
      <c r="E30">
        <v>0.91666666666666596</v>
      </c>
      <c r="F30">
        <v>0.92743422444444401</v>
      </c>
      <c r="G30">
        <v>1.45813512802124</v>
      </c>
      <c r="H30">
        <v>7</v>
      </c>
      <c r="I30">
        <v>8</v>
      </c>
      <c r="J30">
        <v>30</v>
      </c>
      <c r="T30" t="s">
        <v>65</v>
      </c>
      <c r="U30">
        <f>V30+W30</f>
        <v>0.13398641346145646</v>
      </c>
      <c r="V30">
        <f>IF(Z29=0,0,-Z29*LOG(Z29))</f>
        <v>9.569254745335766E-2</v>
      </c>
      <c r="W30">
        <f>IF(AA29=0,0,-AA29*LOG(AA29))</f>
        <v>3.8293866008098802E-2</v>
      </c>
    </row>
    <row r="31" spans="1:31" x14ac:dyDescent="0.25">
      <c r="A31" t="s">
        <v>10</v>
      </c>
      <c r="B31" t="s">
        <v>11</v>
      </c>
      <c r="C31" t="s">
        <v>12</v>
      </c>
      <c r="D31" t="s">
        <v>13</v>
      </c>
      <c r="E31">
        <v>0.86111111111111105</v>
      </c>
      <c r="F31">
        <v>0.89939729808333302</v>
      </c>
      <c r="G31">
        <v>1.4278092384338299</v>
      </c>
      <c r="H31">
        <v>9</v>
      </c>
      <c r="I31">
        <v>8</v>
      </c>
      <c r="J31">
        <v>30</v>
      </c>
      <c r="T31" t="s">
        <v>72</v>
      </c>
      <c r="U31">
        <f>U30+U29</f>
        <v>0.17589972256329597</v>
      </c>
      <c r="X31">
        <f>X29*(1-X29)</f>
        <v>1.9223375624759707E-2</v>
      </c>
      <c r="Y31">
        <f>Y29*(1-Y29)</f>
        <v>1.9223375624759748E-2</v>
      </c>
      <c r="Z31">
        <f>Z29*(1-Z29)</f>
        <v>8.4026225796581838E-2</v>
      </c>
      <c r="AA31">
        <f>AA29*(1-AA29)</f>
        <v>8.402622579658181E-2</v>
      </c>
    </row>
    <row r="32" spans="1:31" x14ac:dyDescent="0.25">
      <c r="A32" t="s">
        <v>10</v>
      </c>
      <c r="B32" t="s">
        <v>11</v>
      </c>
      <c r="C32" t="s">
        <v>12</v>
      </c>
      <c r="D32" t="s">
        <v>14</v>
      </c>
      <c r="E32">
        <v>0.97222222222222199</v>
      </c>
      <c r="F32">
        <v>0.96727091541666599</v>
      </c>
      <c r="G32">
        <v>0.63391757011413497</v>
      </c>
      <c r="H32">
        <v>7</v>
      </c>
      <c r="I32">
        <v>7</v>
      </c>
      <c r="J32">
        <v>30</v>
      </c>
      <c r="T32" t="s">
        <v>79</v>
      </c>
      <c r="U32">
        <f>SUM(X31:AA31)</f>
        <v>0.20649920284268311</v>
      </c>
    </row>
    <row r="33" spans="1:27" x14ac:dyDescent="0.25">
      <c r="A33" t="s">
        <v>10</v>
      </c>
      <c r="B33" t="s">
        <v>11</v>
      </c>
      <c r="C33" t="s">
        <v>12</v>
      </c>
      <c r="D33" t="s">
        <v>14</v>
      </c>
      <c r="E33">
        <v>0.94444444444444398</v>
      </c>
      <c r="F33">
        <v>0.94081356964999996</v>
      </c>
      <c r="G33">
        <v>0.65832638740539495</v>
      </c>
      <c r="H33">
        <v>7</v>
      </c>
      <c r="I33">
        <v>7</v>
      </c>
      <c r="J33">
        <v>30</v>
      </c>
    </row>
    <row r="34" spans="1:27" x14ac:dyDescent="0.25">
      <c r="A34" t="s">
        <v>10</v>
      </c>
      <c r="B34" t="s">
        <v>11</v>
      </c>
      <c r="C34" t="s">
        <v>12</v>
      </c>
      <c r="D34" t="s">
        <v>14</v>
      </c>
      <c r="E34">
        <v>0.86111111111111105</v>
      </c>
      <c r="F34">
        <v>0.88341356443888797</v>
      </c>
      <c r="G34">
        <v>0.63743877410888605</v>
      </c>
      <c r="H34">
        <v>7</v>
      </c>
      <c r="I34">
        <v>7</v>
      </c>
      <c r="J34">
        <v>30</v>
      </c>
      <c r="T34" t="s">
        <v>74</v>
      </c>
      <c r="V34" t="b">
        <v>1</v>
      </c>
      <c r="W34" t="b">
        <v>0</v>
      </c>
      <c r="X34" t="s">
        <v>68</v>
      </c>
      <c r="Y34" t="s">
        <v>69</v>
      </c>
      <c r="Z34" t="s">
        <v>70</v>
      </c>
      <c r="AA34" t="s">
        <v>71</v>
      </c>
    </row>
    <row r="35" spans="1:27" x14ac:dyDescent="0.25">
      <c r="A35" t="s">
        <v>10</v>
      </c>
      <c r="B35" t="s">
        <v>11</v>
      </c>
      <c r="C35" t="s">
        <v>12</v>
      </c>
      <c r="D35" t="s">
        <v>14</v>
      </c>
      <c r="E35">
        <v>0.94444444444444398</v>
      </c>
      <c r="F35">
        <v>0.94783303399166596</v>
      </c>
      <c r="G35">
        <v>0.67922234535217196</v>
      </c>
      <c r="H35">
        <v>7</v>
      </c>
      <c r="I35">
        <v>7</v>
      </c>
      <c r="J35">
        <v>30</v>
      </c>
      <c r="T35" t="s">
        <v>64</v>
      </c>
      <c r="U35">
        <f>V35+W35</f>
        <v>9.7162671099718882E-4</v>
      </c>
      <c r="V35">
        <f>IF(X35=0,0,-X25/SUM(X25:AA25)*LOG(X35))</f>
        <v>7.7616826186269834E-4</v>
      </c>
      <c r="W35">
        <f>IF(Y35=0, 0, -Y25/SUM(X25:AA25)*LOG(Y35))</f>
        <v>1.9545844913449045E-4</v>
      </c>
      <c r="X35">
        <f>X25/(X25+Y25)</f>
        <v>1.9607843137254902E-2</v>
      </c>
      <c r="Y35">
        <f>Y25/(X25+Y25)</f>
        <v>0.98039215686274506</v>
      </c>
      <c r="Z35">
        <f>Z25/(Z25+AA25)</f>
        <v>9.2601209865053519E-2</v>
      </c>
      <c r="AA35">
        <f>AA25/(Z25+AA25)</f>
        <v>0.90739879013494651</v>
      </c>
    </row>
    <row r="36" spans="1:27" x14ac:dyDescent="0.25">
      <c r="A36" t="s">
        <v>10</v>
      </c>
      <c r="B36" t="s">
        <v>11</v>
      </c>
      <c r="C36" t="s">
        <v>12</v>
      </c>
      <c r="D36" t="s">
        <v>14</v>
      </c>
      <c r="E36">
        <v>0.91666666666666596</v>
      </c>
      <c r="F36">
        <v>0.91489324811388895</v>
      </c>
      <c r="G36">
        <v>0.69960474967956499</v>
      </c>
      <c r="H36">
        <v>8</v>
      </c>
      <c r="I36">
        <v>8</v>
      </c>
      <c r="J36">
        <v>30</v>
      </c>
      <c r="T36" t="s">
        <v>65</v>
      </c>
      <c r="U36">
        <f>V36+W36</f>
        <v>0.13088036478575904</v>
      </c>
      <c r="V36">
        <f>IF(Z35=0,0,-Z25/SUM(X25:AA25)*LOG(Z35))</f>
        <v>9.3474220216938908E-2</v>
      </c>
      <c r="W36">
        <f>IF(AA35=0,0,-AA25/SUM(X25:AA25)*LOG(AA35))</f>
        <v>3.7406144568820146E-2</v>
      </c>
    </row>
    <row r="37" spans="1:27" x14ac:dyDescent="0.25">
      <c r="A37" t="s">
        <v>10</v>
      </c>
      <c r="B37" t="s">
        <v>11</v>
      </c>
      <c r="C37" t="s">
        <v>12</v>
      </c>
      <c r="D37" t="s">
        <v>14</v>
      </c>
      <c r="E37">
        <v>1</v>
      </c>
      <c r="F37">
        <v>0.98071593585555505</v>
      </c>
      <c r="G37">
        <v>0.689600229263305</v>
      </c>
      <c r="H37">
        <v>8</v>
      </c>
      <c r="I37">
        <v>8</v>
      </c>
      <c r="J37">
        <v>30</v>
      </c>
      <c r="T37" t="s">
        <v>72</v>
      </c>
      <c r="U37">
        <f>U36+U35</f>
        <v>0.13185199149675622</v>
      </c>
    </row>
    <row r="38" spans="1:27" x14ac:dyDescent="0.25">
      <c r="A38" t="s">
        <v>10</v>
      </c>
      <c r="B38" t="s">
        <v>11</v>
      </c>
      <c r="C38" t="s">
        <v>12</v>
      </c>
      <c r="D38" t="s">
        <v>14</v>
      </c>
      <c r="E38">
        <v>0.97222222222222199</v>
      </c>
      <c r="F38">
        <v>0.95788386933611103</v>
      </c>
      <c r="G38">
        <v>0.69960474967956499</v>
      </c>
      <c r="H38">
        <v>7</v>
      </c>
      <c r="I38">
        <v>7</v>
      </c>
      <c r="J38">
        <v>30</v>
      </c>
    </row>
    <row r="39" spans="1:27" x14ac:dyDescent="0.25">
      <c r="A39" t="s">
        <v>10</v>
      </c>
      <c r="B39" t="s">
        <v>11</v>
      </c>
      <c r="C39" t="s">
        <v>12</v>
      </c>
      <c r="D39" t="s">
        <v>14</v>
      </c>
      <c r="E39">
        <v>0.91666666666666596</v>
      </c>
      <c r="F39">
        <v>0.92237666333888801</v>
      </c>
      <c r="G39">
        <v>0.71159029006957997</v>
      </c>
      <c r="H39">
        <v>7</v>
      </c>
      <c r="I39">
        <v>7</v>
      </c>
      <c r="J39">
        <v>30</v>
      </c>
      <c r="Y39" t="s">
        <v>75</v>
      </c>
    </row>
    <row r="40" spans="1:27" x14ac:dyDescent="0.25">
      <c r="A40" t="s">
        <v>10</v>
      </c>
      <c r="B40" t="s">
        <v>11</v>
      </c>
      <c r="C40" t="s">
        <v>12</v>
      </c>
      <c r="D40" t="s">
        <v>14</v>
      </c>
      <c r="E40">
        <v>0.97222222222222199</v>
      </c>
      <c r="F40">
        <v>0.95884295223611105</v>
      </c>
      <c r="G40">
        <v>0.63743877410888605</v>
      </c>
      <c r="H40">
        <v>8</v>
      </c>
      <c r="I40">
        <v>8</v>
      </c>
      <c r="J40">
        <v>30</v>
      </c>
      <c r="T40" t="s">
        <v>77</v>
      </c>
    </row>
    <row r="41" spans="1:27" x14ac:dyDescent="0.25">
      <c r="A41" t="s">
        <v>10</v>
      </c>
      <c r="B41" t="s">
        <v>11</v>
      </c>
      <c r="C41" t="s">
        <v>12</v>
      </c>
      <c r="D41" t="s">
        <v>14</v>
      </c>
      <c r="E41">
        <v>0.94444444444444398</v>
      </c>
      <c r="F41">
        <v>0.94130232380555501</v>
      </c>
      <c r="G41">
        <v>0.73058009147643999</v>
      </c>
      <c r="H41">
        <v>7</v>
      </c>
      <c r="I41">
        <v>7</v>
      </c>
      <c r="J41">
        <v>30</v>
      </c>
      <c r="T41" t="s">
        <v>76</v>
      </c>
      <c r="U41" t="s">
        <v>31</v>
      </c>
      <c r="V41" t="s">
        <v>28</v>
      </c>
      <c r="W41" t="s">
        <v>30</v>
      </c>
      <c r="X41" t="s">
        <v>73</v>
      </c>
      <c r="Y41" t="s">
        <v>74</v>
      </c>
      <c r="Z41" t="s">
        <v>79</v>
      </c>
    </row>
    <row r="42" spans="1:27" x14ac:dyDescent="0.25">
      <c r="A42" t="s">
        <v>10</v>
      </c>
      <c r="B42" t="s">
        <v>11</v>
      </c>
      <c r="C42" t="s">
        <v>12</v>
      </c>
      <c r="D42" t="s">
        <v>14</v>
      </c>
      <c r="E42">
        <v>0.97222222222222199</v>
      </c>
      <c r="F42">
        <v>0.96436736601666595</v>
      </c>
      <c r="G42">
        <v>0.70033025741577104</v>
      </c>
      <c r="H42">
        <v>8</v>
      </c>
      <c r="I42">
        <v>8</v>
      </c>
      <c r="J42">
        <v>30</v>
      </c>
      <c r="T42">
        <v>50</v>
      </c>
      <c r="U42">
        <v>150</v>
      </c>
      <c r="V42">
        <v>1</v>
      </c>
      <c r="W42">
        <v>199</v>
      </c>
      <c r="X42">
        <v>0.33864861839946125</v>
      </c>
      <c r="Y42">
        <v>0.26424550427265947</v>
      </c>
      <c r="Z42">
        <v>0.52859051033195714</v>
      </c>
    </row>
    <row r="43" spans="1:27" x14ac:dyDescent="0.25">
      <c r="A43" t="s">
        <v>10</v>
      </c>
      <c r="B43" t="s">
        <v>11</v>
      </c>
      <c r="C43" t="s">
        <v>12</v>
      </c>
      <c r="D43" t="s">
        <v>14</v>
      </c>
      <c r="E43">
        <v>0.86111111111111105</v>
      </c>
      <c r="F43">
        <v>0.89185754171111098</v>
      </c>
      <c r="G43">
        <v>0.73233509063720703</v>
      </c>
      <c r="H43">
        <v>6</v>
      </c>
      <c r="I43">
        <v>6</v>
      </c>
      <c r="J43">
        <v>30</v>
      </c>
      <c r="T43">
        <v>50</v>
      </c>
      <c r="U43">
        <v>150</v>
      </c>
      <c r="V43">
        <v>2</v>
      </c>
      <c r="W43">
        <v>198</v>
      </c>
      <c r="X43">
        <v>0.36768583846578018</v>
      </c>
      <c r="Y43">
        <v>0.26749448506038864</v>
      </c>
      <c r="Z43">
        <v>0.56445201190467809</v>
      </c>
    </row>
    <row r="44" spans="1:27" x14ac:dyDescent="0.25">
      <c r="A44" t="s">
        <v>10</v>
      </c>
      <c r="B44" t="s">
        <v>11</v>
      </c>
      <c r="C44" t="s">
        <v>12</v>
      </c>
      <c r="D44" t="s">
        <v>14</v>
      </c>
      <c r="E44">
        <v>1</v>
      </c>
      <c r="F44">
        <v>0.98935562152500001</v>
      </c>
      <c r="G44">
        <v>0.74359512329101496</v>
      </c>
      <c r="H44">
        <v>8</v>
      </c>
      <c r="I44">
        <v>8</v>
      </c>
      <c r="J44">
        <v>30</v>
      </c>
      <c r="T44">
        <v>50</v>
      </c>
      <c r="U44">
        <v>150</v>
      </c>
      <c r="V44">
        <v>5</v>
      </c>
      <c r="W44">
        <v>195</v>
      </c>
      <c r="X44">
        <v>0.42962684773756632</v>
      </c>
      <c r="Y44">
        <v>0.27463436852484691</v>
      </c>
      <c r="Z44">
        <v>0.65678263994125829</v>
      </c>
    </row>
    <row r="45" spans="1:27" x14ac:dyDescent="0.25">
      <c r="A45" t="s">
        <v>10</v>
      </c>
      <c r="B45" t="s">
        <v>11</v>
      </c>
      <c r="C45" t="s">
        <v>12</v>
      </c>
      <c r="D45" t="s">
        <v>14</v>
      </c>
      <c r="E45">
        <v>0.94444444444444398</v>
      </c>
      <c r="F45">
        <v>0.950691219322222</v>
      </c>
      <c r="G45">
        <v>0.74359512329101496</v>
      </c>
      <c r="H45">
        <v>7</v>
      </c>
      <c r="I45">
        <v>7</v>
      </c>
      <c r="J45">
        <v>30</v>
      </c>
    </row>
    <row r="46" spans="1:27" x14ac:dyDescent="0.25">
      <c r="A46" t="s">
        <v>10</v>
      </c>
      <c r="B46" t="s">
        <v>11</v>
      </c>
      <c r="C46" t="s">
        <v>12</v>
      </c>
      <c r="D46" t="s">
        <v>14</v>
      </c>
      <c r="E46">
        <v>0.91666666666666596</v>
      </c>
      <c r="F46">
        <v>0.93816143924999995</v>
      </c>
      <c r="G46">
        <v>0.74995040893554599</v>
      </c>
      <c r="H46">
        <v>7</v>
      </c>
      <c r="I46">
        <v>7</v>
      </c>
      <c r="J46">
        <v>30</v>
      </c>
    </row>
    <row r="47" spans="1:27" x14ac:dyDescent="0.25">
      <c r="A47" t="s">
        <v>10</v>
      </c>
      <c r="B47" t="s">
        <v>11</v>
      </c>
      <c r="C47" t="s">
        <v>12</v>
      </c>
      <c r="D47" t="s">
        <v>14</v>
      </c>
      <c r="E47">
        <v>0.91666666666666596</v>
      </c>
      <c r="F47">
        <v>0.91338936164444395</v>
      </c>
      <c r="G47">
        <v>0.74995040893554599</v>
      </c>
      <c r="H47">
        <v>7</v>
      </c>
      <c r="I47">
        <v>7</v>
      </c>
      <c r="J47">
        <v>30</v>
      </c>
      <c r="T47" t="s">
        <v>78</v>
      </c>
    </row>
    <row r="48" spans="1:27" x14ac:dyDescent="0.25">
      <c r="A48" t="s">
        <v>10</v>
      </c>
      <c r="B48" t="s">
        <v>11</v>
      </c>
      <c r="C48" t="s">
        <v>12</v>
      </c>
      <c r="D48" t="s">
        <v>14</v>
      </c>
      <c r="E48">
        <v>0.97222222222222199</v>
      </c>
      <c r="F48">
        <v>0.96401269773333298</v>
      </c>
      <c r="G48">
        <v>0.77147388458251898</v>
      </c>
      <c r="H48">
        <v>7</v>
      </c>
      <c r="I48">
        <v>7</v>
      </c>
      <c r="J48">
        <v>30</v>
      </c>
      <c r="T48" t="s">
        <v>29</v>
      </c>
      <c r="U48" t="s">
        <v>31</v>
      </c>
      <c r="V48" t="s">
        <v>28</v>
      </c>
      <c r="W48" t="s">
        <v>30</v>
      </c>
      <c r="X48" t="s">
        <v>73</v>
      </c>
      <c r="Y48" t="s">
        <v>74</v>
      </c>
      <c r="Z48" t="s">
        <v>79</v>
      </c>
    </row>
    <row r="49" spans="1:26" x14ac:dyDescent="0.25">
      <c r="A49" t="s">
        <v>10</v>
      </c>
      <c r="B49" t="s">
        <v>11</v>
      </c>
      <c r="C49" t="s">
        <v>12</v>
      </c>
      <c r="D49" t="s">
        <v>14</v>
      </c>
      <c r="E49">
        <v>0.91666666666666596</v>
      </c>
      <c r="F49">
        <v>0.92727600059722204</v>
      </c>
      <c r="G49">
        <v>0.76424813270568803</v>
      </c>
      <c r="H49">
        <v>7</v>
      </c>
      <c r="I49">
        <v>7</v>
      </c>
      <c r="J49">
        <v>30</v>
      </c>
      <c r="T49">
        <v>50</v>
      </c>
      <c r="U49">
        <v>1950</v>
      </c>
      <c r="V49">
        <v>1</v>
      </c>
      <c r="W49">
        <v>199</v>
      </c>
      <c r="X49">
        <v>0.17589972256329597</v>
      </c>
      <c r="Y49">
        <v>0.13185199149675622</v>
      </c>
      <c r="Z49">
        <v>0.20649920284268311</v>
      </c>
    </row>
    <row r="50" spans="1:26" x14ac:dyDescent="0.25">
      <c r="A50" t="s">
        <v>10</v>
      </c>
      <c r="B50" t="s">
        <v>11</v>
      </c>
      <c r="C50" t="s">
        <v>12</v>
      </c>
      <c r="D50" t="s">
        <v>14</v>
      </c>
      <c r="E50">
        <v>0.97222222222222199</v>
      </c>
      <c r="F50">
        <v>0.97309170180555504</v>
      </c>
      <c r="G50">
        <v>0.77047514915466297</v>
      </c>
      <c r="H50">
        <v>8</v>
      </c>
      <c r="I50">
        <v>8</v>
      </c>
      <c r="J50">
        <v>30</v>
      </c>
      <c r="T50">
        <v>50</v>
      </c>
      <c r="U50">
        <v>1950</v>
      </c>
      <c r="V50">
        <v>2</v>
      </c>
      <c r="W50">
        <v>198</v>
      </c>
      <c r="X50">
        <v>0.20436750071036783</v>
      </c>
      <c r="Y50">
        <v>0.13208365494877095</v>
      </c>
      <c r="Z50">
        <v>0.24132818731325933</v>
      </c>
    </row>
    <row r="51" spans="1:26" x14ac:dyDescent="0.25">
      <c r="A51" t="s">
        <v>10</v>
      </c>
      <c r="B51" t="s">
        <v>11</v>
      </c>
      <c r="C51" t="s">
        <v>12</v>
      </c>
      <c r="D51" t="s">
        <v>14</v>
      </c>
      <c r="E51">
        <v>0.91666666666666596</v>
      </c>
      <c r="F51">
        <v>0.92252643169444404</v>
      </c>
      <c r="G51">
        <v>0.78378415107726995</v>
      </c>
      <c r="H51">
        <v>7</v>
      </c>
      <c r="I51">
        <v>7</v>
      </c>
      <c r="J51">
        <v>30</v>
      </c>
      <c r="T51">
        <v>50</v>
      </c>
      <c r="U51">
        <v>1950</v>
      </c>
      <c r="V51">
        <v>5</v>
      </c>
      <c r="W51">
        <v>195</v>
      </c>
      <c r="X51">
        <v>0.26460355213463194</v>
      </c>
      <c r="Y51">
        <v>0.13230177606731597</v>
      </c>
      <c r="Z51">
        <v>0.33057851239669428</v>
      </c>
    </row>
    <row r="52" spans="1:26" x14ac:dyDescent="0.25">
      <c r="A52" t="s">
        <v>10</v>
      </c>
      <c r="B52" t="s">
        <v>11</v>
      </c>
      <c r="C52" t="s">
        <v>12</v>
      </c>
      <c r="D52" t="s">
        <v>14</v>
      </c>
      <c r="E52">
        <v>0.94444444444444398</v>
      </c>
      <c r="F52">
        <v>0.93339384224166599</v>
      </c>
      <c r="G52">
        <v>0.78484702110290505</v>
      </c>
      <c r="H52">
        <v>8</v>
      </c>
      <c r="I52">
        <v>8</v>
      </c>
      <c r="J52">
        <v>30</v>
      </c>
    </row>
    <row r="53" spans="1:26" x14ac:dyDescent="0.25">
      <c r="A53" t="s">
        <v>10</v>
      </c>
      <c r="B53" t="s">
        <v>11</v>
      </c>
      <c r="C53" t="s">
        <v>12</v>
      </c>
      <c r="D53" t="s">
        <v>14</v>
      </c>
      <c r="E53">
        <v>1</v>
      </c>
      <c r="F53">
        <v>0.991363346255555</v>
      </c>
      <c r="G53">
        <v>0.78784656524658203</v>
      </c>
      <c r="H53">
        <v>8</v>
      </c>
      <c r="I53">
        <v>8</v>
      </c>
      <c r="J53">
        <v>30</v>
      </c>
    </row>
    <row r="54" spans="1:26" x14ac:dyDescent="0.25">
      <c r="A54" t="s">
        <v>10</v>
      </c>
      <c r="B54" t="s">
        <v>11</v>
      </c>
      <c r="C54" t="s">
        <v>12</v>
      </c>
      <c r="D54" t="s">
        <v>14</v>
      </c>
      <c r="E54">
        <v>0.94444444444444398</v>
      </c>
      <c r="F54">
        <v>0.95053373821944398</v>
      </c>
      <c r="G54">
        <v>0.79660630226135198</v>
      </c>
      <c r="H54">
        <v>7</v>
      </c>
      <c r="I54">
        <v>7</v>
      </c>
      <c r="J54">
        <v>30</v>
      </c>
    </row>
    <row r="55" spans="1:26" x14ac:dyDescent="0.25">
      <c r="A55" t="s">
        <v>10</v>
      </c>
      <c r="B55" t="s">
        <v>11</v>
      </c>
      <c r="C55" t="s">
        <v>12</v>
      </c>
      <c r="D55" t="s">
        <v>14</v>
      </c>
      <c r="E55">
        <v>0.97222222222222199</v>
      </c>
      <c r="F55">
        <v>0.95746914111111103</v>
      </c>
      <c r="G55">
        <v>0.73992729187011697</v>
      </c>
      <c r="H55">
        <v>7</v>
      </c>
      <c r="I55">
        <v>7</v>
      </c>
      <c r="J55">
        <v>30</v>
      </c>
    </row>
    <row r="56" spans="1:26" x14ac:dyDescent="0.25">
      <c r="A56" t="s">
        <v>10</v>
      </c>
      <c r="B56" t="s">
        <v>11</v>
      </c>
      <c r="C56" t="s">
        <v>12</v>
      </c>
      <c r="D56" t="s">
        <v>14</v>
      </c>
      <c r="E56">
        <v>1</v>
      </c>
      <c r="F56">
        <v>0.99038219440833297</v>
      </c>
      <c r="G56">
        <v>0.79935145378112704</v>
      </c>
      <c r="H56">
        <v>8</v>
      </c>
      <c r="I56">
        <v>8</v>
      </c>
      <c r="J56">
        <v>30</v>
      </c>
    </row>
    <row r="57" spans="1:26" x14ac:dyDescent="0.25">
      <c r="A57" t="s">
        <v>10</v>
      </c>
      <c r="B57" t="s">
        <v>11</v>
      </c>
      <c r="C57" t="s">
        <v>12</v>
      </c>
      <c r="D57" t="s">
        <v>14</v>
      </c>
      <c r="E57">
        <v>0.94444444444444398</v>
      </c>
      <c r="F57">
        <v>0.942092054566666</v>
      </c>
      <c r="G57">
        <v>0.81304669380187899</v>
      </c>
      <c r="H57">
        <v>8</v>
      </c>
      <c r="I57">
        <v>8</v>
      </c>
      <c r="J57">
        <v>30</v>
      </c>
    </row>
    <row r="58" spans="1:26" x14ac:dyDescent="0.25">
      <c r="A58" t="s">
        <v>10</v>
      </c>
      <c r="B58" t="s">
        <v>11</v>
      </c>
      <c r="C58" t="s">
        <v>12</v>
      </c>
      <c r="D58" t="s">
        <v>14</v>
      </c>
      <c r="E58">
        <v>0.97222222222222199</v>
      </c>
      <c r="F58">
        <v>0.96660584760000001</v>
      </c>
      <c r="G58">
        <v>0.27735829353332497</v>
      </c>
      <c r="H58">
        <v>7</v>
      </c>
      <c r="I58">
        <v>7</v>
      </c>
      <c r="J58">
        <v>30</v>
      </c>
    </row>
    <row r="59" spans="1:26" x14ac:dyDescent="0.25">
      <c r="A59" t="s">
        <v>10</v>
      </c>
      <c r="B59" t="s">
        <v>11</v>
      </c>
      <c r="C59" t="s">
        <v>12</v>
      </c>
      <c r="D59" t="s">
        <v>14</v>
      </c>
      <c r="E59">
        <v>0.94444444444444398</v>
      </c>
      <c r="F59">
        <v>0.94500752133888799</v>
      </c>
      <c r="G59">
        <v>0.79910659790038996</v>
      </c>
      <c r="H59">
        <v>8</v>
      </c>
      <c r="I59">
        <v>7</v>
      </c>
      <c r="J59">
        <v>30</v>
      </c>
    </row>
    <row r="60" spans="1:26" x14ac:dyDescent="0.25">
      <c r="A60" t="s">
        <v>10</v>
      </c>
      <c r="B60" t="s">
        <v>11</v>
      </c>
      <c r="C60" t="s">
        <v>12</v>
      </c>
      <c r="D60" t="s">
        <v>14</v>
      </c>
      <c r="E60">
        <v>0.91666666666666596</v>
      </c>
      <c r="F60">
        <v>0.91723679322499996</v>
      </c>
      <c r="G60">
        <v>0.27735829353332497</v>
      </c>
      <c r="H60">
        <v>8</v>
      </c>
      <c r="I60">
        <v>8</v>
      </c>
      <c r="J60">
        <v>30</v>
      </c>
    </row>
    <row r="61" spans="1:26" x14ac:dyDescent="0.25">
      <c r="A61" t="s">
        <v>10</v>
      </c>
      <c r="B61" t="s">
        <v>11</v>
      </c>
      <c r="C61" t="s">
        <v>12</v>
      </c>
      <c r="D61" t="s">
        <v>14</v>
      </c>
      <c r="E61">
        <v>1</v>
      </c>
      <c r="F61">
        <v>0.98935562152500001</v>
      </c>
      <c r="G61">
        <v>0.73058009147643999</v>
      </c>
      <c r="H61">
        <v>8</v>
      </c>
      <c r="I61">
        <v>8</v>
      </c>
      <c r="J61">
        <v>30</v>
      </c>
    </row>
    <row r="62" spans="1:26" x14ac:dyDescent="0.25">
      <c r="A62" t="s">
        <v>10</v>
      </c>
      <c r="B62" t="s">
        <v>11</v>
      </c>
      <c r="C62" t="s">
        <v>12</v>
      </c>
      <c r="D62" t="s">
        <v>15</v>
      </c>
      <c r="E62">
        <v>2.77777777777777E-2</v>
      </c>
      <c r="F62">
        <v>0.75131944444444398</v>
      </c>
      <c r="G62">
        <v>3.03508400917053</v>
      </c>
      <c r="H62">
        <v>1</v>
      </c>
      <c r="I62">
        <v>3</v>
      </c>
      <c r="J62">
        <v>30</v>
      </c>
    </row>
    <row r="63" spans="1:26" x14ac:dyDescent="0.25">
      <c r="A63" t="s">
        <v>10</v>
      </c>
      <c r="B63" t="s">
        <v>11</v>
      </c>
      <c r="C63" t="s">
        <v>12</v>
      </c>
      <c r="D63" t="s">
        <v>15</v>
      </c>
      <c r="E63">
        <v>0</v>
      </c>
      <c r="F63">
        <v>0.75</v>
      </c>
      <c r="G63">
        <v>3.4455862045288002</v>
      </c>
      <c r="H63">
        <v>2</v>
      </c>
      <c r="I63">
        <v>5</v>
      </c>
      <c r="J63">
        <v>30</v>
      </c>
    </row>
    <row r="64" spans="1:26" x14ac:dyDescent="0.25">
      <c r="A64" t="s">
        <v>10</v>
      </c>
      <c r="B64" t="s">
        <v>11</v>
      </c>
      <c r="C64" t="s">
        <v>12</v>
      </c>
      <c r="D64" t="s">
        <v>15</v>
      </c>
      <c r="E64">
        <v>2.77777777777777E-2</v>
      </c>
      <c r="F64">
        <v>0.75131944444444398</v>
      </c>
      <c r="G64">
        <v>5.2001211643218896</v>
      </c>
      <c r="H64">
        <v>2</v>
      </c>
      <c r="I64">
        <v>6</v>
      </c>
      <c r="J64">
        <v>30</v>
      </c>
    </row>
    <row r="65" spans="1:10" x14ac:dyDescent="0.25">
      <c r="A65" t="s">
        <v>10</v>
      </c>
      <c r="B65" t="s">
        <v>11</v>
      </c>
      <c r="C65" t="s">
        <v>12</v>
      </c>
      <c r="D65" t="s">
        <v>15</v>
      </c>
      <c r="E65">
        <v>0</v>
      </c>
      <c r="F65">
        <v>0.75</v>
      </c>
      <c r="G65">
        <v>5.35446977615356</v>
      </c>
      <c r="H65">
        <v>2</v>
      </c>
      <c r="I65">
        <v>7</v>
      </c>
      <c r="J65">
        <v>30</v>
      </c>
    </row>
    <row r="66" spans="1:10" x14ac:dyDescent="0.25">
      <c r="A66" t="s">
        <v>10</v>
      </c>
      <c r="B66" t="s">
        <v>11</v>
      </c>
      <c r="C66" t="s">
        <v>12</v>
      </c>
      <c r="D66" t="s">
        <v>15</v>
      </c>
      <c r="E66">
        <v>0</v>
      </c>
      <c r="F66">
        <v>0.75</v>
      </c>
      <c r="G66">
        <v>6.4694099426269496</v>
      </c>
      <c r="H66">
        <v>4</v>
      </c>
      <c r="I66">
        <v>10</v>
      </c>
      <c r="J66">
        <v>30</v>
      </c>
    </row>
    <row r="67" spans="1:10" x14ac:dyDescent="0.25">
      <c r="A67" t="s">
        <v>10</v>
      </c>
      <c r="B67" t="s">
        <v>11</v>
      </c>
      <c r="C67" t="s">
        <v>12</v>
      </c>
      <c r="D67" t="s">
        <v>15</v>
      </c>
      <c r="E67">
        <v>0</v>
      </c>
      <c r="F67">
        <v>0.75</v>
      </c>
      <c r="G67">
        <v>7.1685504913329998</v>
      </c>
      <c r="H67">
        <v>3</v>
      </c>
      <c r="I67">
        <v>11</v>
      </c>
      <c r="J67">
        <v>30</v>
      </c>
    </row>
    <row r="68" spans="1:10" x14ac:dyDescent="0.25">
      <c r="A68" t="s">
        <v>10</v>
      </c>
      <c r="B68" t="s">
        <v>11</v>
      </c>
      <c r="C68" t="s">
        <v>12</v>
      </c>
      <c r="D68" t="s">
        <v>15</v>
      </c>
      <c r="E68">
        <v>0</v>
      </c>
      <c r="F68">
        <v>0.75</v>
      </c>
      <c r="G68">
        <v>10.086072683334301</v>
      </c>
      <c r="H68">
        <v>1</v>
      </c>
      <c r="I68">
        <v>3</v>
      </c>
      <c r="J68">
        <v>30</v>
      </c>
    </row>
    <row r="69" spans="1:10" x14ac:dyDescent="0.25">
      <c r="A69" t="s">
        <v>10</v>
      </c>
      <c r="B69" t="s">
        <v>11</v>
      </c>
      <c r="C69" t="s">
        <v>12</v>
      </c>
      <c r="D69" t="s">
        <v>15</v>
      </c>
      <c r="E69">
        <v>0</v>
      </c>
      <c r="F69">
        <v>0.75</v>
      </c>
      <c r="G69">
        <v>10.552589893341001</v>
      </c>
      <c r="H69">
        <v>2</v>
      </c>
      <c r="I69">
        <v>10</v>
      </c>
      <c r="J69">
        <v>30</v>
      </c>
    </row>
    <row r="70" spans="1:10" x14ac:dyDescent="0.25">
      <c r="A70" t="s">
        <v>10</v>
      </c>
      <c r="B70" t="s">
        <v>11</v>
      </c>
      <c r="C70" t="s">
        <v>12</v>
      </c>
      <c r="D70" t="s">
        <v>15</v>
      </c>
      <c r="E70">
        <v>5.5555555555555497E-2</v>
      </c>
      <c r="F70">
        <v>0.75263888888888797</v>
      </c>
      <c r="G70">
        <v>10.688426971435501</v>
      </c>
      <c r="H70">
        <v>6</v>
      </c>
      <c r="I70">
        <v>14</v>
      </c>
      <c r="J70">
        <v>30</v>
      </c>
    </row>
    <row r="71" spans="1:10" x14ac:dyDescent="0.25">
      <c r="A71" t="s">
        <v>10</v>
      </c>
      <c r="B71" t="s">
        <v>11</v>
      </c>
      <c r="C71" t="s">
        <v>12</v>
      </c>
      <c r="D71" t="s">
        <v>15</v>
      </c>
      <c r="E71">
        <v>0.11111111111111099</v>
      </c>
      <c r="F71">
        <v>0.75527777777777705</v>
      </c>
      <c r="G71">
        <v>11.474505662918</v>
      </c>
      <c r="H71">
        <v>9</v>
      </c>
      <c r="I71">
        <v>32</v>
      </c>
      <c r="J71">
        <v>30</v>
      </c>
    </row>
    <row r="72" spans="1:10" x14ac:dyDescent="0.25">
      <c r="A72" t="s">
        <v>10</v>
      </c>
      <c r="B72" t="s">
        <v>11</v>
      </c>
      <c r="C72" t="s">
        <v>12</v>
      </c>
      <c r="D72" t="s">
        <v>15</v>
      </c>
      <c r="E72">
        <v>0</v>
      </c>
      <c r="F72">
        <v>0.75</v>
      </c>
      <c r="G72">
        <v>11.616269111633301</v>
      </c>
      <c r="H72">
        <v>3</v>
      </c>
      <c r="I72">
        <v>7</v>
      </c>
      <c r="J72">
        <v>30</v>
      </c>
    </row>
    <row r="73" spans="1:10" x14ac:dyDescent="0.25">
      <c r="A73" t="s">
        <v>10</v>
      </c>
      <c r="B73" t="s">
        <v>11</v>
      </c>
      <c r="C73" t="s">
        <v>12</v>
      </c>
      <c r="D73" t="s">
        <v>15</v>
      </c>
      <c r="E73">
        <v>2.77777777777777E-2</v>
      </c>
      <c r="F73">
        <v>0.75131944444444398</v>
      </c>
      <c r="G73">
        <v>12.9505057334899</v>
      </c>
      <c r="H73">
        <v>5</v>
      </c>
      <c r="I73">
        <v>15</v>
      </c>
      <c r="J73">
        <v>30</v>
      </c>
    </row>
    <row r="74" spans="1:10" x14ac:dyDescent="0.25">
      <c r="A74" t="s">
        <v>10</v>
      </c>
      <c r="B74" t="s">
        <v>11</v>
      </c>
      <c r="C74" t="s">
        <v>12</v>
      </c>
      <c r="D74" t="s">
        <v>15</v>
      </c>
      <c r="E74">
        <v>2.77777777777777E-2</v>
      </c>
      <c r="F74">
        <v>0.75131944444444398</v>
      </c>
      <c r="G74">
        <v>13.1895246505737</v>
      </c>
      <c r="H74">
        <v>4</v>
      </c>
      <c r="I74">
        <v>18</v>
      </c>
      <c r="J74">
        <v>30</v>
      </c>
    </row>
    <row r="75" spans="1:10" x14ac:dyDescent="0.25">
      <c r="A75" t="s">
        <v>10</v>
      </c>
      <c r="B75" t="s">
        <v>11</v>
      </c>
      <c r="C75" t="s">
        <v>12</v>
      </c>
      <c r="D75" t="s">
        <v>15</v>
      </c>
      <c r="E75">
        <v>2.77777777777777E-2</v>
      </c>
      <c r="F75">
        <v>0.75131944444444398</v>
      </c>
      <c r="G75">
        <v>13.4023780822753</v>
      </c>
      <c r="H75">
        <v>4</v>
      </c>
      <c r="I75">
        <v>19</v>
      </c>
      <c r="J75">
        <v>30</v>
      </c>
    </row>
    <row r="76" spans="1:10" x14ac:dyDescent="0.25">
      <c r="A76" t="s">
        <v>10</v>
      </c>
      <c r="B76" t="s">
        <v>11</v>
      </c>
      <c r="C76" t="s">
        <v>12</v>
      </c>
      <c r="D76" t="s">
        <v>15</v>
      </c>
      <c r="E76">
        <v>5.5555555555555497E-2</v>
      </c>
      <c r="F76">
        <v>0.75263888888888797</v>
      </c>
      <c r="G76">
        <v>13.560623407363799</v>
      </c>
      <c r="H76">
        <v>9</v>
      </c>
      <c r="I76">
        <v>28</v>
      </c>
      <c r="J76">
        <v>30</v>
      </c>
    </row>
    <row r="77" spans="1:10" x14ac:dyDescent="0.25">
      <c r="A77" t="s">
        <v>10</v>
      </c>
      <c r="B77" t="s">
        <v>11</v>
      </c>
      <c r="C77" t="s">
        <v>12</v>
      </c>
      <c r="D77" t="s">
        <v>15</v>
      </c>
      <c r="E77">
        <v>8.3333333333333301E-2</v>
      </c>
      <c r="F77">
        <v>0.75395833333333295</v>
      </c>
      <c r="G77">
        <v>14.011173486709501</v>
      </c>
      <c r="H77">
        <v>5</v>
      </c>
      <c r="I77">
        <v>19</v>
      </c>
      <c r="J77">
        <v>30</v>
      </c>
    </row>
    <row r="78" spans="1:10" x14ac:dyDescent="0.25">
      <c r="A78" t="s">
        <v>10</v>
      </c>
      <c r="B78" t="s">
        <v>11</v>
      </c>
      <c r="C78" t="s">
        <v>12</v>
      </c>
      <c r="D78" t="s">
        <v>15</v>
      </c>
      <c r="E78">
        <v>0</v>
      </c>
      <c r="F78">
        <v>0.75</v>
      </c>
      <c r="G78">
        <v>14.125705242156901</v>
      </c>
      <c r="H78">
        <v>9</v>
      </c>
      <c r="I78">
        <v>29</v>
      </c>
      <c r="J78">
        <v>30</v>
      </c>
    </row>
    <row r="79" spans="1:10" x14ac:dyDescent="0.25">
      <c r="A79" t="s">
        <v>10</v>
      </c>
      <c r="B79" t="s">
        <v>11</v>
      </c>
      <c r="C79" t="s">
        <v>12</v>
      </c>
      <c r="D79" t="s">
        <v>15</v>
      </c>
      <c r="E79">
        <v>5.5555555555555497E-2</v>
      </c>
      <c r="F79">
        <v>0.75263888888888797</v>
      </c>
      <c r="G79">
        <v>14.4142208099365</v>
      </c>
      <c r="H79">
        <v>8</v>
      </c>
      <c r="I79">
        <v>24</v>
      </c>
      <c r="J79">
        <v>30</v>
      </c>
    </row>
    <row r="80" spans="1:10" x14ac:dyDescent="0.25">
      <c r="A80" t="s">
        <v>10</v>
      </c>
      <c r="B80" t="s">
        <v>11</v>
      </c>
      <c r="C80" t="s">
        <v>12</v>
      </c>
      <c r="D80" t="s">
        <v>15</v>
      </c>
      <c r="E80">
        <v>0</v>
      </c>
      <c r="F80">
        <v>0.75</v>
      </c>
      <c r="G80">
        <v>15.158696413040101</v>
      </c>
      <c r="H80">
        <v>7</v>
      </c>
      <c r="I80">
        <v>21</v>
      </c>
      <c r="J80">
        <v>30</v>
      </c>
    </row>
    <row r="81" spans="1:10" x14ac:dyDescent="0.25">
      <c r="A81" t="s">
        <v>10</v>
      </c>
      <c r="B81" t="s">
        <v>11</v>
      </c>
      <c r="C81" t="s">
        <v>12</v>
      </c>
      <c r="D81" t="s">
        <v>15</v>
      </c>
      <c r="E81">
        <v>0</v>
      </c>
      <c r="F81">
        <v>0.75</v>
      </c>
      <c r="G81">
        <v>15.728930234909001</v>
      </c>
      <c r="H81">
        <v>8</v>
      </c>
      <c r="I81">
        <v>20</v>
      </c>
      <c r="J81">
        <v>30</v>
      </c>
    </row>
    <row r="82" spans="1:10" x14ac:dyDescent="0.25">
      <c r="A82" t="s">
        <v>10</v>
      </c>
      <c r="B82" t="s">
        <v>11</v>
      </c>
      <c r="C82" t="s">
        <v>12</v>
      </c>
      <c r="D82" t="s">
        <v>15</v>
      </c>
      <c r="E82">
        <v>0</v>
      </c>
      <c r="F82">
        <v>0.75</v>
      </c>
      <c r="G82">
        <v>15.749059677124</v>
      </c>
      <c r="H82">
        <v>7</v>
      </c>
      <c r="I82">
        <v>22</v>
      </c>
      <c r="J82">
        <v>30</v>
      </c>
    </row>
    <row r="83" spans="1:10" x14ac:dyDescent="0.25">
      <c r="A83" t="s">
        <v>10</v>
      </c>
      <c r="B83" t="s">
        <v>11</v>
      </c>
      <c r="C83" t="s">
        <v>12</v>
      </c>
      <c r="D83" t="s">
        <v>15</v>
      </c>
      <c r="E83">
        <v>2.77777777777777E-2</v>
      </c>
      <c r="F83">
        <v>0.74986111111111098</v>
      </c>
      <c r="G83">
        <v>15.8939449787139</v>
      </c>
      <c r="H83">
        <v>6</v>
      </c>
      <c r="I83">
        <v>20</v>
      </c>
      <c r="J83">
        <v>30</v>
      </c>
    </row>
    <row r="84" spans="1:10" x14ac:dyDescent="0.25">
      <c r="A84" t="s">
        <v>10</v>
      </c>
      <c r="B84" t="s">
        <v>11</v>
      </c>
      <c r="C84" t="s">
        <v>12</v>
      </c>
      <c r="D84" t="s">
        <v>15</v>
      </c>
      <c r="E84">
        <v>2.77777777777777E-2</v>
      </c>
      <c r="F84">
        <v>0.75131944444444398</v>
      </c>
      <c r="G84">
        <v>16.2886190414428</v>
      </c>
      <c r="H84">
        <v>11</v>
      </c>
      <c r="I84">
        <v>33</v>
      </c>
      <c r="J84">
        <v>30</v>
      </c>
    </row>
    <row r="85" spans="1:10" x14ac:dyDescent="0.25">
      <c r="A85" t="s">
        <v>10</v>
      </c>
      <c r="B85" t="s">
        <v>11</v>
      </c>
      <c r="C85" t="s">
        <v>12</v>
      </c>
      <c r="D85" t="s">
        <v>15</v>
      </c>
      <c r="E85">
        <v>2.77777777777777E-2</v>
      </c>
      <c r="F85">
        <v>0.74986111111111098</v>
      </c>
      <c r="G85">
        <v>16.562413692474301</v>
      </c>
      <c r="H85">
        <v>8</v>
      </c>
      <c r="I85">
        <v>22</v>
      </c>
      <c r="J85">
        <v>30</v>
      </c>
    </row>
    <row r="86" spans="1:10" x14ac:dyDescent="0.25">
      <c r="A86" t="s">
        <v>10</v>
      </c>
      <c r="B86" t="s">
        <v>11</v>
      </c>
      <c r="C86" t="s">
        <v>12</v>
      </c>
      <c r="D86" t="s">
        <v>15</v>
      </c>
      <c r="E86">
        <v>2.77777777777777E-2</v>
      </c>
      <c r="F86">
        <v>0.75131944444444398</v>
      </c>
      <c r="G86">
        <v>18.404088497161801</v>
      </c>
      <c r="H86">
        <v>13</v>
      </c>
      <c r="I86">
        <v>44</v>
      </c>
      <c r="J86">
        <v>30</v>
      </c>
    </row>
    <row r="87" spans="1:10" x14ac:dyDescent="0.25">
      <c r="A87" t="s">
        <v>10</v>
      </c>
      <c r="B87" t="s">
        <v>11</v>
      </c>
      <c r="C87" t="s">
        <v>12</v>
      </c>
      <c r="D87" t="s">
        <v>15</v>
      </c>
      <c r="E87">
        <v>2.77777777777777E-2</v>
      </c>
      <c r="F87">
        <v>0.74986111111111098</v>
      </c>
      <c r="G87">
        <v>18.6771047115325</v>
      </c>
      <c r="H87">
        <v>10</v>
      </c>
      <c r="I87">
        <v>36</v>
      </c>
      <c r="J87">
        <v>30</v>
      </c>
    </row>
    <row r="88" spans="1:10" x14ac:dyDescent="0.25">
      <c r="A88" t="s">
        <v>10</v>
      </c>
      <c r="B88" t="s">
        <v>11</v>
      </c>
      <c r="C88" t="s">
        <v>12</v>
      </c>
      <c r="D88" t="s">
        <v>15</v>
      </c>
      <c r="E88">
        <v>2.77777777777777E-2</v>
      </c>
      <c r="F88">
        <v>0.75131944444444398</v>
      </c>
      <c r="G88">
        <v>20.370276927947899</v>
      </c>
      <c r="H88">
        <v>14</v>
      </c>
      <c r="I88">
        <v>57</v>
      </c>
      <c r="J88">
        <v>30</v>
      </c>
    </row>
    <row r="89" spans="1:10" x14ac:dyDescent="0.25">
      <c r="A89" t="s">
        <v>10</v>
      </c>
      <c r="B89" t="s">
        <v>11</v>
      </c>
      <c r="C89" t="s">
        <v>12</v>
      </c>
      <c r="D89" t="s">
        <v>15</v>
      </c>
      <c r="E89">
        <v>5.5555555555555497E-2</v>
      </c>
      <c r="F89">
        <v>0.75263888888888797</v>
      </c>
      <c r="G89">
        <v>20.499532699584901</v>
      </c>
      <c r="H89">
        <v>13</v>
      </c>
      <c r="I89">
        <v>44</v>
      </c>
      <c r="J89">
        <v>30</v>
      </c>
    </row>
    <row r="90" spans="1:10" x14ac:dyDescent="0.25">
      <c r="A90" t="s">
        <v>10</v>
      </c>
      <c r="B90" t="s">
        <v>11</v>
      </c>
      <c r="C90" t="s">
        <v>12</v>
      </c>
      <c r="D90" t="s">
        <v>15</v>
      </c>
      <c r="E90">
        <v>8.3333333333333301E-2</v>
      </c>
      <c r="F90">
        <v>0.75104166666666605</v>
      </c>
      <c r="G90">
        <v>20.609454393386802</v>
      </c>
      <c r="H90">
        <v>16</v>
      </c>
      <c r="I90">
        <v>61</v>
      </c>
      <c r="J90">
        <v>30</v>
      </c>
    </row>
    <row r="91" spans="1:10" x14ac:dyDescent="0.25">
      <c r="A91" t="s">
        <v>10</v>
      </c>
      <c r="B91" t="s">
        <v>11</v>
      </c>
      <c r="C91" t="s">
        <v>12</v>
      </c>
      <c r="D91" t="s">
        <v>15</v>
      </c>
      <c r="E91">
        <v>0.11111111111111099</v>
      </c>
      <c r="F91">
        <v>0.75506760030833298</v>
      </c>
      <c r="G91">
        <v>20.751695394515899</v>
      </c>
      <c r="H91">
        <v>19</v>
      </c>
      <c r="I91">
        <v>63</v>
      </c>
      <c r="J91">
        <v>30</v>
      </c>
    </row>
    <row r="92" spans="1:10" x14ac:dyDescent="0.25">
      <c r="A92" t="s">
        <v>10</v>
      </c>
      <c r="B92" t="s">
        <v>11</v>
      </c>
      <c r="C92" t="s">
        <v>12</v>
      </c>
      <c r="D92" t="s">
        <v>16</v>
      </c>
      <c r="E92">
        <v>0</v>
      </c>
      <c r="F92">
        <v>0.75</v>
      </c>
      <c r="G92">
        <v>0.11718726158142</v>
      </c>
      <c r="H92">
        <v>0</v>
      </c>
      <c r="I92">
        <v>0</v>
      </c>
      <c r="J92">
        <v>30</v>
      </c>
    </row>
    <row r="93" spans="1:10" x14ac:dyDescent="0.25">
      <c r="A93" t="s">
        <v>10</v>
      </c>
      <c r="B93" t="s">
        <v>11</v>
      </c>
      <c r="C93" t="s">
        <v>12</v>
      </c>
      <c r="D93" t="s">
        <v>16</v>
      </c>
      <c r="E93">
        <v>0</v>
      </c>
      <c r="F93">
        <v>0.75</v>
      </c>
      <c r="G93">
        <v>0.30704355239868097</v>
      </c>
      <c r="H93">
        <v>0</v>
      </c>
      <c r="I93">
        <v>0</v>
      </c>
      <c r="J93">
        <v>30</v>
      </c>
    </row>
    <row r="94" spans="1:10" x14ac:dyDescent="0.25">
      <c r="A94" t="s">
        <v>10</v>
      </c>
      <c r="B94" t="s">
        <v>11</v>
      </c>
      <c r="C94" t="s">
        <v>12</v>
      </c>
      <c r="D94" t="s">
        <v>16</v>
      </c>
      <c r="E94">
        <v>0</v>
      </c>
      <c r="F94">
        <v>0.75</v>
      </c>
      <c r="G94">
        <v>0.31141829490661599</v>
      </c>
      <c r="H94">
        <v>0</v>
      </c>
      <c r="I94">
        <v>0</v>
      </c>
      <c r="J94">
        <v>30</v>
      </c>
    </row>
    <row r="95" spans="1:10" x14ac:dyDescent="0.25">
      <c r="A95" t="s">
        <v>10</v>
      </c>
      <c r="B95" t="s">
        <v>11</v>
      </c>
      <c r="C95" t="s">
        <v>12</v>
      </c>
      <c r="D95" t="s">
        <v>16</v>
      </c>
      <c r="E95">
        <v>0</v>
      </c>
      <c r="F95">
        <v>0.75</v>
      </c>
      <c r="G95">
        <v>0.3112473487854</v>
      </c>
      <c r="H95">
        <v>0</v>
      </c>
      <c r="I95">
        <v>0</v>
      </c>
      <c r="J95">
        <v>30</v>
      </c>
    </row>
    <row r="96" spans="1:10" x14ac:dyDescent="0.25">
      <c r="A96" t="s">
        <v>10</v>
      </c>
      <c r="B96" t="s">
        <v>11</v>
      </c>
      <c r="C96" t="s">
        <v>12</v>
      </c>
      <c r="D96" t="s">
        <v>16</v>
      </c>
      <c r="E96">
        <v>0</v>
      </c>
      <c r="F96">
        <v>0.75</v>
      </c>
      <c r="G96">
        <v>0.31224703788757302</v>
      </c>
      <c r="H96">
        <v>0</v>
      </c>
      <c r="I96">
        <v>0</v>
      </c>
      <c r="J96">
        <v>30</v>
      </c>
    </row>
    <row r="97" spans="1:10" x14ac:dyDescent="0.25">
      <c r="A97" t="s">
        <v>10</v>
      </c>
      <c r="B97" t="s">
        <v>11</v>
      </c>
      <c r="C97" t="s">
        <v>12</v>
      </c>
      <c r="D97" t="s">
        <v>16</v>
      </c>
      <c r="E97">
        <v>0</v>
      </c>
      <c r="F97">
        <v>0.75</v>
      </c>
      <c r="G97">
        <v>0.319202899932861</v>
      </c>
      <c r="H97">
        <v>0</v>
      </c>
      <c r="I97">
        <v>0</v>
      </c>
      <c r="J97">
        <v>30</v>
      </c>
    </row>
    <row r="98" spans="1:10" x14ac:dyDescent="0.25">
      <c r="A98" t="s">
        <v>10</v>
      </c>
      <c r="B98" t="s">
        <v>11</v>
      </c>
      <c r="C98" t="s">
        <v>12</v>
      </c>
      <c r="D98" t="s">
        <v>16</v>
      </c>
      <c r="E98">
        <v>0</v>
      </c>
      <c r="F98">
        <v>0.75</v>
      </c>
      <c r="G98">
        <v>0.31920051574706998</v>
      </c>
      <c r="H98">
        <v>0</v>
      </c>
      <c r="I98">
        <v>0</v>
      </c>
      <c r="J98">
        <v>30</v>
      </c>
    </row>
    <row r="99" spans="1:10" x14ac:dyDescent="0.25">
      <c r="A99" t="s">
        <v>10</v>
      </c>
      <c r="B99" t="s">
        <v>11</v>
      </c>
      <c r="C99" t="s">
        <v>12</v>
      </c>
      <c r="D99" t="s">
        <v>16</v>
      </c>
      <c r="E99">
        <v>0</v>
      </c>
      <c r="F99">
        <v>0.75</v>
      </c>
      <c r="G99">
        <v>0.31204247474670399</v>
      </c>
      <c r="H99">
        <v>0</v>
      </c>
      <c r="I99">
        <v>0</v>
      </c>
      <c r="J99">
        <v>30</v>
      </c>
    </row>
    <row r="100" spans="1:10" x14ac:dyDescent="0.25">
      <c r="A100" t="s">
        <v>10</v>
      </c>
      <c r="B100" t="s">
        <v>11</v>
      </c>
      <c r="C100" t="s">
        <v>12</v>
      </c>
      <c r="D100" t="s">
        <v>16</v>
      </c>
      <c r="E100">
        <v>0</v>
      </c>
      <c r="F100">
        <v>0.75</v>
      </c>
      <c r="G100">
        <v>0.31504106521606401</v>
      </c>
      <c r="H100">
        <v>0</v>
      </c>
      <c r="I100">
        <v>0</v>
      </c>
      <c r="J100">
        <v>30</v>
      </c>
    </row>
    <row r="101" spans="1:10" x14ac:dyDescent="0.25">
      <c r="A101" t="s">
        <v>10</v>
      </c>
      <c r="B101" t="s">
        <v>11</v>
      </c>
      <c r="C101" t="s">
        <v>12</v>
      </c>
      <c r="D101" t="s">
        <v>16</v>
      </c>
      <c r="E101">
        <v>0</v>
      </c>
      <c r="F101">
        <v>0.75</v>
      </c>
      <c r="G101">
        <v>0.31504106521606401</v>
      </c>
      <c r="H101">
        <v>0</v>
      </c>
      <c r="I101">
        <v>0</v>
      </c>
      <c r="J101">
        <v>30</v>
      </c>
    </row>
    <row r="102" spans="1:10" x14ac:dyDescent="0.25">
      <c r="A102" t="s">
        <v>10</v>
      </c>
      <c r="B102" t="s">
        <v>11</v>
      </c>
      <c r="C102" t="s">
        <v>12</v>
      </c>
      <c r="D102" t="s">
        <v>16</v>
      </c>
      <c r="E102">
        <v>0</v>
      </c>
      <c r="F102">
        <v>0.75</v>
      </c>
      <c r="G102">
        <v>0.32670259475708002</v>
      </c>
      <c r="H102">
        <v>0</v>
      </c>
      <c r="I102">
        <v>0</v>
      </c>
      <c r="J102">
        <v>30</v>
      </c>
    </row>
    <row r="103" spans="1:10" x14ac:dyDescent="0.25">
      <c r="A103" t="s">
        <v>10</v>
      </c>
      <c r="B103" t="s">
        <v>11</v>
      </c>
      <c r="C103" t="s">
        <v>12</v>
      </c>
      <c r="D103" t="s">
        <v>16</v>
      </c>
      <c r="E103">
        <v>0</v>
      </c>
      <c r="F103">
        <v>0.75</v>
      </c>
      <c r="G103">
        <v>0.327382802963256</v>
      </c>
      <c r="H103">
        <v>0</v>
      </c>
      <c r="I103">
        <v>0</v>
      </c>
      <c r="J103">
        <v>30</v>
      </c>
    </row>
    <row r="104" spans="1:10" x14ac:dyDescent="0.25">
      <c r="A104" t="s">
        <v>10</v>
      </c>
      <c r="B104" t="s">
        <v>11</v>
      </c>
      <c r="C104" t="s">
        <v>12</v>
      </c>
      <c r="D104" t="s">
        <v>16</v>
      </c>
      <c r="E104">
        <v>0</v>
      </c>
      <c r="F104">
        <v>0.75</v>
      </c>
      <c r="G104">
        <v>0.33188724517822199</v>
      </c>
      <c r="H104">
        <v>0</v>
      </c>
      <c r="I104">
        <v>0</v>
      </c>
      <c r="J104">
        <v>30</v>
      </c>
    </row>
    <row r="105" spans="1:10" x14ac:dyDescent="0.25">
      <c r="A105" t="s">
        <v>10</v>
      </c>
      <c r="B105" t="s">
        <v>11</v>
      </c>
      <c r="C105" t="s">
        <v>12</v>
      </c>
      <c r="D105" t="s">
        <v>16</v>
      </c>
      <c r="E105">
        <v>0</v>
      </c>
      <c r="F105">
        <v>0.75</v>
      </c>
      <c r="G105">
        <v>0.31403994560241699</v>
      </c>
      <c r="H105">
        <v>0</v>
      </c>
      <c r="I105">
        <v>0</v>
      </c>
      <c r="J105">
        <v>30</v>
      </c>
    </row>
    <row r="106" spans="1:10" x14ac:dyDescent="0.25">
      <c r="A106" t="s">
        <v>10</v>
      </c>
      <c r="B106" t="s">
        <v>11</v>
      </c>
      <c r="C106" t="s">
        <v>12</v>
      </c>
      <c r="D106" t="s">
        <v>16</v>
      </c>
      <c r="E106">
        <v>0</v>
      </c>
      <c r="F106">
        <v>0.75</v>
      </c>
      <c r="G106">
        <v>0.332566738128662</v>
      </c>
      <c r="H106">
        <v>0</v>
      </c>
      <c r="I106">
        <v>0</v>
      </c>
      <c r="J106">
        <v>30</v>
      </c>
    </row>
    <row r="107" spans="1:10" x14ac:dyDescent="0.25">
      <c r="A107" t="s">
        <v>10</v>
      </c>
      <c r="B107" t="s">
        <v>11</v>
      </c>
      <c r="C107" t="s">
        <v>12</v>
      </c>
      <c r="D107" t="s">
        <v>16</v>
      </c>
      <c r="E107">
        <v>0</v>
      </c>
      <c r="F107">
        <v>0.75</v>
      </c>
      <c r="G107">
        <v>0.332566738128662</v>
      </c>
      <c r="H107">
        <v>0</v>
      </c>
      <c r="I107">
        <v>0</v>
      </c>
      <c r="J107">
        <v>30</v>
      </c>
    </row>
    <row r="108" spans="1:10" x14ac:dyDescent="0.25">
      <c r="A108" t="s">
        <v>10</v>
      </c>
      <c r="B108" t="s">
        <v>11</v>
      </c>
      <c r="C108" t="s">
        <v>12</v>
      </c>
      <c r="D108" t="s">
        <v>16</v>
      </c>
      <c r="E108">
        <v>0</v>
      </c>
      <c r="F108">
        <v>0.75</v>
      </c>
      <c r="G108">
        <v>0.32640886306762601</v>
      </c>
      <c r="H108">
        <v>0</v>
      </c>
      <c r="I108">
        <v>0</v>
      </c>
      <c r="J108">
        <v>30</v>
      </c>
    </row>
    <row r="109" spans="1:10" x14ac:dyDescent="0.25">
      <c r="A109" t="s">
        <v>10</v>
      </c>
      <c r="B109" t="s">
        <v>11</v>
      </c>
      <c r="C109" t="s">
        <v>12</v>
      </c>
      <c r="D109" t="s">
        <v>16</v>
      </c>
      <c r="E109">
        <v>0</v>
      </c>
      <c r="F109">
        <v>0.75</v>
      </c>
      <c r="G109">
        <v>0.340069770812988</v>
      </c>
      <c r="H109">
        <v>0</v>
      </c>
      <c r="I109">
        <v>0</v>
      </c>
      <c r="J109">
        <v>30</v>
      </c>
    </row>
    <row r="110" spans="1:10" x14ac:dyDescent="0.25">
      <c r="A110" t="s">
        <v>10</v>
      </c>
      <c r="B110" t="s">
        <v>11</v>
      </c>
      <c r="C110" t="s">
        <v>12</v>
      </c>
      <c r="D110" t="s">
        <v>16</v>
      </c>
      <c r="E110">
        <v>0</v>
      </c>
      <c r="F110">
        <v>0.75</v>
      </c>
      <c r="G110">
        <v>0.33056688308715798</v>
      </c>
      <c r="H110">
        <v>0</v>
      </c>
      <c r="I110">
        <v>0</v>
      </c>
      <c r="J110">
        <v>30</v>
      </c>
    </row>
    <row r="111" spans="1:10" x14ac:dyDescent="0.25">
      <c r="A111" t="s">
        <v>10</v>
      </c>
      <c r="B111" t="s">
        <v>11</v>
      </c>
      <c r="C111" t="s">
        <v>12</v>
      </c>
      <c r="D111" t="s">
        <v>16</v>
      </c>
      <c r="E111">
        <v>0</v>
      </c>
      <c r="F111">
        <v>0.75</v>
      </c>
      <c r="G111">
        <v>0.32020092010498002</v>
      </c>
      <c r="H111">
        <v>0</v>
      </c>
      <c r="I111">
        <v>0</v>
      </c>
      <c r="J111">
        <v>30</v>
      </c>
    </row>
    <row r="112" spans="1:10" x14ac:dyDescent="0.25">
      <c r="A112" t="s">
        <v>10</v>
      </c>
      <c r="B112" t="s">
        <v>11</v>
      </c>
      <c r="C112" t="s">
        <v>12</v>
      </c>
      <c r="D112" t="s">
        <v>16</v>
      </c>
      <c r="E112">
        <v>0</v>
      </c>
      <c r="F112">
        <v>0.75</v>
      </c>
      <c r="G112">
        <v>0.34206891059875399</v>
      </c>
      <c r="H112">
        <v>0</v>
      </c>
      <c r="I112">
        <v>0</v>
      </c>
      <c r="J112">
        <v>30</v>
      </c>
    </row>
    <row r="113" spans="1:10" x14ac:dyDescent="0.25">
      <c r="A113" t="s">
        <v>10</v>
      </c>
      <c r="B113" t="s">
        <v>11</v>
      </c>
      <c r="C113" t="s">
        <v>12</v>
      </c>
      <c r="D113" t="s">
        <v>16</v>
      </c>
      <c r="E113">
        <v>0</v>
      </c>
      <c r="F113">
        <v>0.75</v>
      </c>
      <c r="G113">
        <v>0.32870531082153298</v>
      </c>
      <c r="H113">
        <v>0</v>
      </c>
      <c r="I113">
        <v>0</v>
      </c>
      <c r="J113">
        <v>30</v>
      </c>
    </row>
    <row r="114" spans="1:10" x14ac:dyDescent="0.25">
      <c r="A114" t="s">
        <v>10</v>
      </c>
      <c r="B114" t="s">
        <v>11</v>
      </c>
      <c r="C114" t="s">
        <v>12</v>
      </c>
      <c r="D114" t="s">
        <v>16</v>
      </c>
      <c r="E114">
        <v>0</v>
      </c>
      <c r="F114">
        <v>0.75</v>
      </c>
      <c r="G114">
        <v>0.327407836914062</v>
      </c>
      <c r="H114">
        <v>0</v>
      </c>
      <c r="I114">
        <v>0</v>
      </c>
      <c r="J114">
        <v>30</v>
      </c>
    </row>
    <row r="115" spans="1:10" x14ac:dyDescent="0.25">
      <c r="A115" t="s">
        <v>10</v>
      </c>
      <c r="B115" t="s">
        <v>11</v>
      </c>
      <c r="C115" t="s">
        <v>12</v>
      </c>
      <c r="D115" t="s">
        <v>16</v>
      </c>
      <c r="E115">
        <v>0</v>
      </c>
      <c r="F115">
        <v>0.75</v>
      </c>
      <c r="G115">
        <v>0.3380708694458</v>
      </c>
      <c r="H115">
        <v>0</v>
      </c>
      <c r="I115">
        <v>0</v>
      </c>
      <c r="J115">
        <v>30</v>
      </c>
    </row>
    <row r="116" spans="1:10" x14ac:dyDescent="0.25">
      <c r="A116" t="s">
        <v>10</v>
      </c>
      <c r="B116" t="s">
        <v>11</v>
      </c>
      <c r="C116" t="s">
        <v>12</v>
      </c>
      <c r="D116" t="s">
        <v>16</v>
      </c>
      <c r="E116">
        <v>0</v>
      </c>
      <c r="F116">
        <v>0.75</v>
      </c>
      <c r="G116">
        <v>0.32840633392333901</v>
      </c>
      <c r="H116">
        <v>0</v>
      </c>
      <c r="I116">
        <v>0</v>
      </c>
      <c r="J116">
        <v>30</v>
      </c>
    </row>
    <row r="117" spans="1:10" x14ac:dyDescent="0.25">
      <c r="A117" t="s">
        <v>10</v>
      </c>
      <c r="B117" t="s">
        <v>11</v>
      </c>
      <c r="C117" t="s">
        <v>12</v>
      </c>
      <c r="D117" t="s">
        <v>16</v>
      </c>
      <c r="E117">
        <v>0</v>
      </c>
      <c r="F117">
        <v>0.75</v>
      </c>
      <c r="G117">
        <v>0.333566904067993</v>
      </c>
      <c r="H117">
        <v>0</v>
      </c>
      <c r="I117">
        <v>0</v>
      </c>
      <c r="J117">
        <v>30</v>
      </c>
    </row>
    <row r="118" spans="1:10" x14ac:dyDescent="0.25">
      <c r="A118" t="s">
        <v>10</v>
      </c>
      <c r="B118" t="s">
        <v>11</v>
      </c>
      <c r="C118" t="s">
        <v>12</v>
      </c>
      <c r="D118" t="s">
        <v>16</v>
      </c>
      <c r="E118">
        <v>0</v>
      </c>
      <c r="F118">
        <v>0.75</v>
      </c>
      <c r="G118">
        <v>0.327382802963256</v>
      </c>
      <c r="H118">
        <v>0</v>
      </c>
      <c r="I118">
        <v>0</v>
      </c>
      <c r="J118">
        <v>30</v>
      </c>
    </row>
    <row r="119" spans="1:10" x14ac:dyDescent="0.25">
      <c r="A119" t="s">
        <v>10</v>
      </c>
      <c r="B119" t="s">
        <v>11</v>
      </c>
      <c r="C119" t="s">
        <v>12</v>
      </c>
      <c r="D119" t="s">
        <v>16</v>
      </c>
      <c r="E119">
        <v>0</v>
      </c>
      <c r="F119">
        <v>0.75</v>
      </c>
      <c r="G119">
        <v>0.30158495903015098</v>
      </c>
      <c r="H119">
        <v>0</v>
      </c>
      <c r="I119">
        <v>0</v>
      </c>
      <c r="J119">
        <v>30</v>
      </c>
    </row>
    <row r="120" spans="1:10" x14ac:dyDescent="0.25">
      <c r="A120" t="s">
        <v>10</v>
      </c>
      <c r="B120" t="s">
        <v>11</v>
      </c>
      <c r="C120" t="s">
        <v>12</v>
      </c>
      <c r="D120" t="s">
        <v>16</v>
      </c>
      <c r="E120">
        <v>0</v>
      </c>
      <c r="F120">
        <v>0.75</v>
      </c>
      <c r="G120">
        <v>0.33056688308715798</v>
      </c>
      <c r="H120">
        <v>0</v>
      </c>
      <c r="I120">
        <v>0</v>
      </c>
      <c r="J120">
        <v>30</v>
      </c>
    </row>
    <row r="121" spans="1:10" x14ac:dyDescent="0.25">
      <c r="A121" t="s">
        <v>10</v>
      </c>
      <c r="B121" t="s">
        <v>11</v>
      </c>
      <c r="C121" t="s">
        <v>12</v>
      </c>
      <c r="D121" t="s">
        <v>16</v>
      </c>
      <c r="E121">
        <v>0</v>
      </c>
      <c r="F121">
        <v>0.75</v>
      </c>
      <c r="G121">
        <v>0.31304144859313898</v>
      </c>
      <c r="H121">
        <v>0</v>
      </c>
      <c r="I121">
        <v>0</v>
      </c>
      <c r="J121">
        <v>30</v>
      </c>
    </row>
    <row r="122" spans="1:10" x14ac:dyDescent="0.25">
      <c r="A122" t="s">
        <v>10</v>
      </c>
      <c r="B122" t="s">
        <v>11</v>
      </c>
      <c r="C122" t="s">
        <v>12</v>
      </c>
      <c r="D122" t="s">
        <v>17</v>
      </c>
      <c r="E122">
        <v>0.63888888888888795</v>
      </c>
      <c r="F122">
        <v>0.770044843294444</v>
      </c>
      <c r="G122">
        <v>16.750458002090401</v>
      </c>
      <c r="H122">
        <v>60</v>
      </c>
      <c r="I122">
        <v>56</v>
      </c>
      <c r="J122">
        <v>30</v>
      </c>
    </row>
    <row r="123" spans="1:10" x14ac:dyDescent="0.25">
      <c r="A123" t="s">
        <v>10</v>
      </c>
      <c r="B123" t="s">
        <v>11</v>
      </c>
      <c r="C123" t="s">
        <v>12</v>
      </c>
      <c r="D123" t="s">
        <v>17</v>
      </c>
      <c r="E123">
        <v>0.55555555555555503</v>
      </c>
      <c r="F123">
        <v>0.75779775838333296</v>
      </c>
      <c r="G123">
        <v>18.177541017532299</v>
      </c>
      <c r="H123">
        <v>54</v>
      </c>
      <c r="I123">
        <v>57</v>
      </c>
      <c r="J123">
        <v>30</v>
      </c>
    </row>
    <row r="124" spans="1:10" x14ac:dyDescent="0.25">
      <c r="A124" t="s">
        <v>10</v>
      </c>
      <c r="B124" t="s">
        <v>11</v>
      </c>
      <c r="C124" t="s">
        <v>12</v>
      </c>
      <c r="D124" t="s">
        <v>17</v>
      </c>
      <c r="E124">
        <v>0.63888888888888795</v>
      </c>
      <c r="F124">
        <v>0.77191694827222201</v>
      </c>
      <c r="G124">
        <v>18.542236328125</v>
      </c>
      <c r="H124">
        <v>60</v>
      </c>
      <c r="I124">
        <v>67</v>
      </c>
      <c r="J124">
        <v>30</v>
      </c>
    </row>
    <row r="125" spans="1:10" x14ac:dyDescent="0.25">
      <c r="A125" t="s">
        <v>10</v>
      </c>
      <c r="B125" t="s">
        <v>11</v>
      </c>
      <c r="C125" t="s">
        <v>12</v>
      </c>
      <c r="D125" t="s">
        <v>17</v>
      </c>
      <c r="E125">
        <v>0.69444444444444398</v>
      </c>
      <c r="F125">
        <v>0.78372708621388898</v>
      </c>
      <c r="G125">
        <v>19.250492334365799</v>
      </c>
      <c r="H125">
        <v>61</v>
      </c>
      <c r="I125">
        <v>66</v>
      </c>
      <c r="J125">
        <v>30</v>
      </c>
    </row>
    <row r="126" spans="1:10" x14ac:dyDescent="0.25">
      <c r="A126" t="s">
        <v>10</v>
      </c>
      <c r="B126" t="s">
        <v>11</v>
      </c>
      <c r="C126" t="s">
        <v>12</v>
      </c>
      <c r="D126" t="s">
        <v>17</v>
      </c>
      <c r="E126">
        <v>0.72222222222222199</v>
      </c>
      <c r="F126">
        <v>0.79578967373333298</v>
      </c>
      <c r="G126">
        <v>19.586015701293899</v>
      </c>
      <c r="H126">
        <v>51</v>
      </c>
      <c r="I126">
        <v>54</v>
      </c>
      <c r="J126">
        <v>30</v>
      </c>
    </row>
    <row r="127" spans="1:10" x14ac:dyDescent="0.25">
      <c r="A127" t="s">
        <v>10</v>
      </c>
      <c r="B127" t="s">
        <v>11</v>
      </c>
      <c r="C127" t="s">
        <v>12</v>
      </c>
      <c r="D127" t="s">
        <v>17</v>
      </c>
      <c r="E127">
        <v>0.69444444444444398</v>
      </c>
      <c r="F127">
        <v>0.79187625675277695</v>
      </c>
      <c r="G127">
        <v>19.690694808959901</v>
      </c>
      <c r="H127">
        <v>65</v>
      </c>
      <c r="I127">
        <v>67</v>
      </c>
      <c r="J127">
        <v>30</v>
      </c>
    </row>
    <row r="128" spans="1:10" x14ac:dyDescent="0.25">
      <c r="A128" t="s">
        <v>10</v>
      </c>
      <c r="B128" t="s">
        <v>11</v>
      </c>
      <c r="C128" t="s">
        <v>12</v>
      </c>
      <c r="D128" t="s">
        <v>17</v>
      </c>
      <c r="E128">
        <v>0.75</v>
      </c>
      <c r="F128">
        <v>0.80712925081388798</v>
      </c>
      <c r="G128">
        <v>20.318196296691799</v>
      </c>
      <c r="H128">
        <v>67</v>
      </c>
      <c r="I128">
        <v>69</v>
      </c>
      <c r="J128">
        <v>30</v>
      </c>
    </row>
    <row r="129" spans="1:10" x14ac:dyDescent="0.25">
      <c r="A129" t="s">
        <v>10</v>
      </c>
      <c r="B129" t="s">
        <v>11</v>
      </c>
      <c r="C129" t="s">
        <v>12</v>
      </c>
      <c r="D129" t="s">
        <v>17</v>
      </c>
      <c r="E129">
        <v>0.5</v>
      </c>
      <c r="F129">
        <v>0.74796707304166599</v>
      </c>
      <c r="G129">
        <v>20.4185178279876</v>
      </c>
      <c r="H129">
        <v>55</v>
      </c>
      <c r="I129">
        <v>59</v>
      </c>
      <c r="J129">
        <v>30</v>
      </c>
    </row>
    <row r="130" spans="1:10" x14ac:dyDescent="0.25">
      <c r="A130" t="s">
        <v>10</v>
      </c>
      <c r="B130" t="s">
        <v>11</v>
      </c>
      <c r="C130" t="s">
        <v>12</v>
      </c>
      <c r="D130" t="s">
        <v>17</v>
      </c>
      <c r="E130">
        <v>0.66666666666666596</v>
      </c>
      <c r="F130">
        <v>0.78518399486944401</v>
      </c>
      <c r="G130">
        <v>20.578390359878501</v>
      </c>
      <c r="H130">
        <v>54</v>
      </c>
      <c r="I130">
        <v>64</v>
      </c>
      <c r="J130">
        <v>30</v>
      </c>
    </row>
    <row r="131" spans="1:10" x14ac:dyDescent="0.25">
      <c r="A131" t="s">
        <v>10</v>
      </c>
      <c r="B131" t="s">
        <v>11</v>
      </c>
      <c r="C131" t="s">
        <v>12</v>
      </c>
      <c r="D131" t="s">
        <v>17</v>
      </c>
      <c r="E131">
        <v>0.66666666666666596</v>
      </c>
      <c r="F131">
        <v>0.773911807619444</v>
      </c>
      <c r="G131">
        <v>20.581871271133402</v>
      </c>
      <c r="H131">
        <v>55</v>
      </c>
      <c r="I131">
        <v>56</v>
      </c>
      <c r="J131">
        <v>30</v>
      </c>
    </row>
    <row r="132" spans="1:10" x14ac:dyDescent="0.25">
      <c r="A132" t="s">
        <v>10</v>
      </c>
      <c r="B132" t="s">
        <v>11</v>
      </c>
      <c r="C132" t="s">
        <v>12</v>
      </c>
      <c r="D132" t="s">
        <v>17</v>
      </c>
      <c r="E132">
        <v>0.63888888888888795</v>
      </c>
      <c r="F132">
        <v>0.76896403748333297</v>
      </c>
      <c r="G132">
        <v>20.758629560470499</v>
      </c>
      <c r="H132">
        <v>55</v>
      </c>
      <c r="I132">
        <v>60</v>
      </c>
      <c r="J132">
        <v>30</v>
      </c>
    </row>
    <row r="133" spans="1:10" x14ac:dyDescent="0.25">
      <c r="A133" t="s">
        <v>10</v>
      </c>
      <c r="B133" t="s">
        <v>11</v>
      </c>
      <c r="C133" t="s">
        <v>12</v>
      </c>
      <c r="D133" t="s">
        <v>17</v>
      </c>
      <c r="E133">
        <v>0.52777777777777701</v>
      </c>
      <c r="F133">
        <v>0.74691826685833296</v>
      </c>
      <c r="G133">
        <v>20.7618117332458</v>
      </c>
      <c r="H133">
        <v>57</v>
      </c>
      <c r="I133">
        <v>57</v>
      </c>
      <c r="J133">
        <v>30</v>
      </c>
    </row>
    <row r="134" spans="1:10" x14ac:dyDescent="0.25">
      <c r="A134" t="s">
        <v>10</v>
      </c>
      <c r="B134" t="s">
        <v>11</v>
      </c>
      <c r="C134" t="s">
        <v>12</v>
      </c>
      <c r="D134" t="s">
        <v>17</v>
      </c>
      <c r="E134">
        <v>0.72222222222222199</v>
      </c>
      <c r="F134">
        <v>0.79454422388888801</v>
      </c>
      <c r="G134">
        <v>21.0774583816528</v>
      </c>
      <c r="H134">
        <v>65</v>
      </c>
      <c r="I134">
        <v>68</v>
      </c>
      <c r="J134">
        <v>30</v>
      </c>
    </row>
    <row r="135" spans="1:10" x14ac:dyDescent="0.25">
      <c r="A135" t="s">
        <v>10</v>
      </c>
      <c r="B135" t="s">
        <v>11</v>
      </c>
      <c r="C135" t="s">
        <v>12</v>
      </c>
      <c r="D135" t="s">
        <v>17</v>
      </c>
      <c r="E135">
        <v>0.69444444444444398</v>
      </c>
      <c r="F135">
        <v>0.78562250890833296</v>
      </c>
      <c r="G135">
        <v>21.142091989517201</v>
      </c>
      <c r="H135">
        <v>62</v>
      </c>
      <c r="I135">
        <v>67</v>
      </c>
      <c r="J135">
        <v>30</v>
      </c>
    </row>
    <row r="136" spans="1:10" x14ac:dyDescent="0.25">
      <c r="A136" t="s">
        <v>10</v>
      </c>
      <c r="B136" t="s">
        <v>11</v>
      </c>
      <c r="C136" t="s">
        <v>12</v>
      </c>
      <c r="D136" t="s">
        <v>17</v>
      </c>
      <c r="E136">
        <v>0.75</v>
      </c>
      <c r="F136">
        <v>0.78971880900277702</v>
      </c>
      <c r="G136">
        <v>21.173481464385901</v>
      </c>
      <c r="H136">
        <v>57</v>
      </c>
      <c r="I136">
        <v>55</v>
      </c>
      <c r="J136">
        <v>30</v>
      </c>
    </row>
    <row r="137" spans="1:10" x14ac:dyDescent="0.25">
      <c r="A137" t="s">
        <v>10</v>
      </c>
      <c r="B137" t="s">
        <v>11</v>
      </c>
      <c r="C137" t="s">
        <v>12</v>
      </c>
      <c r="D137" t="s">
        <v>17</v>
      </c>
      <c r="E137">
        <v>0.66666666666666596</v>
      </c>
      <c r="F137">
        <v>0.77663117287777705</v>
      </c>
      <c r="G137">
        <v>21.192118406295702</v>
      </c>
      <c r="H137">
        <v>62</v>
      </c>
      <c r="I137">
        <v>63</v>
      </c>
      <c r="J137">
        <v>30</v>
      </c>
    </row>
    <row r="138" spans="1:10" x14ac:dyDescent="0.25">
      <c r="A138" t="s">
        <v>10</v>
      </c>
      <c r="B138" t="s">
        <v>11</v>
      </c>
      <c r="C138" t="s">
        <v>12</v>
      </c>
      <c r="D138" t="s">
        <v>17</v>
      </c>
      <c r="E138">
        <v>0.47222222222222199</v>
      </c>
      <c r="F138">
        <v>0.73761205002222197</v>
      </c>
      <c r="G138">
        <v>21.388379812240601</v>
      </c>
      <c r="H138">
        <v>48</v>
      </c>
      <c r="I138">
        <v>49</v>
      </c>
      <c r="J138">
        <v>30</v>
      </c>
    </row>
    <row r="139" spans="1:10" x14ac:dyDescent="0.25">
      <c r="A139" t="s">
        <v>10</v>
      </c>
      <c r="B139" t="s">
        <v>11</v>
      </c>
      <c r="C139" t="s">
        <v>12</v>
      </c>
      <c r="D139" t="s">
        <v>17</v>
      </c>
      <c r="E139">
        <v>0.66666666666666596</v>
      </c>
      <c r="F139">
        <v>0.77287159673888794</v>
      </c>
      <c r="G139">
        <v>21.422039747238099</v>
      </c>
      <c r="H139">
        <v>56</v>
      </c>
      <c r="I139">
        <v>56</v>
      </c>
      <c r="J139">
        <v>30</v>
      </c>
    </row>
    <row r="140" spans="1:10" x14ac:dyDescent="0.25">
      <c r="A140" t="s">
        <v>10</v>
      </c>
      <c r="B140" t="s">
        <v>11</v>
      </c>
      <c r="C140" t="s">
        <v>12</v>
      </c>
      <c r="D140" t="s">
        <v>17</v>
      </c>
      <c r="E140">
        <v>0.72222222222222199</v>
      </c>
      <c r="F140">
        <v>0.775108066802777</v>
      </c>
      <c r="G140">
        <v>21.650445938110298</v>
      </c>
      <c r="H140">
        <v>57</v>
      </c>
      <c r="I140">
        <v>64</v>
      </c>
      <c r="J140">
        <v>30</v>
      </c>
    </row>
    <row r="141" spans="1:10" x14ac:dyDescent="0.25">
      <c r="A141" t="s">
        <v>10</v>
      </c>
      <c r="B141" t="s">
        <v>11</v>
      </c>
      <c r="C141" t="s">
        <v>12</v>
      </c>
      <c r="D141" t="s">
        <v>17</v>
      </c>
      <c r="E141">
        <v>0.75</v>
      </c>
      <c r="F141">
        <v>0.79582828837499997</v>
      </c>
      <c r="G141">
        <v>21.658677577972401</v>
      </c>
      <c r="H141">
        <v>60</v>
      </c>
      <c r="I141">
        <v>64</v>
      </c>
      <c r="J141">
        <v>30</v>
      </c>
    </row>
    <row r="142" spans="1:10" x14ac:dyDescent="0.25">
      <c r="A142" t="s">
        <v>10</v>
      </c>
      <c r="B142" t="s">
        <v>11</v>
      </c>
      <c r="C142" t="s">
        <v>12</v>
      </c>
      <c r="D142" t="s">
        <v>17</v>
      </c>
      <c r="E142">
        <v>0.80555555555555503</v>
      </c>
      <c r="F142">
        <v>0.80003556958055499</v>
      </c>
      <c r="G142">
        <v>21.7370557785034</v>
      </c>
      <c r="H142">
        <v>71</v>
      </c>
      <c r="I142">
        <v>73</v>
      </c>
      <c r="J142">
        <v>30</v>
      </c>
    </row>
    <row r="143" spans="1:10" x14ac:dyDescent="0.25">
      <c r="A143" t="s">
        <v>10</v>
      </c>
      <c r="B143" t="s">
        <v>11</v>
      </c>
      <c r="C143" t="s">
        <v>12</v>
      </c>
      <c r="D143" t="s">
        <v>17</v>
      </c>
      <c r="E143">
        <v>0.5</v>
      </c>
      <c r="F143">
        <v>0.74537147254444402</v>
      </c>
      <c r="G143">
        <v>21.831498861312799</v>
      </c>
      <c r="H143">
        <v>59</v>
      </c>
      <c r="I143">
        <v>56</v>
      </c>
      <c r="J143">
        <v>30</v>
      </c>
    </row>
    <row r="144" spans="1:10" x14ac:dyDescent="0.25">
      <c r="A144" t="s">
        <v>10</v>
      </c>
      <c r="B144" t="s">
        <v>11</v>
      </c>
      <c r="C144" t="s">
        <v>12</v>
      </c>
      <c r="D144" t="s">
        <v>17</v>
      </c>
      <c r="E144">
        <v>0.66666666666666596</v>
      </c>
      <c r="F144">
        <v>0.77166436971388896</v>
      </c>
      <c r="G144">
        <v>21.852855920791601</v>
      </c>
      <c r="H144">
        <v>66</v>
      </c>
      <c r="I144">
        <v>66</v>
      </c>
      <c r="J144">
        <v>30</v>
      </c>
    </row>
    <row r="145" spans="1:10" x14ac:dyDescent="0.25">
      <c r="A145" t="s">
        <v>10</v>
      </c>
      <c r="B145" t="s">
        <v>11</v>
      </c>
      <c r="C145" t="s">
        <v>12</v>
      </c>
      <c r="D145" t="s">
        <v>17</v>
      </c>
      <c r="E145">
        <v>0.52777777777777701</v>
      </c>
      <c r="F145">
        <v>0.72979116282222201</v>
      </c>
      <c r="G145">
        <v>21.847907304763702</v>
      </c>
      <c r="H145">
        <v>56</v>
      </c>
      <c r="I145">
        <v>59</v>
      </c>
      <c r="J145">
        <v>30</v>
      </c>
    </row>
    <row r="146" spans="1:10" x14ac:dyDescent="0.25">
      <c r="A146" t="s">
        <v>10</v>
      </c>
      <c r="B146" t="s">
        <v>11</v>
      </c>
      <c r="C146" t="s">
        <v>12</v>
      </c>
      <c r="D146" t="s">
        <v>17</v>
      </c>
      <c r="E146">
        <v>0.69444444444444398</v>
      </c>
      <c r="F146">
        <v>0.79622397922777699</v>
      </c>
      <c r="G146">
        <v>21.882771253585801</v>
      </c>
      <c r="H146">
        <v>57</v>
      </c>
      <c r="I146">
        <v>65</v>
      </c>
      <c r="J146">
        <v>30</v>
      </c>
    </row>
    <row r="147" spans="1:10" x14ac:dyDescent="0.25">
      <c r="A147" t="s">
        <v>10</v>
      </c>
      <c r="B147" t="s">
        <v>11</v>
      </c>
      <c r="C147" t="s">
        <v>12</v>
      </c>
      <c r="D147" t="s">
        <v>17</v>
      </c>
      <c r="E147">
        <v>0.80555555555555503</v>
      </c>
      <c r="F147">
        <v>0.81720136977222202</v>
      </c>
      <c r="G147">
        <v>21.963879585266099</v>
      </c>
      <c r="H147">
        <v>72</v>
      </c>
      <c r="I147">
        <v>66</v>
      </c>
      <c r="J147">
        <v>30</v>
      </c>
    </row>
    <row r="148" spans="1:10" x14ac:dyDescent="0.25">
      <c r="A148" t="s">
        <v>10</v>
      </c>
      <c r="B148" t="s">
        <v>11</v>
      </c>
      <c r="C148" t="s">
        <v>12</v>
      </c>
      <c r="D148" t="s">
        <v>17</v>
      </c>
      <c r="E148">
        <v>0.58333333333333304</v>
      </c>
      <c r="F148">
        <v>0.758795381119444</v>
      </c>
      <c r="G148">
        <v>21.9646427631378</v>
      </c>
      <c r="H148">
        <v>67</v>
      </c>
      <c r="I148">
        <v>75</v>
      </c>
      <c r="J148">
        <v>30</v>
      </c>
    </row>
    <row r="149" spans="1:10" x14ac:dyDescent="0.25">
      <c r="A149" t="s">
        <v>10</v>
      </c>
      <c r="B149" t="s">
        <v>11</v>
      </c>
      <c r="C149" t="s">
        <v>12</v>
      </c>
      <c r="D149" t="s">
        <v>17</v>
      </c>
      <c r="E149">
        <v>0.61111111111111105</v>
      </c>
      <c r="F149">
        <v>0.78229933922222195</v>
      </c>
      <c r="G149">
        <v>21.984507799148499</v>
      </c>
      <c r="H149">
        <v>63</v>
      </c>
      <c r="I149">
        <v>66</v>
      </c>
      <c r="J149">
        <v>30</v>
      </c>
    </row>
    <row r="150" spans="1:10" x14ac:dyDescent="0.25">
      <c r="A150" t="s">
        <v>10</v>
      </c>
      <c r="B150" t="s">
        <v>11</v>
      </c>
      <c r="C150" t="s">
        <v>12</v>
      </c>
      <c r="D150" t="s">
        <v>17</v>
      </c>
      <c r="E150">
        <v>0.66666666666666596</v>
      </c>
      <c r="F150">
        <v>0.77620813416666601</v>
      </c>
      <c r="G150">
        <v>22.070950984954798</v>
      </c>
      <c r="H150">
        <v>59</v>
      </c>
      <c r="I150">
        <v>63</v>
      </c>
      <c r="J150">
        <v>30</v>
      </c>
    </row>
    <row r="151" spans="1:10" x14ac:dyDescent="0.25">
      <c r="A151" t="s">
        <v>10</v>
      </c>
      <c r="B151" t="s">
        <v>11</v>
      </c>
      <c r="C151" t="s">
        <v>12</v>
      </c>
      <c r="D151" t="s">
        <v>17</v>
      </c>
      <c r="E151">
        <v>0.75</v>
      </c>
      <c r="F151">
        <v>0.79515378891388799</v>
      </c>
      <c r="G151">
        <v>22.081073522567699</v>
      </c>
      <c r="H151">
        <v>63</v>
      </c>
      <c r="I151">
        <v>66</v>
      </c>
      <c r="J151">
        <v>30</v>
      </c>
    </row>
    <row r="152" spans="1:10" x14ac:dyDescent="0.25">
      <c r="A152" t="s">
        <v>10</v>
      </c>
      <c r="B152" t="s">
        <v>11</v>
      </c>
      <c r="C152" t="s">
        <v>18</v>
      </c>
      <c r="D152" t="s">
        <v>13</v>
      </c>
      <c r="E152">
        <v>0.94444444444444398</v>
      </c>
      <c r="F152">
        <v>0.95065606333055497</v>
      </c>
      <c r="G152">
        <v>0.79295110702514604</v>
      </c>
      <c r="H152">
        <v>6</v>
      </c>
      <c r="I152">
        <v>6</v>
      </c>
      <c r="J152">
        <v>30</v>
      </c>
    </row>
    <row r="153" spans="1:10" x14ac:dyDescent="0.25">
      <c r="A153" t="s">
        <v>10</v>
      </c>
      <c r="B153" t="s">
        <v>11</v>
      </c>
      <c r="C153" t="s">
        <v>18</v>
      </c>
      <c r="D153" t="s">
        <v>13</v>
      </c>
      <c r="E153">
        <v>0.88888888888888795</v>
      </c>
      <c r="F153">
        <v>0.90270670978888801</v>
      </c>
      <c r="G153">
        <v>0.99829030036926203</v>
      </c>
      <c r="H153">
        <v>6</v>
      </c>
      <c r="I153">
        <v>6</v>
      </c>
      <c r="J153">
        <v>30</v>
      </c>
    </row>
    <row r="154" spans="1:10" x14ac:dyDescent="0.25">
      <c r="A154" t="s">
        <v>10</v>
      </c>
      <c r="B154" t="s">
        <v>11</v>
      </c>
      <c r="C154" t="s">
        <v>18</v>
      </c>
      <c r="D154" t="s">
        <v>13</v>
      </c>
      <c r="E154">
        <v>0.97222222222222199</v>
      </c>
      <c r="F154">
        <v>0.96660420063611097</v>
      </c>
      <c r="G154">
        <v>1.04840612411499</v>
      </c>
      <c r="H154">
        <v>7</v>
      </c>
      <c r="I154">
        <v>7</v>
      </c>
      <c r="J154">
        <v>30</v>
      </c>
    </row>
    <row r="155" spans="1:10" x14ac:dyDescent="0.25">
      <c r="A155" t="s">
        <v>10</v>
      </c>
      <c r="B155" t="s">
        <v>11</v>
      </c>
      <c r="C155" t="s">
        <v>18</v>
      </c>
      <c r="D155" t="s">
        <v>13</v>
      </c>
      <c r="E155">
        <v>0.88888888888888795</v>
      </c>
      <c r="F155">
        <v>0.93202631599166597</v>
      </c>
      <c r="G155">
        <v>1.2810256481170601</v>
      </c>
      <c r="H155">
        <v>8</v>
      </c>
      <c r="I155">
        <v>8</v>
      </c>
      <c r="J155">
        <v>30</v>
      </c>
    </row>
    <row r="156" spans="1:10" x14ac:dyDescent="0.25">
      <c r="A156" t="s">
        <v>10</v>
      </c>
      <c r="B156" t="s">
        <v>11</v>
      </c>
      <c r="C156" t="s">
        <v>18</v>
      </c>
      <c r="D156" t="s">
        <v>13</v>
      </c>
      <c r="E156">
        <v>0.97222222222222199</v>
      </c>
      <c r="F156">
        <v>0.97288019401388803</v>
      </c>
      <c r="G156">
        <v>1.3277559280395499</v>
      </c>
      <c r="H156">
        <v>7</v>
      </c>
      <c r="I156">
        <v>7</v>
      </c>
      <c r="J156">
        <v>30</v>
      </c>
    </row>
    <row r="157" spans="1:10" x14ac:dyDescent="0.25">
      <c r="A157" t="s">
        <v>10</v>
      </c>
      <c r="B157" t="s">
        <v>11</v>
      </c>
      <c r="C157" t="s">
        <v>18</v>
      </c>
      <c r="D157" t="s">
        <v>13</v>
      </c>
      <c r="E157">
        <v>0.83333333333333304</v>
      </c>
      <c r="F157">
        <v>0.8654392957</v>
      </c>
      <c r="G157">
        <v>1.33112215995788</v>
      </c>
      <c r="H157">
        <v>6</v>
      </c>
      <c r="I157">
        <v>6</v>
      </c>
      <c r="J157">
        <v>30</v>
      </c>
    </row>
    <row r="158" spans="1:10" x14ac:dyDescent="0.25">
      <c r="A158" t="s">
        <v>10</v>
      </c>
      <c r="B158" t="s">
        <v>11</v>
      </c>
      <c r="C158" t="s">
        <v>18</v>
      </c>
      <c r="D158" t="s">
        <v>13</v>
      </c>
      <c r="E158">
        <v>0.91666666666666596</v>
      </c>
      <c r="F158">
        <v>0.92199035496111104</v>
      </c>
      <c r="G158">
        <v>1.3698978424072199</v>
      </c>
      <c r="H158">
        <v>6</v>
      </c>
      <c r="I158">
        <v>6</v>
      </c>
      <c r="J158">
        <v>30</v>
      </c>
    </row>
    <row r="159" spans="1:10" x14ac:dyDescent="0.25">
      <c r="A159" t="s">
        <v>10</v>
      </c>
      <c r="B159" t="s">
        <v>11</v>
      </c>
      <c r="C159" t="s">
        <v>18</v>
      </c>
      <c r="D159" t="s">
        <v>13</v>
      </c>
      <c r="E159">
        <v>0.88888888888888795</v>
      </c>
      <c r="F159">
        <v>0.95618929330000002</v>
      </c>
      <c r="G159">
        <v>1.3775053024291899</v>
      </c>
      <c r="H159">
        <v>7</v>
      </c>
      <c r="I159">
        <v>7</v>
      </c>
      <c r="J159">
        <v>30</v>
      </c>
    </row>
    <row r="160" spans="1:10" x14ac:dyDescent="0.25">
      <c r="A160" t="s">
        <v>10</v>
      </c>
      <c r="B160" t="s">
        <v>11</v>
      </c>
      <c r="C160" t="s">
        <v>18</v>
      </c>
      <c r="D160" t="s">
        <v>13</v>
      </c>
      <c r="E160">
        <v>0.91666666666666596</v>
      </c>
      <c r="F160">
        <v>0.95399119257222198</v>
      </c>
      <c r="G160">
        <v>1.4152488708496</v>
      </c>
      <c r="H160">
        <v>6</v>
      </c>
      <c r="I160">
        <v>6</v>
      </c>
      <c r="J160">
        <v>30</v>
      </c>
    </row>
    <row r="161" spans="1:10" x14ac:dyDescent="0.25">
      <c r="A161" t="s">
        <v>10</v>
      </c>
      <c r="B161" t="s">
        <v>11</v>
      </c>
      <c r="C161" t="s">
        <v>18</v>
      </c>
      <c r="D161" t="s">
        <v>13</v>
      </c>
      <c r="E161">
        <v>0.91666666666666596</v>
      </c>
      <c r="F161">
        <v>0.93226717387222202</v>
      </c>
      <c r="G161">
        <v>1.41923356056213</v>
      </c>
      <c r="H161">
        <v>6</v>
      </c>
      <c r="I161">
        <v>6</v>
      </c>
      <c r="J161">
        <v>30</v>
      </c>
    </row>
    <row r="162" spans="1:10" x14ac:dyDescent="0.25">
      <c r="A162" t="s">
        <v>10</v>
      </c>
      <c r="B162" t="s">
        <v>11</v>
      </c>
      <c r="C162" t="s">
        <v>18</v>
      </c>
      <c r="D162" t="s">
        <v>13</v>
      </c>
      <c r="E162">
        <v>0.94444444444444398</v>
      </c>
      <c r="F162">
        <v>0.93963903515000002</v>
      </c>
      <c r="G162">
        <v>1.4144861698150599</v>
      </c>
      <c r="H162">
        <v>6</v>
      </c>
      <c r="I162">
        <v>6</v>
      </c>
      <c r="J162">
        <v>30</v>
      </c>
    </row>
    <row r="163" spans="1:10" x14ac:dyDescent="0.25">
      <c r="A163" t="s">
        <v>10</v>
      </c>
      <c r="B163" t="s">
        <v>11</v>
      </c>
      <c r="C163" t="s">
        <v>18</v>
      </c>
      <c r="D163" t="s">
        <v>13</v>
      </c>
      <c r="E163">
        <v>0.88888888888888795</v>
      </c>
      <c r="F163">
        <v>0.89232986183055496</v>
      </c>
      <c r="G163">
        <v>1.4449663162231401</v>
      </c>
      <c r="H163">
        <v>6</v>
      </c>
      <c r="I163">
        <v>6</v>
      </c>
      <c r="J163">
        <v>30</v>
      </c>
    </row>
    <row r="164" spans="1:10" x14ac:dyDescent="0.25">
      <c r="A164" t="s">
        <v>10</v>
      </c>
      <c r="B164" t="s">
        <v>11</v>
      </c>
      <c r="C164" t="s">
        <v>18</v>
      </c>
      <c r="D164" t="s">
        <v>13</v>
      </c>
      <c r="E164">
        <v>0.91666666666666596</v>
      </c>
      <c r="F164">
        <v>0.91772985123611095</v>
      </c>
      <c r="G164">
        <v>1.45802330970764</v>
      </c>
      <c r="H164">
        <v>7</v>
      </c>
      <c r="I164">
        <v>7</v>
      </c>
      <c r="J164">
        <v>30</v>
      </c>
    </row>
    <row r="165" spans="1:10" x14ac:dyDescent="0.25">
      <c r="A165" t="s">
        <v>10</v>
      </c>
      <c r="B165" t="s">
        <v>11</v>
      </c>
      <c r="C165" t="s">
        <v>18</v>
      </c>
      <c r="D165" t="s">
        <v>13</v>
      </c>
      <c r="E165">
        <v>0.94444444444444398</v>
      </c>
      <c r="F165">
        <v>0.94881602971388801</v>
      </c>
      <c r="G165">
        <v>1.46202397346496</v>
      </c>
      <c r="H165">
        <v>6</v>
      </c>
      <c r="I165">
        <v>6</v>
      </c>
      <c r="J165">
        <v>30</v>
      </c>
    </row>
    <row r="166" spans="1:10" x14ac:dyDescent="0.25">
      <c r="A166" t="s">
        <v>10</v>
      </c>
      <c r="B166" t="s">
        <v>11</v>
      </c>
      <c r="C166" t="s">
        <v>18</v>
      </c>
      <c r="D166" t="s">
        <v>13</v>
      </c>
      <c r="E166">
        <v>0.94444444444444398</v>
      </c>
      <c r="F166">
        <v>0.95115512708055505</v>
      </c>
      <c r="G166">
        <v>1.4735939502716</v>
      </c>
      <c r="H166">
        <v>6</v>
      </c>
      <c r="I166">
        <v>6</v>
      </c>
      <c r="J166">
        <v>30</v>
      </c>
    </row>
    <row r="167" spans="1:10" x14ac:dyDescent="0.25">
      <c r="A167" t="s">
        <v>10</v>
      </c>
      <c r="B167" t="s">
        <v>11</v>
      </c>
      <c r="C167" t="s">
        <v>18</v>
      </c>
      <c r="D167" t="s">
        <v>13</v>
      </c>
      <c r="E167">
        <v>0.94444444444444398</v>
      </c>
      <c r="F167">
        <v>0.96157968316111098</v>
      </c>
      <c r="G167">
        <v>1.51079821586608</v>
      </c>
      <c r="H167">
        <v>6</v>
      </c>
      <c r="I167">
        <v>6</v>
      </c>
      <c r="J167">
        <v>30</v>
      </c>
    </row>
    <row r="168" spans="1:10" x14ac:dyDescent="0.25">
      <c r="A168" t="s">
        <v>10</v>
      </c>
      <c r="B168" t="s">
        <v>11</v>
      </c>
      <c r="C168" t="s">
        <v>18</v>
      </c>
      <c r="D168" t="s">
        <v>13</v>
      </c>
      <c r="E168">
        <v>0.94444444444444398</v>
      </c>
      <c r="F168">
        <v>0.95154309806944404</v>
      </c>
      <c r="G168">
        <v>1.52273249626159</v>
      </c>
      <c r="H168">
        <v>7</v>
      </c>
      <c r="I168">
        <v>7</v>
      </c>
      <c r="J168">
        <v>30</v>
      </c>
    </row>
    <row r="169" spans="1:10" x14ac:dyDescent="0.25">
      <c r="A169" t="s">
        <v>10</v>
      </c>
      <c r="B169" t="s">
        <v>11</v>
      </c>
      <c r="C169" t="s">
        <v>18</v>
      </c>
      <c r="D169" t="s">
        <v>13</v>
      </c>
      <c r="E169">
        <v>0.86111111111111105</v>
      </c>
      <c r="F169">
        <v>0.89327824836111103</v>
      </c>
      <c r="G169">
        <v>1.5364487171173</v>
      </c>
      <c r="H169">
        <v>6</v>
      </c>
      <c r="I169">
        <v>6</v>
      </c>
      <c r="J169">
        <v>30</v>
      </c>
    </row>
    <row r="170" spans="1:10" x14ac:dyDescent="0.25">
      <c r="A170" t="s">
        <v>10</v>
      </c>
      <c r="B170" t="s">
        <v>11</v>
      </c>
      <c r="C170" t="s">
        <v>18</v>
      </c>
      <c r="D170" t="s">
        <v>13</v>
      </c>
      <c r="E170">
        <v>0.91666666666666596</v>
      </c>
      <c r="F170">
        <v>0.94244614401388804</v>
      </c>
      <c r="G170">
        <v>1.5525591373443599</v>
      </c>
      <c r="H170">
        <v>6</v>
      </c>
      <c r="I170">
        <v>6</v>
      </c>
      <c r="J170">
        <v>30</v>
      </c>
    </row>
    <row r="171" spans="1:10" x14ac:dyDescent="0.25">
      <c r="A171" t="s">
        <v>10</v>
      </c>
      <c r="B171" t="s">
        <v>11</v>
      </c>
      <c r="C171" t="s">
        <v>18</v>
      </c>
      <c r="D171" t="s">
        <v>13</v>
      </c>
      <c r="E171">
        <v>1</v>
      </c>
      <c r="F171">
        <v>0.98995415350000004</v>
      </c>
      <c r="G171">
        <v>1.58112215995788</v>
      </c>
      <c r="H171">
        <v>7</v>
      </c>
      <c r="I171">
        <v>7</v>
      </c>
      <c r="J171">
        <v>30</v>
      </c>
    </row>
    <row r="172" spans="1:10" x14ac:dyDescent="0.25">
      <c r="A172" t="s">
        <v>10</v>
      </c>
      <c r="B172" t="s">
        <v>11</v>
      </c>
      <c r="C172" t="s">
        <v>18</v>
      </c>
      <c r="D172" t="s">
        <v>13</v>
      </c>
      <c r="E172">
        <v>0.94444444444444398</v>
      </c>
      <c r="F172">
        <v>0.94555099934722198</v>
      </c>
      <c r="G172">
        <v>1.6118078231811499</v>
      </c>
      <c r="H172">
        <v>7</v>
      </c>
      <c r="I172">
        <v>8</v>
      </c>
      <c r="J172">
        <v>30</v>
      </c>
    </row>
    <row r="173" spans="1:10" x14ac:dyDescent="0.25">
      <c r="A173" t="s">
        <v>10</v>
      </c>
      <c r="B173" t="s">
        <v>11</v>
      </c>
      <c r="C173" t="s">
        <v>18</v>
      </c>
      <c r="D173" t="s">
        <v>13</v>
      </c>
      <c r="E173">
        <v>1</v>
      </c>
      <c r="F173">
        <v>0.99126827823333297</v>
      </c>
      <c r="G173">
        <v>1.64485239982604</v>
      </c>
      <c r="H173">
        <v>8</v>
      </c>
      <c r="I173">
        <v>8</v>
      </c>
      <c r="J173">
        <v>30</v>
      </c>
    </row>
    <row r="174" spans="1:10" x14ac:dyDescent="0.25">
      <c r="A174" t="s">
        <v>10</v>
      </c>
      <c r="B174" t="s">
        <v>11</v>
      </c>
      <c r="C174" t="s">
        <v>18</v>
      </c>
      <c r="D174" t="s">
        <v>13</v>
      </c>
      <c r="E174">
        <v>0.86111111111111105</v>
      </c>
      <c r="F174">
        <v>0.88152566532222199</v>
      </c>
      <c r="G174">
        <v>1.6587445735931301</v>
      </c>
      <c r="H174">
        <v>7</v>
      </c>
      <c r="I174">
        <v>8</v>
      </c>
      <c r="J174">
        <v>30</v>
      </c>
    </row>
    <row r="175" spans="1:10" x14ac:dyDescent="0.25">
      <c r="A175" t="s">
        <v>10</v>
      </c>
      <c r="B175" t="s">
        <v>11</v>
      </c>
      <c r="C175" t="s">
        <v>18</v>
      </c>
      <c r="D175" t="s">
        <v>13</v>
      </c>
      <c r="E175">
        <v>0.97222222222222199</v>
      </c>
      <c r="F175">
        <v>0.97288232489166604</v>
      </c>
      <c r="G175">
        <v>1.6736528873443599</v>
      </c>
      <c r="H175">
        <v>7</v>
      </c>
      <c r="I175">
        <v>7</v>
      </c>
      <c r="J175">
        <v>30</v>
      </c>
    </row>
    <row r="176" spans="1:10" x14ac:dyDescent="0.25">
      <c r="A176" t="s">
        <v>10</v>
      </c>
      <c r="B176" t="s">
        <v>11</v>
      </c>
      <c r="C176" t="s">
        <v>18</v>
      </c>
      <c r="D176" t="s">
        <v>13</v>
      </c>
      <c r="E176">
        <v>0.94444444444444398</v>
      </c>
      <c r="F176">
        <v>0.953903811066666</v>
      </c>
      <c r="G176">
        <v>1.6883676052093499</v>
      </c>
      <c r="H176">
        <v>6</v>
      </c>
      <c r="I176">
        <v>6</v>
      </c>
      <c r="J176">
        <v>30</v>
      </c>
    </row>
    <row r="177" spans="1:10" x14ac:dyDescent="0.25">
      <c r="A177" t="s">
        <v>10</v>
      </c>
      <c r="B177" t="s">
        <v>11</v>
      </c>
      <c r="C177" t="s">
        <v>18</v>
      </c>
      <c r="D177" t="s">
        <v>13</v>
      </c>
      <c r="E177">
        <v>0.94444444444444398</v>
      </c>
      <c r="F177">
        <v>0.95410006595555497</v>
      </c>
      <c r="G177">
        <v>1.69383645057678</v>
      </c>
      <c r="H177">
        <v>6</v>
      </c>
      <c r="I177">
        <v>6</v>
      </c>
      <c r="J177">
        <v>30</v>
      </c>
    </row>
    <row r="178" spans="1:10" x14ac:dyDescent="0.25">
      <c r="A178" t="s">
        <v>10</v>
      </c>
      <c r="B178" t="s">
        <v>11</v>
      </c>
      <c r="C178" t="s">
        <v>18</v>
      </c>
      <c r="D178" t="s">
        <v>13</v>
      </c>
      <c r="E178">
        <v>0.91666666666666596</v>
      </c>
      <c r="F178">
        <v>0.93593588661666605</v>
      </c>
      <c r="G178">
        <v>1.69887423515319</v>
      </c>
      <c r="H178">
        <v>7</v>
      </c>
      <c r="I178">
        <v>8</v>
      </c>
      <c r="J178">
        <v>30</v>
      </c>
    </row>
    <row r="179" spans="1:10" x14ac:dyDescent="0.25">
      <c r="A179" t="s">
        <v>10</v>
      </c>
      <c r="B179" t="s">
        <v>11</v>
      </c>
      <c r="C179" t="s">
        <v>18</v>
      </c>
      <c r="D179" t="s">
        <v>13</v>
      </c>
      <c r="E179">
        <v>0.94444444444444398</v>
      </c>
      <c r="F179">
        <v>0.97377250988888797</v>
      </c>
      <c r="G179">
        <v>1.6920580863952599</v>
      </c>
      <c r="H179">
        <v>7</v>
      </c>
      <c r="I179">
        <v>7</v>
      </c>
      <c r="J179">
        <v>30</v>
      </c>
    </row>
    <row r="180" spans="1:10" x14ac:dyDescent="0.25">
      <c r="A180" t="s">
        <v>10</v>
      </c>
      <c r="B180" t="s">
        <v>11</v>
      </c>
      <c r="C180" t="s">
        <v>18</v>
      </c>
      <c r="D180" t="s">
        <v>13</v>
      </c>
      <c r="E180">
        <v>0.91666666666666596</v>
      </c>
      <c r="F180">
        <v>0.926096419636111</v>
      </c>
      <c r="G180">
        <v>1.69656085968017</v>
      </c>
      <c r="H180">
        <v>8</v>
      </c>
      <c r="I180">
        <v>8</v>
      </c>
      <c r="J180">
        <v>30</v>
      </c>
    </row>
    <row r="181" spans="1:10" x14ac:dyDescent="0.25">
      <c r="A181" t="s">
        <v>10</v>
      </c>
      <c r="B181" t="s">
        <v>11</v>
      </c>
      <c r="C181" t="s">
        <v>18</v>
      </c>
      <c r="D181" t="s">
        <v>13</v>
      </c>
      <c r="E181">
        <v>0.94444444444444398</v>
      </c>
      <c r="F181">
        <v>0.94769081292777702</v>
      </c>
      <c r="G181">
        <v>1.6964750289916899</v>
      </c>
      <c r="H181">
        <v>6</v>
      </c>
      <c r="I181">
        <v>6</v>
      </c>
      <c r="J181">
        <v>30</v>
      </c>
    </row>
    <row r="182" spans="1:10" x14ac:dyDescent="0.25">
      <c r="A182" t="s">
        <v>10</v>
      </c>
      <c r="B182" t="s">
        <v>11</v>
      </c>
      <c r="C182" t="s">
        <v>18</v>
      </c>
      <c r="D182" t="s">
        <v>14</v>
      </c>
      <c r="E182">
        <v>0.97222222222222199</v>
      </c>
      <c r="F182">
        <v>0.966580781008333</v>
      </c>
      <c r="G182">
        <v>0.44262933731079102</v>
      </c>
      <c r="H182">
        <v>7</v>
      </c>
      <c r="I182">
        <v>7</v>
      </c>
      <c r="J182">
        <v>30</v>
      </c>
    </row>
    <row r="183" spans="1:10" x14ac:dyDescent="0.25">
      <c r="A183" t="s">
        <v>10</v>
      </c>
      <c r="B183" t="s">
        <v>11</v>
      </c>
      <c r="C183" t="s">
        <v>18</v>
      </c>
      <c r="D183" t="s">
        <v>14</v>
      </c>
      <c r="E183">
        <v>0.91666666666666596</v>
      </c>
      <c r="F183">
        <v>0.923206617522222</v>
      </c>
      <c r="G183">
        <v>0.46080875396728499</v>
      </c>
      <c r="H183">
        <v>7</v>
      </c>
      <c r="I183">
        <v>7</v>
      </c>
      <c r="J183">
        <v>30</v>
      </c>
    </row>
    <row r="184" spans="1:10" x14ac:dyDescent="0.25">
      <c r="A184" t="s">
        <v>10</v>
      </c>
      <c r="B184" t="s">
        <v>11</v>
      </c>
      <c r="C184" t="s">
        <v>18</v>
      </c>
      <c r="D184" t="s">
        <v>14</v>
      </c>
      <c r="E184">
        <v>0.94444444444444398</v>
      </c>
      <c r="F184">
        <v>0.94857512853611103</v>
      </c>
      <c r="G184">
        <v>0.53865003585815396</v>
      </c>
      <c r="H184">
        <v>7</v>
      </c>
      <c r="I184">
        <v>7</v>
      </c>
      <c r="J184">
        <v>30</v>
      </c>
    </row>
    <row r="185" spans="1:10" x14ac:dyDescent="0.25">
      <c r="A185" t="s">
        <v>10</v>
      </c>
      <c r="B185" t="s">
        <v>11</v>
      </c>
      <c r="C185" t="s">
        <v>18</v>
      </c>
      <c r="D185" t="s">
        <v>14</v>
      </c>
      <c r="E185">
        <v>0.97222222222222199</v>
      </c>
      <c r="F185">
        <v>0.967394343838888</v>
      </c>
      <c r="G185">
        <v>0.58193445205688399</v>
      </c>
      <c r="H185">
        <v>7</v>
      </c>
      <c r="I185">
        <v>7</v>
      </c>
      <c r="J185">
        <v>30</v>
      </c>
    </row>
    <row r="186" spans="1:10" x14ac:dyDescent="0.25">
      <c r="A186" t="s">
        <v>10</v>
      </c>
      <c r="B186" t="s">
        <v>11</v>
      </c>
      <c r="C186" t="s">
        <v>18</v>
      </c>
      <c r="D186" t="s">
        <v>14</v>
      </c>
      <c r="E186">
        <v>0.86111111111111105</v>
      </c>
      <c r="F186">
        <v>0.88886289073333302</v>
      </c>
      <c r="G186">
        <v>0.58822965621948198</v>
      </c>
      <c r="H186">
        <v>6</v>
      </c>
      <c r="I186">
        <v>6</v>
      </c>
      <c r="J186">
        <v>30</v>
      </c>
    </row>
    <row r="187" spans="1:10" x14ac:dyDescent="0.25">
      <c r="A187" t="s">
        <v>10</v>
      </c>
      <c r="B187" t="s">
        <v>11</v>
      </c>
      <c r="C187" t="s">
        <v>18</v>
      </c>
      <c r="D187" t="s">
        <v>14</v>
      </c>
      <c r="E187">
        <v>0.91666666666666596</v>
      </c>
      <c r="F187">
        <v>0.91842586316388797</v>
      </c>
      <c r="G187">
        <v>0.62056922912597601</v>
      </c>
      <c r="H187">
        <v>7</v>
      </c>
      <c r="I187">
        <v>7</v>
      </c>
      <c r="J187">
        <v>30</v>
      </c>
    </row>
    <row r="188" spans="1:10" x14ac:dyDescent="0.25">
      <c r="A188" t="s">
        <v>10</v>
      </c>
      <c r="B188" t="s">
        <v>11</v>
      </c>
      <c r="C188" t="s">
        <v>18</v>
      </c>
      <c r="D188" t="s">
        <v>14</v>
      </c>
      <c r="E188">
        <v>0.97222222222222199</v>
      </c>
      <c r="F188">
        <v>0.96768679678611103</v>
      </c>
      <c r="G188">
        <v>0.656435966491699</v>
      </c>
      <c r="H188">
        <v>7</v>
      </c>
      <c r="I188">
        <v>7</v>
      </c>
      <c r="J188">
        <v>30</v>
      </c>
    </row>
    <row r="189" spans="1:10" x14ac:dyDescent="0.25">
      <c r="A189" t="s">
        <v>10</v>
      </c>
      <c r="B189" t="s">
        <v>11</v>
      </c>
      <c r="C189" t="s">
        <v>18</v>
      </c>
      <c r="D189" t="s">
        <v>14</v>
      </c>
      <c r="E189">
        <v>0.88888888888888795</v>
      </c>
      <c r="F189">
        <v>0.90879784293888799</v>
      </c>
      <c r="G189">
        <v>0.69867444038391102</v>
      </c>
      <c r="H189">
        <v>7</v>
      </c>
      <c r="I189">
        <v>7</v>
      </c>
      <c r="J189">
        <v>30</v>
      </c>
    </row>
    <row r="190" spans="1:10" x14ac:dyDescent="0.25">
      <c r="A190" t="s">
        <v>10</v>
      </c>
      <c r="B190" t="s">
        <v>11</v>
      </c>
      <c r="C190" t="s">
        <v>18</v>
      </c>
      <c r="D190" t="s">
        <v>14</v>
      </c>
      <c r="E190">
        <v>1</v>
      </c>
      <c r="F190">
        <v>0.98792869149166596</v>
      </c>
      <c r="G190">
        <v>0.71848297119140603</v>
      </c>
      <c r="H190">
        <v>7</v>
      </c>
      <c r="I190">
        <v>7</v>
      </c>
      <c r="J190">
        <v>30</v>
      </c>
    </row>
    <row r="191" spans="1:10" x14ac:dyDescent="0.25">
      <c r="A191" t="s">
        <v>10</v>
      </c>
      <c r="B191" t="s">
        <v>11</v>
      </c>
      <c r="C191" t="s">
        <v>18</v>
      </c>
      <c r="D191" t="s">
        <v>14</v>
      </c>
      <c r="E191">
        <v>0.88888888888888795</v>
      </c>
      <c r="F191">
        <v>0.93437144706666597</v>
      </c>
      <c r="G191">
        <v>0.72794771194457997</v>
      </c>
      <c r="H191">
        <v>7</v>
      </c>
      <c r="I191">
        <v>7</v>
      </c>
      <c r="J191">
        <v>30</v>
      </c>
    </row>
    <row r="192" spans="1:10" x14ac:dyDescent="0.25">
      <c r="A192" t="s">
        <v>10</v>
      </c>
      <c r="B192" t="s">
        <v>11</v>
      </c>
      <c r="C192" t="s">
        <v>18</v>
      </c>
      <c r="D192" t="s">
        <v>14</v>
      </c>
      <c r="E192">
        <v>0.97222222222222199</v>
      </c>
      <c r="F192">
        <v>0.96240394549999997</v>
      </c>
      <c r="G192">
        <v>0.80777168273925704</v>
      </c>
      <c r="H192">
        <v>7</v>
      </c>
      <c r="I192">
        <v>7</v>
      </c>
      <c r="J192">
        <v>30</v>
      </c>
    </row>
    <row r="193" spans="1:10" x14ac:dyDescent="0.25">
      <c r="A193" t="s">
        <v>10</v>
      </c>
      <c r="B193" t="s">
        <v>11</v>
      </c>
      <c r="C193" t="s">
        <v>18</v>
      </c>
      <c r="D193" t="s">
        <v>14</v>
      </c>
      <c r="E193">
        <v>0.94444444444444398</v>
      </c>
      <c r="F193">
        <v>0.95013273648611096</v>
      </c>
      <c r="G193">
        <v>0.84854078292846602</v>
      </c>
      <c r="H193">
        <v>7</v>
      </c>
      <c r="I193">
        <v>7</v>
      </c>
      <c r="J193">
        <v>30</v>
      </c>
    </row>
    <row r="194" spans="1:10" x14ac:dyDescent="0.25">
      <c r="A194" t="s">
        <v>10</v>
      </c>
      <c r="B194" t="s">
        <v>11</v>
      </c>
      <c r="C194" t="s">
        <v>18</v>
      </c>
      <c r="D194" t="s">
        <v>14</v>
      </c>
      <c r="E194">
        <v>0.80555555555555503</v>
      </c>
      <c r="F194">
        <v>0.87978773731666604</v>
      </c>
      <c r="G194">
        <v>0.86284446716308505</v>
      </c>
      <c r="H194">
        <v>6</v>
      </c>
      <c r="I194">
        <v>6</v>
      </c>
      <c r="J194">
        <v>30</v>
      </c>
    </row>
    <row r="195" spans="1:10" x14ac:dyDescent="0.25">
      <c r="A195" t="s">
        <v>10</v>
      </c>
      <c r="B195" t="s">
        <v>11</v>
      </c>
      <c r="C195" t="s">
        <v>18</v>
      </c>
      <c r="D195" t="s">
        <v>14</v>
      </c>
      <c r="E195">
        <v>0.91666666666666596</v>
      </c>
      <c r="F195">
        <v>0.92667610088333296</v>
      </c>
      <c r="G195">
        <v>0.86660075187683105</v>
      </c>
      <c r="H195">
        <v>6</v>
      </c>
      <c r="I195">
        <v>6</v>
      </c>
      <c r="J195">
        <v>30</v>
      </c>
    </row>
    <row r="196" spans="1:10" x14ac:dyDescent="0.25">
      <c r="A196" t="s">
        <v>10</v>
      </c>
      <c r="B196" t="s">
        <v>11</v>
      </c>
      <c r="C196" t="s">
        <v>18</v>
      </c>
      <c r="D196" t="s">
        <v>14</v>
      </c>
      <c r="E196">
        <v>0.97222222222222199</v>
      </c>
      <c r="F196">
        <v>0.95378783948055501</v>
      </c>
      <c r="G196">
        <v>0.88328313827514604</v>
      </c>
      <c r="H196">
        <v>8</v>
      </c>
      <c r="I196">
        <v>8</v>
      </c>
      <c r="J196">
        <v>30</v>
      </c>
    </row>
    <row r="197" spans="1:10" x14ac:dyDescent="0.25">
      <c r="A197" t="s">
        <v>10</v>
      </c>
      <c r="B197" t="s">
        <v>11</v>
      </c>
      <c r="C197" t="s">
        <v>18</v>
      </c>
      <c r="D197" t="s">
        <v>14</v>
      </c>
      <c r="E197">
        <v>0.97222222222222199</v>
      </c>
      <c r="F197">
        <v>0.966286464527777</v>
      </c>
      <c r="G197">
        <v>0.88950276374816895</v>
      </c>
      <c r="H197">
        <v>7</v>
      </c>
      <c r="I197">
        <v>7</v>
      </c>
      <c r="J197">
        <v>30</v>
      </c>
    </row>
    <row r="198" spans="1:10" x14ac:dyDescent="0.25">
      <c r="A198" t="s">
        <v>10</v>
      </c>
      <c r="B198" t="s">
        <v>11</v>
      </c>
      <c r="C198" t="s">
        <v>18</v>
      </c>
      <c r="D198" t="s">
        <v>14</v>
      </c>
      <c r="E198">
        <v>0.94444444444444398</v>
      </c>
      <c r="F198">
        <v>0.95519784512222194</v>
      </c>
      <c r="G198">
        <v>0.89357280731201105</v>
      </c>
      <c r="H198">
        <v>7</v>
      </c>
      <c r="I198">
        <v>7</v>
      </c>
      <c r="J198">
        <v>30</v>
      </c>
    </row>
    <row r="199" spans="1:10" x14ac:dyDescent="0.25">
      <c r="A199" t="s">
        <v>10</v>
      </c>
      <c r="B199" t="s">
        <v>11</v>
      </c>
      <c r="C199" t="s">
        <v>18</v>
      </c>
      <c r="D199" t="s">
        <v>14</v>
      </c>
      <c r="E199">
        <v>0.88888888888888795</v>
      </c>
      <c r="F199">
        <v>0.90290919289999905</v>
      </c>
      <c r="G199">
        <v>0.91523408889770497</v>
      </c>
      <c r="H199">
        <v>7</v>
      </c>
      <c r="I199">
        <v>7</v>
      </c>
      <c r="J199">
        <v>30</v>
      </c>
    </row>
    <row r="200" spans="1:10" x14ac:dyDescent="0.25">
      <c r="A200" t="s">
        <v>10</v>
      </c>
      <c r="B200" t="s">
        <v>11</v>
      </c>
      <c r="C200" t="s">
        <v>18</v>
      </c>
      <c r="D200" t="s">
        <v>14</v>
      </c>
      <c r="E200">
        <v>0.88888888888888795</v>
      </c>
      <c r="F200">
        <v>0.90139812750277704</v>
      </c>
      <c r="G200">
        <v>0.92036485671997004</v>
      </c>
      <c r="H200">
        <v>6</v>
      </c>
      <c r="I200">
        <v>6</v>
      </c>
      <c r="J200">
        <v>30</v>
      </c>
    </row>
    <row r="201" spans="1:10" x14ac:dyDescent="0.25">
      <c r="A201" t="s">
        <v>10</v>
      </c>
      <c r="B201" t="s">
        <v>11</v>
      </c>
      <c r="C201" t="s">
        <v>18</v>
      </c>
      <c r="D201" t="s">
        <v>14</v>
      </c>
      <c r="E201">
        <v>0.94444444444444398</v>
      </c>
      <c r="F201">
        <v>0.94847365835555497</v>
      </c>
      <c r="G201">
        <v>0.93329858779907204</v>
      </c>
      <c r="H201">
        <v>7</v>
      </c>
      <c r="I201">
        <v>7</v>
      </c>
      <c r="J201">
        <v>30</v>
      </c>
    </row>
    <row r="202" spans="1:10" x14ac:dyDescent="0.25">
      <c r="A202" t="s">
        <v>10</v>
      </c>
      <c r="B202" t="s">
        <v>11</v>
      </c>
      <c r="C202" t="s">
        <v>18</v>
      </c>
      <c r="D202" t="s">
        <v>14</v>
      </c>
      <c r="E202">
        <v>0.94444444444444398</v>
      </c>
      <c r="F202">
        <v>0.95031939089999995</v>
      </c>
      <c r="G202">
        <v>0.948633432388305</v>
      </c>
      <c r="H202">
        <v>7</v>
      </c>
      <c r="I202">
        <v>7</v>
      </c>
      <c r="J202">
        <v>30</v>
      </c>
    </row>
    <row r="203" spans="1:10" x14ac:dyDescent="0.25">
      <c r="A203" t="s">
        <v>10</v>
      </c>
      <c r="B203" t="s">
        <v>11</v>
      </c>
      <c r="C203" t="s">
        <v>18</v>
      </c>
      <c r="D203" t="s">
        <v>14</v>
      </c>
      <c r="E203">
        <v>0.97222222222222199</v>
      </c>
      <c r="F203">
        <v>0.96390815742499902</v>
      </c>
      <c r="G203">
        <v>0.95621228218078602</v>
      </c>
      <c r="H203">
        <v>8</v>
      </c>
      <c r="I203">
        <v>8</v>
      </c>
      <c r="J203">
        <v>30</v>
      </c>
    </row>
    <row r="204" spans="1:10" x14ac:dyDescent="0.25">
      <c r="A204" t="s">
        <v>10</v>
      </c>
      <c r="B204" t="s">
        <v>11</v>
      </c>
      <c r="C204" t="s">
        <v>18</v>
      </c>
      <c r="D204" t="s">
        <v>14</v>
      </c>
      <c r="E204">
        <v>0.94444444444444398</v>
      </c>
      <c r="F204">
        <v>0.94508389558611094</v>
      </c>
      <c r="G204">
        <v>0.97230863571166903</v>
      </c>
      <c r="H204">
        <v>7</v>
      </c>
      <c r="I204">
        <v>7</v>
      </c>
      <c r="J204">
        <v>30</v>
      </c>
    </row>
    <row r="205" spans="1:10" x14ac:dyDescent="0.25">
      <c r="A205" t="s">
        <v>10</v>
      </c>
      <c r="B205" t="s">
        <v>11</v>
      </c>
      <c r="C205" t="s">
        <v>18</v>
      </c>
      <c r="D205" t="s">
        <v>14</v>
      </c>
      <c r="E205">
        <v>0.94444444444444398</v>
      </c>
      <c r="F205">
        <v>0.94441687055555501</v>
      </c>
      <c r="G205">
        <v>0.98621177673339799</v>
      </c>
      <c r="H205">
        <v>6</v>
      </c>
      <c r="I205">
        <v>6</v>
      </c>
      <c r="J205">
        <v>30</v>
      </c>
    </row>
    <row r="206" spans="1:10" x14ac:dyDescent="0.25">
      <c r="A206" t="s">
        <v>10</v>
      </c>
      <c r="B206" t="s">
        <v>11</v>
      </c>
      <c r="C206" t="s">
        <v>18</v>
      </c>
      <c r="D206" t="s">
        <v>14</v>
      </c>
      <c r="E206">
        <v>0.97222222222222199</v>
      </c>
      <c r="F206">
        <v>0.971455742575</v>
      </c>
      <c r="G206">
        <v>0.98038911819457997</v>
      </c>
      <c r="H206">
        <v>7</v>
      </c>
      <c r="I206">
        <v>7</v>
      </c>
      <c r="J206">
        <v>30</v>
      </c>
    </row>
    <row r="207" spans="1:10" x14ac:dyDescent="0.25">
      <c r="A207" t="s">
        <v>10</v>
      </c>
      <c r="B207" t="s">
        <v>11</v>
      </c>
      <c r="C207" t="s">
        <v>18</v>
      </c>
      <c r="D207" t="s">
        <v>14</v>
      </c>
      <c r="E207">
        <v>0.94444444444444398</v>
      </c>
      <c r="F207">
        <v>0.94155993498333301</v>
      </c>
      <c r="G207">
        <v>0.984516620635986</v>
      </c>
      <c r="H207">
        <v>6</v>
      </c>
      <c r="I207">
        <v>6</v>
      </c>
      <c r="J207">
        <v>30</v>
      </c>
    </row>
    <row r="208" spans="1:10" x14ac:dyDescent="0.25">
      <c r="A208" t="s">
        <v>10</v>
      </c>
      <c r="B208" t="s">
        <v>11</v>
      </c>
      <c r="C208" t="s">
        <v>18</v>
      </c>
      <c r="D208" t="s">
        <v>14</v>
      </c>
      <c r="E208">
        <v>0.94444444444444398</v>
      </c>
      <c r="F208">
        <v>0.94992210972777702</v>
      </c>
      <c r="G208">
        <v>0.99171566963195801</v>
      </c>
      <c r="H208">
        <v>6</v>
      </c>
      <c r="I208">
        <v>6</v>
      </c>
      <c r="J208">
        <v>30</v>
      </c>
    </row>
    <row r="209" spans="1:10" x14ac:dyDescent="0.25">
      <c r="A209" t="s">
        <v>10</v>
      </c>
      <c r="B209" t="s">
        <v>11</v>
      </c>
      <c r="C209" t="s">
        <v>18</v>
      </c>
      <c r="D209" t="s">
        <v>14</v>
      </c>
      <c r="E209">
        <v>0.94444444444444398</v>
      </c>
      <c r="F209">
        <v>0.95026554672222197</v>
      </c>
      <c r="G209">
        <v>0.99991917610168402</v>
      </c>
      <c r="H209">
        <v>7</v>
      </c>
      <c r="I209">
        <v>7</v>
      </c>
      <c r="J209">
        <v>30</v>
      </c>
    </row>
    <row r="210" spans="1:10" x14ac:dyDescent="0.25">
      <c r="A210" t="s">
        <v>10</v>
      </c>
      <c r="B210" t="s">
        <v>11</v>
      </c>
      <c r="C210" t="s">
        <v>18</v>
      </c>
      <c r="D210" t="s">
        <v>14</v>
      </c>
      <c r="E210">
        <v>0.97222222222222199</v>
      </c>
      <c r="F210">
        <v>0.95819769263888799</v>
      </c>
      <c r="G210">
        <v>1.0312702655792201</v>
      </c>
      <c r="H210">
        <v>7</v>
      </c>
      <c r="I210">
        <v>7</v>
      </c>
      <c r="J210">
        <v>30</v>
      </c>
    </row>
    <row r="211" spans="1:10" x14ac:dyDescent="0.25">
      <c r="A211" t="s">
        <v>10</v>
      </c>
      <c r="B211" t="s">
        <v>11</v>
      </c>
      <c r="C211" t="s">
        <v>18</v>
      </c>
      <c r="D211" t="s">
        <v>14</v>
      </c>
      <c r="E211">
        <v>0.97222222222222199</v>
      </c>
      <c r="F211">
        <v>0.97237617364166595</v>
      </c>
      <c r="G211">
        <v>1.0194571018218901</v>
      </c>
      <c r="H211">
        <v>7</v>
      </c>
      <c r="I211">
        <v>7</v>
      </c>
      <c r="J211">
        <v>30</v>
      </c>
    </row>
    <row r="212" spans="1:10" x14ac:dyDescent="0.25">
      <c r="A212" t="s">
        <v>10</v>
      </c>
      <c r="B212" t="s">
        <v>11</v>
      </c>
      <c r="C212" t="s">
        <v>18</v>
      </c>
      <c r="D212" t="s">
        <v>15</v>
      </c>
      <c r="E212">
        <v>2.77777777777777E-2</v>
      </c>
      <c r="F212">
        <v>0.75131944444444398</v>
      </c>
      <c r="G212">
        <v>1.6992599964141799</v>
      </c>
      <c r="H212">
        <v>1</v>
      </c>
      <c r="I212">
        <v>3</v>
      </c>
      <c r="J212">
        <v>30</v>
      </c>
    </row>
    <row r="213" spans="1:10" x14ac:dyDescent="0.25">
      <c r="A213" t="s">
        <v>10</v>
      </c>
      <c r="B213" t="s">
        <v>11</v>
      </c>
      <c r="C213" t="s">
        <v>18</v>
      </c>
      <c r="D213" t="s">
        <v>15</v>
      </c>
      <c r="E213">
        <v>0</v>
      </c>
      <c r="F213">
        <v>0.75</v>
      </c>
      <c r="G213">
        <v>2.95565462112426</v>
      </c>
      <c r="H213">
        <v>2</v>
      </c>
      <c r="I213">
        <v>6</v>
      </c>
      <c r="J213">
        <v>30</v>
      </c>
    </row>
    <row r="214" spans="1:10" x14ac:dyDescent="0.25">
      <c r="A214" t="s">
        <v>10</v>
      </c>
      <c r="B214" t="s">
        <v>11</v>
      </c>
      <c r="C214" t="s">
        <v>18</v>
      </c>
      <c r="D214" t="s">
        <v>15</v>
      </c>
      <c r="E214">
        <v>0</v>
      </c>
      <c r="F214">
        <v>0.75</v>
      </c>
      <c r="G214">
        <v>2.9998581409454301</v>
      </c>
      <c r="H214">
        <v>1</v>
      </c>
      <c r="I214">
        <v>2</v>
      </c>
      <c r="J214">
        <v>30</v>
      </c>
    </row>
    <row r="215" spans="1:10" x14ac:dyDescent="0.25">
      <c r="A215" t="s">
        <v>10</v>
      </c>
      <c r="B215" t="s">
        <v>11</v>
      </c>
      <c r="C215" t="s">
        <v>18</v>
      </c>
      <c r="D215" t="s">
        <v>15</v>
      </c>
      <c r="E215">
        <v>0</v>
      </c>
      <c r="F215">
        <v>0.75</v>
      </c>
      <c r="G215">
        <v>3.3437027931213299</v>
      </c>
      <c r="H215">
        <v>2</v>
      </c>
      <c r="I215">
        <v>6</v>
      </c>
      <c r="J215">
        <v>30</v>
      </c>
    </row>
    <row r="216" spans="1:10" x14ac:dyDescent="0.25">
      <c r="A216" t="s">
        <v>10</v>
      </c>
      <c r="B216" t="s">
        <v>11</v>
      </c>
      <c r="C216" t="s">
        <v>18</v>
      </c>
      <c r="D216" t="s">
        <v>15</v>
      </c>
      <c r="E216">
        <v>5.5555555555555497E-2</v>
      </c>
      <c r="F216">
        <v>0.75263888888888797</v>
      </c>
      <c r="G216">
        <v>3.9623146057128902</v>
      </c>
      <c r="H216">
        <v>4</v>
      </c>
      <c r="I216">
        <v>10</v>
      </c>
      <c r="J216">
        <v>30</v>
      </c>
    </row>
    <row r="217" spans="1:10" x14ac:dyDescent="0.25">
      <c r="A217" t="s">
        <v>10</v>
      </c>
      <c r="B217" t="s">
        <v>11</v>
      </c>
      <c r="C217" t="s">
        <v>18</v>
      </c>
      <c r="D217" t="s">
        <v>15</v>
      </c>
      <c r="E217">
        <v>0</v>
      </c>
      <c r="F217">
        <v>0.75</v>
      </c>
      <c r="G217">
        <v>4.5714850425720197</v>
      </c>
      <c r="H217">
        <v>4</v>
      </c>
      <c r="I217">
        <v>10</v>
      </c>
      <c r="J217">
        <v>30</v>
      </c>
    </row>
    <row r="218" spans="1:10" x14ac:dyDescent="0.25">
      <c r="A218" t="s">
        <v>10</v>
      </c>
      <c r="B218" t="s">
        <v>11</v>
      </c>
      <c r="C218" t="s">
        <v>18</v>
      </c>
      <c r="D218" t="s">
        <v>15</v>
      </c>
      <c r="E218">
        <v>0</v>
      </c>
      <c r="F218">
        <v>0.75</v>
      </c>
      <c r="G218">
        <v>5.6103825569152797</v>
      </c>
      <c r="H218">
        <v>4</v>
      </c>
      <c r="I218">
        <v>13</v>
      </c>
      <c r="J218">
        <v>30</v>
      </c>
    </row>
    <row r="219" spans="1:10" x14ac:dyDescent="0.25">
      <c r="A219" t="s">
        <v>10</v>
      </c>
      <c r="B219" t="s">
        <v>11</v>
      </c>
      <c r="C219" t="s">
        <v>18</v>
      </c>
      <c r="D219" t="s">
        <v>15</v>
      </c>
      <c r="E219">
        <v>0</v>
      </c>
      <c r="F219">
        <v>0.75</v>
      </c>
      <c r="G219">
        <v>5.8248541355133003</v>
      </c>
      <c r="H219">
        <v>1</v>
      </c>
      <c r="I219">
        <v>3</v>
      </c>
      <c r="J219">
        <v>30</v>
      </c>
    </row>
    <row r="220" spans="1:10" x14ac:dyDescent="0.25">
      <c r="A220" t="s">
        <v>10</v>
      </c>
      <c r="B220" t="s">
        <v>11</v>
      </c>
      <c r="C220" t="s">
        <v>18</v>
      </c>
      <c r="D220" t="s">
        <v>15</v>
      </c>
      <c r="E220">
        <v>0</v>
      </c>
      <c r="F220">
        <v>0.75</v>
      </c>
      <c r="G220">
        <v>5.8547565937042201</v>
      </c>
      <c r="H220">
        <v>2</v>
      </c>
      <c r="I220">
        <v>6</v>
      </c>
      <c r="J220">
        <v>30</v>
      </c>
    </row>
    <row r="221" spans="1:10" x14ac:dyDescent="0.25">
      <c r="A221" t="s">
        <v>10</v>
      </c>
      <c r="B221" t="s">
        <v>11</v>
      </c>
      <c r="C221" t="s">
        <v>18</v>
      </c>
      <c r="D221" t="s">
        <v>15</v>
      </c>
      <c r="E221">
        <v>0</v>
      </c>
      <c r="F221">
        <v>0.75</v>
      </c>
      <c r="G221">
        <v>5.9644961357116699</v>
      </c>
      <c r="H221">
        <v>4</v>
      </c>
      <c r="I221">
        <v>12</v>
      </c>
      <c r="J221">
        <v>30</v>
      </c>
    </row>
    <row r="222" spans="1:10" x14ac:dyDescent="0.25">
      <c r="A222" t="s">
        <v>10</v>
      </c>
      <c r="B222" t="s">
        <v>11</v>
      </c>
      <c r="C222" t="s">
        <v>18</v>
      </c>
      <c r="D222" t="s">
        <v>15</v>
      </c>
      <c r="E222">
        <v>0</v>
      </c>
      <c r="F222">
        <v>0.75</v>
      </c>
      <c r="G222">
        <v>7.6192433834075901</v>
      </c>
      <c r="H222">
        <v>3</v>
      </c>
      <c r="I222">
        <v>9</v>
      </c>
      <c r="J222">
        <v>30</v>
      </c>
    </row>
    <row r="223" spans="1:10" x14ac:dyDescent="0.25">
      <c r="A223" t="s">
        <v>10</v>
      </c>
      <c r="B223" t="s">
        <v>11</v>
      </c>
      <c r="C223" t="s">
        <v>18</v>
      </c>
      <c r="D223" t="s">
        <v>15</v>
      </c>
      <c r="E223">
        <v>2.77777777777777E-2</v>
      </c>
      <c r="F223">
        <v>0.74986111111111098</v>
      </c>
      <c r="G223">
        <v>7.9740233421325604</v>
      </c>
      <c r="H223">
        <v>7</v>
      </c>
      <c r="I223">
        <v>14</v>
      </c>
      <c r="J223">
        <v>30</v>
      </c>
    </row>
    <row r="224" spans="1:10" x14ac:dyDescent="0.25">
      <c r="A224" t="s">
        <v>10</v>
      </c>
      <c r="B224" t="s">
        <v>11</v>
      </c>
      <c r="C224" t="s">
        <v>18</v>
      </c>
      <c r="D224" t="s">
        <v>15</v>
      </c>
      <c r="E224">
        <v>2.77777777777777E-2</v>
      </c>
      <c r="F224">
        <v>0.75131944444444398</v>
      </c>
      <c r="G224">
        <v>8.06211161613464</v>
      </c>
      <c r="H224">
        <v>6</v>
      </c>
      <c r="I224">
        <v>17</v>
      </c>
      <c r="J224">
        <v>30</v>
      </c>
    </row>
    <row r="225" spans="1:10" x14ac:dyDescent="0.25">
      <c r="A225" t="s">
        <v>10</v>
      </c>
      <c r="B225" t="s">
        <v>11</v>
      </c>
      <c r="C225" t="s">
        <v>18</v>
      </c>
      <c r="D225" t="s">
        <v>15</v>
      </c>
      <c r="E225">
        <v>0</v>
      </c>
      <c r="F225">
        <v>0.75</v>
      </c>
      <c r="G225">
        <v>8.3751688003540004</v>
      </c>
      <c r="H225">
        <v>4</v>
      </c>
      <c r="I225">
        <v>10</v>
      </c>
      <c r="J225">
        <v>30</v>
      </c>
    </row>
    <row r="226" spans="1:10" x14ac:dyDescent="0.25">
      <c r="A226" t="s">
        <v>10</v>
      </c>
      <c r="B226" t="s">
        <v>11</v>
      </c>
      <c r="C226" t="s">
        <v>18</v>
      </c>
      <c r="D226" t="s">
        <v>15</v>
      </c>
      <c r="E226">
        <v>0</v>
      </c>
      <c r="F226">
        <v>0.74854166666666599</v>
      </c>
      <c r="G226">
        <v>8.8209810256958008</v>
      </c>
      <c r="H226">
        <v>4</v>
      </c>
      <c r="I226">
        <v>13</v>
      </c>
      <c r="J226">
        <v>30</v>
      </c>
    </row>
    <row r="227" spans="1:10" x14ac:dyDescent="0.25">
      <c r="A227" t="s">
        <v>10</v>
      </c>
      <c r="B227" t="s">
        <v>11</v>
      </c>
      <c r="C227" t="s">
        <v>18</v>
      </c>
      <c r="D227" t="s">
        <v>15</v>
      </c>
      <c r="E227">
        <v>0</v>
      </c>
      <c r="F227">
        <v>0.75</v>
      </c>
      <c r="G227">
        <v>9.4958121776580793</v>
      </c>
      <c r="H227">
        <v>5</v>
      </c>
      <c r="I227">
        <v>19</v>
      </c>
      <c r="J227">
        <v>30</v>
      </c>
    </row>
    <row r="228" spans="1:10" x14ac:dyDescent="0.25">
      <c r="A228" t="s">
        <v>10</v>
      </c>
      <c r="B228" t="s">
        <v>11</v>
      </c>
      <c r="C228" t="s">
        <v>18</v>
      </c>
      <c r="D228" t="s">
        <v>15</v>
      </c>
      <c r="E228">
        <v>0</v>
      </c>
      <c r="F228">
        <v>0.75</v>
      </c>
      <c r="G228">
        <v>9.9497754573822004</v>
      </c>
      <c r="H228">
        <v>3</v>
      </c>
      <c r="I228">
        <v>8</v>
      </c>
      <c r="J228">
        <v>30</v>
      </c>
    </row>
    <row r="229" spans="1:10" x14ac:dyDescent="0.25">
      <c r="A229" t="s">
        <v>10</v>
      </c>
      <c r="B229" t="s">
        <v>11</v>
      </c>
      <c r="C229" t="s">
        <v>18</v>
      </c>
      <c r="D229" t="s">
        <v>15</v>
      </c>
      <c r="E229">
        <v>0</v>
      </c>
      <c r="F229">
        <v>0.75</v>
      </c>
      <c r="G229">
        <v>10.5486369132995</v>
      </c>
      <c r="H229">
        <v>4</v>
      </c>
      <c r="I229">
        <v>14</v>
      </c>
      <c r="J229">
        <v>30</v>
      </c>
    </row>
    <row r="230" spans="1:10" x14ac:dyDescent="0.25">
      <c r="A230" t="s">
        <v>10</v>
      </c>
      <c r="B230" t="s">
        <v>11</v>
      </c>
      <c r="C230" t="s">
        <v>18</v>
      </c>
      <c r="D230" t="s">
        <v>15</v>
      </c>
      <c r="E230">
        <v>0</v>
      </c>
      <c r="F230">
        <v>0.75</v>
      </c>
      <c r="G230">
        <v>11.7299587726593</v>
      </c>
      <c r="H230">
        <v>7</v>
      </c>
      <c r="I230">
        <v>24</v>
      </c>
      <c r="J230">
        <v>30</v>
      </c>
    </row>
    <row r="231" spans="1:10" x14ac:dyDescent="0.25">
      <c r="A231" t="s">
        <v>10</v>
      </c>
      <c r="B231" t="s">
        <v>11</v>
      </c>
      <c r="C231" t="s">
        <v>18</v>
      </c>
      <c r="D231" t="s">
        <v>15</v>
      </c>
      <c r="E231">
        <v>2.77777777777777E-2</v>
      </c>
      <c r="F231">
        <v>0.75131944444444398</v>
      </c>
      <c r="G231">
        <v>11.8757402896881</v>
      </c>
      <c r="H231">
        <v>10</v>
      </c>
      <c r="I231">
        <v>29</v>
      </c>
      <c r="J231">
        <v>30</v>
      </c>
    </row>
    <row r="232" spans="1:10" x14ac:dyDescent="0.25">
      <c r="A232" t="s">
        <v>10</v>
      </c>
      <c r="B232" t="s">
        <v>11</v>
      </c>
      <c r="C232" t="s">
        <v>18</v>
      </c>
      <c r="D232" t="s">
        <v>15</v>
      </c>
      <c r="E232">
        <v>2.77777777777777E-2</v>
      </c>
      <c r="F232">
        <v>0.74986111111111098</v>
      </c>
      <c r="G232">
        <v>12.3413848876953</v>
      </c>
      <c r="H232">
        <v>9</v>
      </c>
      <c r="I232">
        <v>31</v>
      </c>
      <c r="J232">
        <v>30</v>
      </c>
    </row>
    <row r="233" spans="1:10" x14ac:dyDescent="0.25">
      <c r="A233" t="s">
        <v>10</v>
      </c>
      <c r="B233" t="s">
        <v>11</v>
      </c>
      <c r="C233" t="s">
        <v>18</v>
      </c>
      <c r="D233" t="s">
        <v>15</v>
      </c>
      <c r="E233">
        <v>5.5555555555555497E-2</v>
      </c>
      <c r="F233">
        <v>0.75263888888888797</v>
      </c>
      <c r="G233">
        <v>12.4737129211425</v>
      </c>
      <c r="H233">
        <v>7</v>
      </c>
      <c r="I233">
        <v>24</v>
      </c>
      <c r="J233">
        <v>30</v>
      </c>
    </row>
    <row r="234" spans="1:10" x14ac:dyDescent="0.25">
      <c r="A234" t="s">
        <v>10</v>
      </c>
      <c r="B234" t="s">
        <v>11</v>
      </c>
      <c r="C234" t="s">
        <v>18</v>
      </c>
      <c r="D234" t="s">
        <v>15</v>
      </c>
      <c r="E234">
        <v>0</v>
      </c>
      <c r="F234">
        <v>0.75</v>
      </c>
      <c r="G234">
        <v>13.8771624565124</v>
      </c>
      <c r="H234">
        <v>9</v>
      </c>
      <c r="I234">
        <v>34</v>
      </c>
      <c r="J234">
        <v>30</v>
      </c>
    </row>
    <row r="235" spans="1:10" x14ac:dyDescent="0.25">
      <c r="A235" t="s">
        <v>10</v>
      </c>
      <c r="B235" t="s">
        <v>11</v>
      </c>
      <c r="C235" t="s">
        <v>18</v>
      </c>
      <c r="D235" t="s">
        <v>15</v>
      </c>
      <c r="E235">
        <v>2.77777777777777E-2</v>
      </c>
      <c r="F235">
        <v>0.75131944444444398</v>
      </c>
      <c r="G235">
        <v>14.1108462810516</v>
      </c>
      <c r="H235">
        <v>11</v>
      </c>
      <c r="I235">
        <v>37</v>
      </c>
      <c r="J235">
        <v>30</v>
      </c>
    </row>
    <row r="236" spans="1:10" x14ac:dyDescent="0.25">
      <c r="A236" t="s">
        <v>10</v>
      </c>
      <c r="B236" t="s">
        <v>11</v>
      </c>
      <c r="C236" t="s">
        <v>18</v>
      </c>
      <c r="D236" t="s">
        <v>15</v>
      </c>
      <c r="E236">
        <v>2.77777777777777E-2</v>
      </c>
      <c r="F236">
        <v>0.75131944444444398</v>
      </c>
      <c r="G236">
        <v>14.1610867977142</v>
      </c>
      <c r="H236">
        <v>10</v>
      </c>
      <c r="I236">
        <v>37</v>
      </c>
      <c r="J236">
        <v>30</v>
      </c>
    </row>
    <row r="237" spans="1:10" x14ac:dyDescent="0.25">
      <c r="A237" t="s">
        <v>10</v>
      </c>
      <c r="B237" t="s">
        <v>11</v>
      </c>
      <c r="C237" t="s">
        <v>18</v>
      </c>
      <c r="D237" t="s">
        <v>15</v>
      </c>
      <c r="E237">
        <v>0.11111111111111099</v>
      </c>
      <c r="F237">
        <v>0.75527777777777705</v>
      </c>
      <c r="G237">
        <v>14.330076694488501</v>
      </c>
      <c r="H237">
        <v>10</v>
      </c>
      <c r="I237">
        <v>36</v>
      </c>
      <c r="J237">
        <v>30</v>
      </c>
    </row>
    <row r="238" spans="1:10" x14ac:dyDescent="0.25">
      <c r="A238" t="s">
        <v>10</v>
      </c>
      <c r="B238" t="s">
        <v>11</v>
      </c>
      <c r="C238" t="s">
        <v>18</v>
      </c>
      <c r="D238" t="s">
        <v>15</v>
      </c>
      <c r="E238">
        <v>2.77777777777777E-2</v>
      </c>
      <c r="F238">
        <v>0.75131944444444398</v>
      </c>
      <c r="G238">
        <v>15.4130897521972</v>
      </c>
      <c r="H238">
        <v>12</v>
      </c>
      <c r="I238">
        <v>42</v>
      </c>
      <c r="J238">
        <v>30</v>
      </c>
    </row>
    <row r="239" spans="1:10" x14ac:dyDescent="0.25">
      <c r="A239" t="s">
        <v>10</v>
      </c>
      <c r="B239" t="s">
        <v>11</v>
      </c>
      <c r="C239" t="s">
        <v>18</v>
      </c>
      <c r="D239" t="s">
        <v>15</v>
      </c>
      <c r="E239">
        <v>2.77777777777777E-2</v>
      </c>
      <c r="F239">
        <v>0.75131944444444398</v>
      </c>
      <c r="G239">
        <v>16.3551487922668</v>
      </c>
      <c r="H239">
        <v>16</v>
      </c>
      <c r="I239">
        <v>52</v>
      </c>
      <c r="J239">
        <v>30</v>
      </c>
    </row>
    <row r="240" spans="1:10" x14ac:dyDescent="0.25">
      <c r="A240" t="s">
        <v>10</v>
      </c>
      <c r="B240" t="s">
        <v>11</v>
      </c>
      <c r="C240" t="s">
        <v>18</v>
      </c>
      <c r="D240" t="s">
        <v>15</v>
      </c>
      <c r="E240">
        <v>0</v>
      </c>
      <c r="F240">
        <v>0.75</v>
      </c>
      <c r="G240">
        <v>16.447174310684201</v>
      </c>
      <c r="H240">
        <v>15</v>
      </c>
      <c r="I240">
        <v>51</v>
      </c>
      <c r="J240">
        <v>30</v>
      </c>
    </row>
    <row r="241" spans="1:10" x14ac:dyDescent="0.25">
      <c r="A241" t="s">
        <v>10</v>
      </c>
      <c r="B241" t="s">
        <v>11</v>
      </c>
      <c r="C241" t="s">
        <v>18</v>
      </c>
      <c r="D241" t="s">
        <v>15</v>
      </c>
      <c r="E241">
        <v>8.3333333333333301E-2</v>
      </c>
      <c r="F241">
        <v>0.75374815586388799</v>
      </c>
      <c r="G241">
        <v>16.941523075103699</v>
      </c>
      <c r="H241">
        <v>19</v>
      </c>
      <c r="I241">
        <v>63</v>
      </c>
      <c r="J241">
        <v>30</v>
      </c>
    </row>
    <row r="242" spans="1:10" x14ac:dyDescent="0.25">
      <c r="A242" t="s">
        <v>10</v>
      </c>
      <c r="B242" t="s">
        <v>11</v>
      </c>
      <c r="C242" t="s">
        <v>18</v>
      </c>
      <c r="D242" t="s">
        <v>16</v>
      </c>
      <c r="E242">
        <v>0</v>
      </c>
      <c r="F242">
        <v>0.75</v>
      </c>
      <c r="G242">
        <v>0.15570235252380299</v>
      </c>
      <c r="H242">
        <v>0</v>
      </c>
      <c r="I242">
        <v>0</v>
      </c>
      <c r="J242">
        <v>30</v>
      </c>
    </row>
    <row r="243" spans="1:10" x14ac:dyDescent="0.25">
      <c r="A243" t="s">
        <v>10</v>
      </c>
      <c r="B243" t="s">
        <v>11</v>
      </c>
      <c r="C243" t="s">
        <v>18</v>
      </c>
      <c r="D243" t="s">
        <v>16</v>
      </c>
      <c r="E243">
        <v>0</v>
      </c>
      <c r="F243">
        <v>0.75</v>
      </c>
      <c r="G243">
        <v>0.14997553825378401</v>
      </c>
      <c r="H243">
        <v>0</v>
      </c>
      <c r="I243">
        <v>0</v>
      </c>
      <c r="J243">
        <v>30</v>
      </c>
    </row>
    <row r="244" spans="1:10" x14ac:dyDescent="0.25">
      <c r="A244" t="s">
        <v>10</v>
      </c>
      <c r="B244" t="s">
        <v>11</v>
      </c>
      <c r="C244" t="s">
        <v>18</v>
      </c>
      <c r="D244" t="s">
        <v>16</v>
      </c>
      <c r="E244">
        <v>0</v>
      </c>
      <c r="F244">
        <v>0.75</v>
      </c>
      <c r="G244">
        <v>0.18490719795227001</v>
      </c>
      <c r="H244">
        <v>0</v>
      </c>
      <c r="I244">
        <v>0</v>
      </c>
      <c r="J244">
        <v>30</v>
      </c>
    </row>
    <row r="245" spans="1:10" x14ac:dyDescent="0.25">
      <c r="A245" t="s">
        <v>10</v>
      </c>
      <c r="B245" t="s">
        <v>11</v>
      </c>
      <c r="C245" t="s">
        <v>18</v>
      </c>
      <c r="D245" t="s">
        <v>16</v>
      </c>
      <c r="E245">
        <v>0</v>
      </c>
      <c r="F245">
        <v>0.75</v>
      </c>
      <c r="G245">
        <v>0.20009708404540999</v>
      </c>
      <c r="H245">
        <v>0</v>
      </c>
      <c r="I245">
        <v>0</v>
      </c>
      <c r="J245">
        <v>30</v>
      </c>
    </row>
    <row r="246" spans="1:10" x14ac:dyDescent="0.25">
      <c r="A246" t="s">
        <v>10</v>
      </c>
      <c r="B246" t="s">
        <v>11</v>
      </c>
      <c r="C246" t="s">
        <v>18</v>
      </c>
      <c r="D246" t="s">
        <v>16</v>
      </c>
      <c r="E246">
        <v>0</v>
      </c>
      <c r="F246">
        <v>0.75</v>
      </c>
      <c r="G246">
        <v>0.25625562667846602</v>
      </c>
      <c r="H246">
        <v>0</v>
      </c>
      <c r="I246">
        <v>0</v>
      </c>
      <c r="J246">
        <v>30</v>
      </c>
    </row>
    <row r="247" spans="1:10" x14ac:dyDescent="0.25">
      <c r="A247" t="s">
        <v>10</v>
      </c>
      <c r="B247" t="s">
        <v>11</v>
      </c>
      <c r="C247" t="s">
        <v>18</v>
      </c>
      <c r="D247" t="s">
        <v>16</v>
      </c>
      <c r="E247">
        <v>0</v>
      </c>
      <c r="F247">
        <v>0.75</v>
      </c>
      <c r="G247">
        <v>0.28822016716003401</v>
      </c>
      <c r="H247">
        <v>0</v>
      </c>
      <c r="I247">
        <v>0</v>
      </c>
      <c r="J247">
        <v>30</v>
      </c>
    </row>
    <row r="248" spans="1:10" x14ac:dyDescent="0.25">
      <c r="A248" t="s">
        <v>10</v>
      </c>
      <c r="B248" t="s">
        <v>11</v>
      </c>
      <c r="C248" t="s">
        <v>18</v>
      </c>
      <c r="D248" t="s">
        <v>16</v>
      </c>
      <c r="E248">
        <v>0</v>
      </c>
      <c r="F248">
        <v>0.75</v>
      </c>
      <c r="G248">
        <v>0.28712105751037598</v>
      </c>
      <c r="H248">
        <v>0</v>
      </c>
      <c r="I248">
        <v>0</v>
      </c>
      <c r="J248">
        <v>30</v>
      </c>
    </row>
    <row r="249" spans="1:10" x14ac:dyDescent="0.25">
      <c r="A249" t="s">
        <v>10</v>
      </c>
      <c r="B249" t="s">
        <v>11</v>
      </c>
      <c r="C249" t="s">
        <v>18</v>
      </c>
      <c r="D249" t="s">
        <v>16</v>
      </c>
      <c r="E249">
        <v>0</v>
      </c>
      <c r="F249">
        <v>0.75</v>
      </c>
      <c r="G249">
        <v>0.30770993232727001</v>
      </c>
      <c r="H249">
        <v>0</v>
      </c>
      <c r="I249">
        <v>0</v>
      </c>
      <c r="J249">
        <v>30</v>
      </c>
    </row>
    <row r="250" spans="1:10" x14ac:dyDescent="0.25">
      <c r="A250" t="s">
        <v>10</v>
      </c>
      <c r="B250" t="s">
        <v>11</v>
      </c>
      <c r="C250" t="s">
        <v>18</v>
      </c>
      <c r="D250" t="s">
        <v>16</v>
      </c>
      <c r="E250">
        <v>0</v>
      </c>
      <c r="F250">
        <v>0.75</v>
      </c>
      <c r="G250">
        <v>0.30770993232727001</v>
      </c>
      <c r="H250">
        <v>0</v>
      </c>
      <c r="I250">
        <v>0</v>
      </c>
      <c r="J250">
        <v>30</v>
      </c>
    </row>
    <row r="251" spans="1:10" x14ac:dyDescent="0.25">
      <c r="A251" t="s">
        <v>10</v>
      </c>
      <c r="B251" t="s">
        <v>11</v>
      </c>
      <c r="C251" t="s">
        <v>18</v>
      </c>
      <c r="D251" t="s">
        <v>16</v>
      </c>
      <c r="E251">
        <v>0</v>
      </c>
      <c r="F251">
        <v>0.75</v>
      </c>
      <c r="G251">
        <v>0.31817460060119601</v>
      </c>
      <c r="H251">
        <v>0</v>
      </c>
      <c r="I251">
        <v>0</v>
      </c>
      <c r="J251">
        <v>30</v>
      </c>
    </row>
    <row r="252" spans="1:10" x14ac:dyDescent="0.25">
      <c r="A252" t="s">
        <v>10</v>
      </c>
      <c r="B252" t="s">
        <v>11</v>
      </c>
      <c r="C252" t="s">
        <v>18</v>
      </c>
      <c r="D252" t="s">
        <v>16</v>
      </c>
      <c r="E252">
        <v>0</v>
      </c>
      <c r="F252">
        <v>0.75</v>
      </c>
      <c r="G252">
        <v>0.33850193023681602</v>
      </c>
      <c r="H252">
        <v>0</v>
      </c>
      <c r="I252">
        <v>0</v>
      </c>
      <c r="J252">
        <v>30</v>
      </c>
    </row>
    <row r="253" spans="1:10" x14ac:dyDescent="0.25">
      <c r="A253" t="s">
        <v>10</v>
      </c>
      <c r="B253" t="s">
        <v>11</v>
      </c>
      <c r="C253" t="s">
        <v>18</v>
      </c>
      <c r="D253" t="s">
        <v>16</v>
      </c>
      <c r="E253">
        <v>0</v>
      </c>
      <c r="F253">
        <v>0.75</v>
      </c>
      <c r="G253">
        <v>0.36933517456054599</v>
      </c>
      <c r="H253">
        <v>0</v>
      </c>
      <c r="I253">
        <v>0</v>
      </c>
      <c r="J253">
        <v>30</v>
      </c>
    </row>
    <row r="254" spans="1:10" x14ac:dyDescent="0.25">
      <c r="A254" t="s">
        <v>10</v>
      </c>
      <c r="B254" t="s">
        <v>11</v>
      </c>
      <c r="C254" t="s">
        <v>18</v>
      </c>
      <c r="D254" t="s">
        <v>16</v>
      </c>
      <c r="E254">
        <v>0</v>
      </c>
      <c r="F254">
        <v>0.75</v>
      </c>
      <c r="G254">
        <v>0.36933517456054599</v>
      </c>
      <c r="H254">
        <v>0</v>
      </c>
      <c r="I254">
        <v>0</v>
      </c>
      <c r="J254">
        <v>30</v>
      </c>
    </row>
    <row r="255" spans="1:10" x14ac:dyDescent="0.25">
      <c r="A255" t="s">
        <v>10</v>
      </c>
      <c r="B255" t="s">
        <v>11</v>
      </c>
      <c r="C255" t="s">
        <v>18</v>
      </c>
      <c r="D255" t="s">
        <v>16</v>
      </c>
      <c r="E255">
        <v>0</v>
      </c>
      <c r="F255">
        <v>0.75</v>
      </c>
      <c r="G255">
        <v>0.38062810897827098</v>
      </c>
      <c r="H255">
        <v>0</v>
      </c>
      <c r="I255">
        <v>0</v>
      </c>
      <c r="J255">
        <v>30</v>
      </c>
    </row>
    <row r="256" spans="1:10" x14ac:dyDescent="0.25">
      <c r="A256" t="s">
        <v>10</v>
      </c>
      <c r="B256" t="s">
        <v>11</v>
      </c>
      <c r="C256" t="s">
        <v>18</v>
      </c>
      <c r="D256" t="s">
        <v>16</v>
      </c>
      <c r="E256">
        <v>0</v>
      </c>
      <c r="F256">
        <v>0.75</v>
      </c>
      <c r="G256">
        <v>0.39449191093444802</v>
      </c>
      <c r="H256">
        <v>0</v>
      </c>
      <c r="I256">
        <v>0</v>
      </c>
      <c r="J256">
        <v>30</v>
      </c>
    </row>
    <row r="257" spans="1:10" x14ac:dyDescent="0.25">
      <c r="A257" t="s">
        <v>10</v>
      </c>
      <c r="B257" t="s">
        <v>11</v>
      </c>
      <c r="C257" t="s">
        <v>18</v>
      </c>
      <c r="D257" t="s">
        <v>16</v>
      </c>
      <c r="E257">
        <v>0</v>
      </c>
      <c r="F257">
        <v>0.75</v>
      </c>
      <c r="G257">
        <v>0.40132522583007801</v>
      </c>
      <c r="H257">
        <v>0</v>
      </c>
      <c r="I257">
        <v>0</v>
      </c>
      <c r="J257">
        <v>30</v>
      </c>
    </row>
    <row r="258" spans="1:10" x14ac:dyDescent="0.25">
      <c r="A258" t="s">
        <v>10</v>
      </c>
      <c r="B258" t="s">
        <v>11</v>
      </c>
      <c r="C258" t="s">
        <v>18</v>
      </c>
      <c r="D258" t="s">
        <v>16</v>
      </c>
      <c r="E258">
        <v>0</v>
      </c>
      <c r="F258">
        <v>0.75</v>
      </c>
      <c r="G258">
        <v>0.40146589279174799</v>
      </c>
      <c r="H258">
        <v>0</v>
      </c>
      <c r="I258">
        <v>0</v>
      </c>
      <c r="J258">
        <v>30</v>
      </c>
    </row>
    <row r="259" spans="1:10" x14ac:dyDescent="0.25">
      <c r="A259" t="s">
        <v>10</v>
      </c>
      <c r="B259" t="s">
        <v>11</v>
      </c>
      <c r="C259" t="s">
        <v>18</v>
      </c>
      <c r="D259" t="s">
        <v>16</v>
      </c>
      <c r="E259">
        <v>0</v>
      </c>
      <c r="F259">
        <v>0.75</v>
      </c>
      <c r="G259">
        <v>0.42198705673217701</v>
      </c>
      <c r="H259">
        <v>0</v>
      </c>
      <c r="I259">
        <v>0</v>
      </c>
      <c r="J259">
        <v>30</v>
      </c>
    </row>
    <row r="260" spans="1:10" x14ac:dyDescent="0.25">
      <c r="A260" t="s">
        <v>10</v>
      </c>
      <c r="B260" t="s">
        <v>11</v>
      </c>
      <c r="C260" t="s">
        <v>18</v>
      </c>
      <c r="D260" t="s">
        <v>16</v>
      </c>
      <c r="E260">
        <v>0</v>
      </c>
      <c r="F260">
        <v>0.75</v>
      </c>
      <c r="G260">
        <v>0.38319897651672302</v>
      </c>
      <c r="H260">
        <v>0</v>
      </c>
      <c r="I260">
        <v>0</v>
      </c>
      <c r="J260">
        <v>30</v>
      </c>
    </row>
    <row r="261" spans="1:10" x14ac:dyDescent="0.25">
      <c r="A261" t="s">
        <v>10</v>
      </c>
      <c r="B261" t="s">
        <v>11</v>
      </c>
      <c r="C261" t="s">
        <v>18</v>
      </c>
      <c r="D261" t="s">
        <v>16</v>
      </c>
      <c r="E261">
        <v>0</v>
      </c>
      <c r="F261">
        <v>0.75</v>
      </c>
      <c r="G261">
        <v>0.42179107666015597</v>
      </c>
      <c r="H261">
        <v>0</v>
      </c>
      <c r="I261">
        <v>0</v>
      </c>
      <c r="J261">
        <v>30</v>
      </c>
    </row>
    <row r="262" spans="1:10" x14ac:dyDescent="0.25">
      <c r="A262" t="s">
        <v>10</v>
      </c>
      <c r="B262" t="s">
        <v>11</v>
      </c>
      <c r="C262" t="s">
        <v>18</v>
      </c>
      <c r="D262" t="s">
        <v>16</v>
      </c>
      <c r="E262">
        <v>0</v>
      </c>
      <c r="F262">
        <v>0.75</v>
      </c>
      <c r="G262">
        <v>0.44155144691467202</v>
      </c>
      <c r="H262">
        <v>0</v>
      </c>
      <c r="I262">
        <v>0</v>
      </c>
      <c r="J262">
        <v>30</v>
      </c>
    </row>
    <row r="263" spans="1:10" x14ac:dyDescent="0.25">
      <c r="A263" t="s">
        <v>10</v>
      </c>
      <c r="B263" t="s">
        <v>11</v>
      </c>
      <c r="C263" t="s">
        <v>18</v>
      </c>
      <c r="D263" t="s">
        <v>16</v>
      </c>
      <c r="E263">
        <v>0</v>
      </c>
      <c r="F263">
        <v>0.75</v>
      </c>
      <c r="G263">
        <v>0.461321830749511</v>
      </c>
      <c r="H263">
        <v>0</v>
      </c>
      <c r="I263">
        <v>0</v>
      </c>
      <c r="J263">
        <v>30</v>
      </c>
    </row>
    <row r="264" spans="1:10" x14ac:dyDescent="0.25">
      <c r="A264" t="s">
        <v>10</v>
      </c>
      <c r="B264" t="s">
        <v>11</v>
      </c>
      <c r="C264" t="s">
        <v>18</v>
      </c>
      <c r="D264" t="s">
        <v>16</v>
      </c>
      <c r="E264">
        <v>0</v>
      </c>
      <c r="F264">
        <v>0.75</v>
      </c>
      <c r="G264">
        <v>0.45209074020385698</v>
      </c>
      <c r="H264">
        <v>0</v>
      </c>
      <c r="I264">
        <v>0</v>
      </c>
      <c r="J264">
        <v>30</v>
      </c>
    </row>
    <row r="265" spans="1:10" x14ac:dyDescent="0.25">
      <c r="A265" t="s">
        <v>10</v>
      </c>
      <c r="B265" t="s">
        <v>11</v>
      </c>
      <c r="C265" t="s">
        <v>18</v>
      </c>
      <c r="D265" t="s">
        <v>16</v>
      </c>
      <c r="E265">
        <v>0</v>
      </c>
      <c r="F265">
        <v>0.75</v>
      </c>
      <c r="G265">
        <v>0.46233534812927202</v>
      </c>
      <c r="H265">
        <v>0</v>
      </c>
      <c r="I265">
        <v>0</v>
      </c>
      <c r="J265">
        <v>30</v>
      </c>
    </row>
    <row r="266" spans="1:10" x14ac:dyDescent="0.25">
      <c r="A266" t="s">
        <v>10</v>
      </c>
      <c r="B266" t="s">
        <v>11</v>
      </c>
      <c r="C266" t="s">
        <v>18</v>
      </c>
      <c r="D266" t="s">
        <v>16</v>
      </c>
      <c r="E266">
        <v>0</v>
      </c>
      <c r="F266">
        <v>0.75</v>
      </c>
      <c r="G266">
        <v>0.477988481521606</v>
      </c>
      <c r="H266">
        <v>0</v>
      </c>
      <c r="I266">
        <v>0</v>
      </c>
      <c r="J266">
        <v>30</v>
      </c>
    </row>
    <row r="267" spans="1:10" x14ac:dyDescent="0.25">
      <c r="A267" t="s">
        <v>10</v>
      </c>
      <c r="B267" t="s">
        <v>11</v>
      </c>
      <c r="C267" t="s">
        <v>18</v>
      </c>
      <c r="D267" t="s">
        <v>16</v>
      </c>
      <c r="E267">
        <v>0</v>
      </c>
      <c r="F267">
        <v>0.75</v>
      </c>
      <c r="G267">
        <v>0.48410296440124501</v>
      </c>
      <c r="H267">
        <v>0</v>
      </c>
      <c r="I267">
        <v>0</v>
      </c>
      <c r="J267">
        <v>30</v>
      </c>
    </row>
    <row r="268" spans="1:10" x14ac:dyDescent="0.25">
      <c r="A268" t="s">
        <v>10</v>
      </c>
      <c r="B268" t="s">
        <v>11</v>
      </c>
      <c r="C268" t="s">
        <v>18</v>
      </c>
      <c r="D268" t="s">
        <v>16</v>
      </c>
      <c r="E268">
        <v>0</v>
      </c>
      <c r="F268">
        <v>0.75</v>
      </c>
      <c r="G268">
        <v>0.47281002998352001</v>
      </c>
      <c r="H268">
        <v>0</v>
      </c>
      <c r="I268">
        <v>0</v>
      </c>
      <c r="J268">
        <v>30</v>
      </c>
    </row>
    <row r="269" spans="1:10" x14ac:dyDescent="0.25">
      <c r="A269" t="s">
        <v>10</v>
      </c>
      <c r="B269" t="s">
        <v>11</v>
      </c>
      <c r="C269" t="s">
        <v>18</v>
      </c>
      <c r="D269" t="s">
        <v>16</v>
      </c>
      <c r="E269">
        <v>0</v>
      </c>
      <c r="F269">
        <v>0.75</v>
      </c>
      <c r="G269">
        <v>0.45209074020385698</v>
      </c>
      <c r="H269">
        <v>0</v>
      </c>
      <c r="I269">
        <v>0</v>
      </c>
      <c r="J269">
        <v>30</v>
      </c>
    </row>
    <row r="270" spans="1:10" x14ac:dyDescent="0.25">
      <c r="A270" t="s">
        <v>10</v>
      </c>
      <c r="B270" t="s">
        <v>11</v>
      </c>
      <c r="C270" t="s">
        <v>18</v>
      </c>
      <c r="D270" t="s">
        <v>16</v>
      </c>
      <c r="E270">
        <v>0</v>
      </c>
      <c r="F270">
        <v>0.75</v>
      </c>
      <c r="G270">
        <v>0.47281002998352001</v>
      </c>
      <c r="H270">
        <v>0</v>
      </c>
      <c r="I270">
        <v>0</v>
      </c>
      <c r="J270">
        <v>30</v>
      </c>
    </row>
    <row r="271" spans="1:10" x14ac:dyDescent="0.25">
      <c r="A271" t="s">
        <v>10</v>
      </c>
      <c r="B271" t="s">
        <v>11</v>
      </c>
      <c r="C271" t="s">
        <v>18</v>
      </c>
      <c r="D271" t="s">
        <v>16</v>
      </c>
      <c r="E271">
        <v>0</v>
      </c>
      <c r="F271">
        <v>0.75</v>
      </c>
      <c r="G271">
        <v>0.46338367462158198</v>
      </c>
      <c r="H271">
        <v>0</v>
      </c>
      <c r="I271">
        <v>0</v>
      </c>
      <c r="J271">
        <v>30</v>
      </c>
    </row>
    <row r="272" spans="1:10" x14ac:dyDescent="0.25">
      <c r="A272" t="s">
        <v>10</v>
      </c>
      <c r="B272" t="s">
        <v>11</v>
      </c>
      <c r="C272" t="s">
        <v>18</v>
      </c>
      <c r="D272" t="s">
        <v>17</v>
      </c>
      <c r="E272">
        <v>0.69444444444444398</v>
      </c>
      <c r="F272">
        <v>0.780397864030555</v>
      </c>
      <c r="G272">
        <v>17.857796669006301</v>
      </c>
      <c r="H272">
        <v>57</v>
      </c>
      <c r="I272">
        <v>60</v>
      </c>
      <c r="J272">
        <v>30</v>
      </c>
    </row>
    <row r="273" spans="1:10" x14ac:dyDescent="0.25">
      <c r="A273" t="s">
        <v>10</v>
      </c>
      <c r="B273" t="s">
        <v>11</v>
      </c>
      <c r="C273" t="s">
        <v>18</v>
      </c>
      <c r="D273" t="s">
        <v>17</v>
      </c>
      <c r="E273">
        <v>0.58333333333333304</v>
      </c>
      <c r="F273">
        <v>0.77517902558888796</v>
      </c>
      <c r="G273">
        <v>18.2908647060394</v>
      </c>
      <c r="H273">
        <v>61</v>
      </c>
      <c r="I273">
        <v>66</v>
      </c>
      <c r="J273">
        <v>30</v>
      </c>
    </row>
    <row r="274" spans="1:10" x14ac:dyDescent="0.25">
      <c r="A274" t="s">
        <v>10</v>
      </c>
      <c r="B274" t="s">
        <v>11</v>
      </c>
      <c r="C274" t="s">
        <v>18</v>
      </c>
      <c r="D274" t="s">
        <v>17</v>
      </c>
      <c r="E274">
        <v>0.75</v>
      </c>
      <c r="F274">
        <v>0.80998825140277697</v>
      </c>
      <c r="G274">
        <v>18.984468460083001</v>
      </c>
      <c r="H274">
        <v>52</v>
      </c>
      <c r="I274">
        <v>53</v>
      </c>
      <c r="J274">
        <v>30</v>
      </c>
    </row>
    <row r="275" spans="1:10" x14ac:dyDescent="0.25">
      <c r="A275" t="s">
        <v>10</v>
      </c>
      <c r="B275" t="s">
        <v>11</v>
      </c>
      <c r="C275" t="s">
        <v>18</v>
      </c>
      <c r="D275" t="s">
        <v>17</v>
      </c>
      <c r="E275">
        <v>0.72222222222222199</v>
      </c>
      <c r="F275">
        <v>0.79704095119166596</v>
      </c>
      <c r="G275">
        <v>19.382606029510399</v>
      </c>
      <c r="H275">
        <v>59</v>
      </c>
      <c r="I275">
        <v>66</v>
      </c>
      <c r="J275">
        <v>30</v>
      </c>
    </row>
    <row r="276" spans="1:10" x14ac:dyDescent="0.25">
      <c r="A276" t="s">
        <v>10</v>
      </c>
      <c r="B276" t="s">
        <v>11</v>
      </c>
      <c r="C276" t="s">
        <v>18</v>
      </c>
      <c r="D276" t="s">
        <v>17</v>
      </c>
      <c r="E276">
        <v>0.52777777777777701</v>
      </c>
      <c r="F276">
        <v>0.76054301301388805</v>
      </c>
      <c r="G276">
        <v>19.398385524749699</v>
      </c>
      <c r="H276">
        <v>54</v>
      </c>
      <c r="I276">
        <v>57</v>
      </c>
      <c r="J276">
        <v>30</v>
      </c>
    </row>
    <row r="277" spans="1:10" x14ac:dyDescent="0.25">
      <c r="A277" t="s">
        <v>10</v>
      </c>
      <c r="B277" t="s">
        <v>11</v>
      </c>
      <c r="C277" t="s">
        <v>18</v>
      </c>
      <c r="D277" t="s">
        <v>17</v>
      </c>
      <c r="E277">
        <v>0.75</v>
      </c>
      <c r="F277">
        <v>0.78636949707222203</v>
      </c>
      <c r="G277">
        <v>19.442097425460801</v>
      </c>
      <c r="H277">
        <v>64</v>
      </c>
      <c r="I277">
        <v>68</v>
      </c>
      <c r="J277">
        <v>30</v>
      </c>
    </row>
    <row r="278" spans="1:10" x14ac:dyDescent="0.25">
      <c r="A278" t="s">
        <v>10</v>
      </c>
      <c r="B278" t="s">
        <v>11</v>
      </c>
      <c r="C278" t="s">
        <v>18</v>
      </c>
      <c r="D278" t="s">
        <v>17</v>
      </c>
      <c r="E278">
        <v>0.63888888888888795</v>
      </c>
      <c r="F278">
        <v>0.77714115779999904</v>
      </c>
      <c r="G278">
        <v>19.610045909881499</v>
      </c>
      <c r="H278">
        <v>61</v>
      </c>
      <c r="I278">
        <v>57</v>
      </c>
      <c r="J278">
        <v>30</v>
      </c>
    </row>
    <row r="279" spans="1:10" x14ac:dyDescent="0.25">
      <c r="A279" t="s">
        <v>10</v>
      </c>
      <c r="B279" t="s">
        <v>11</v>
      </c>
      <c r="C279" t="s">
        <v>18</v>
      </c>
      <c r="D279" t="s">
        <v>17</v>
      </c>
      <c r="E279">
        <v>0.72222222222222199</v>
      </c>
      <c r="F279">
        <v>0.79507658418888805</v>
      </c>
      <c r="G279">
        <v>19.726022481918299</v>
      </c>
      <c r="H279">
        <v>53</v>
      </c>
      <c r="I279">
        <v>54</v>
      </c>
      <c r="J279">
        <v>30</v>
      </c>
    </row>
    <row r="280" spans="1:10" x14ac:dyDescent="0.25">
      <c r="A280" t="s">
        <v>10</v>
      </c>
      <c r="B280" t="s">
        <v>11</v>
      </c>
      <c r="C280" t="s">
        <v>18</v>
      </c>
      <c r="D280" t="s">
        <v>17</v>
      </c>
      <c r="E280">
        <v>0.55555555555555503</v>
      </c>
      <c r="F280">
        <v>0.74932607638333304</v>
      </c>
      <c r="G280">
        <v>19.887104749679501</v>
      </c>
      <c r="H280">
        <v>57</v>
      </c>
      <c r="I280">
        <v>58</v>
      </c>
      <c r="J280">
        <v>30</v>
      </c>
    </row>
    <row r="281" spans="1:10" x14ac:dyDescent="0.25">
      <c r="A281" t="s">
        <v>10</v>
      </c>
      <c r="B281" t="s">
        <v>11</v>
      </c>
      <c r="C281" t="s">
        <v>18</v>
      </c>
      <c r="D281" t="s">
        <v>17</v>
      </c>
      <c r="E281">
        <v>0.52777777777777701</v>
      </c>
      <c r="F281">
        <v>0.75829244408055496</v>
      </c>
      <c r="G281">
        <v>20.069065332412698</v>
      </c>
      <c r="H281">
        <v>58</v>
      </c>
      <c r="I281">
        <v>68</v>
      </c>
      <c r="J281">
        <v>30</v>
      </c>
    </row>
    <row r="282" spans="1:10" x14ac:dyDescent="0.25">
      <c r="A282" t="s">
        <v>10</v>
      </c>
      <c r="B282" t="s">
        <v>11</v>
      </c>
      <c r="C282" t="s">
        <v>18</v>
      </c>
      <c r="D282" t="s">
        <v>17</v>
      </c>
      <c r="E282">
        <v>0.52777777777777701</v>
      </c>
      <c r="F282">
        <v>0.74551553343333299</v>
      </c>
      <c r="G282">
        <v>20.207507610320999</v>
      </c>
      <c r="H282">
        <v>67</v>
      </c>
      <c r="I282">
        <v>74</v>
      </c>
      <c r="J282">
        <v>30</v>
      </c>
    </row>
    <row r="283" spans="1:10" x14ac:dyDescent="0.25">
      <c r="A283" t="s">
        <v>10</v>
      </c>
      <c r="B283" t="s">
        <v>11</v>
      </c>
      <c r="C283" t="s">
        <v>18</v>
      </c>
      <c r="D283" t="s">
        <v>17</v>
      </c>
      <c r="E283">
        <v>0.77777777777777701</v>
      </c>
      <c r="F283">
        <v>0.79487801934722202</v>
      </c>
      <c r="G283">
        <v>20.766926765441799</v>
      </c>
      <c r="H283">
        <v>57</v>
      </c>
      <c r="I283">
        <v>57</v>
      </c>
      <c r="J283">
        <v>30</v>
      </c>
    </row>
    <row r="284" spans="1:10" x14ac:dyDescent="0.25">
      <c r="A284" t="s">
        <v>10</v>
      </c>
      <c r="B284" t="s">
        <v>11</v>
      </c>
      <c r="C284" t="s">
        <v>18</v>
      </c>
      <c r="D284" t="s">
        <v>17</v>
      </c>
      <c r="E284">
        <v>0.61111111111111105</v>
      </c>
      <c r="F284">
        <v>0.76083183338055504</v>
      </c>
      <c r="G284">
        <v>20.853421688079798</v>
      </c>
      <c r="H284">
        <v>62</v>
      </c>
      <c r="I284">
        <v>63</v>
      </c>
      <c r="J284">
        <v>30</v>
      </c>
    </row>
    <row r="285" spans="1:10" x14ac:dyDescent="0.25">
      <c r="A285" t="s">
        <v>10</v>
      </c>
      <c r="B285" t="s">
        <v>11</v>
      </c>
      <c r="C285" t="s">
        <v>18</v>
      </c>
      <c r="D285" t="s">
        <v>17</v>
      </c>
      <c r="E285">
        <v>0.69444444444444398</v>
      </c>
      <c r="F285">
        <v>0.79487222816944403</v>
      </c>
      <c r="G285">
        <v>20.893007278442301</v>
      </c>
      <c r="H285">
        <v>56</v>
      </c>
      <c r="I285">
        <v>59</v>
      </c>
      <c r="J285">
        <v>30</v>
      </c>
    </row>
    <row r="286" spans="1:10" x14ac:dyDescent="0.25">
      <c r="A286" t="s">
        <v>10</v>
      </c>
      <c r="B286" t="s">
        <v>11</v>
      </c>
      <c r="C286" t="s">
        <v>18</v>
      </c>
      <c r="D286" t="s">
        <v>17</v>
      </c>
      <c r="E286">
        <v>0.66666666666666596</v>
      </c>
      <c r="F286">
        <v>0.78206400051111102</v>
      </c>
      <c r="G286">
        <v>20.902511119842501</v>
      </c>
      <c r="H286">
        <v>54</v>
      </c>
      <c r="I286">
        <v>53</v>
      </c>
      <c r="J286">
        <v>30</v>
      </c>
    </row>
    <row r="287" spans="1:10" x14ac:dyDescent="0.25">
      <c r="A287" t="s">
        <v>10</v>
      </c>
      <c r="B287" t="s">
        <v>11</v>
      </c>
      <c r="C287" t="s">
        <v>18</v>
      </c>
      <c r="D287" t="s">
        <v>17</v>
      </c>
      <c r="E287">
        <v>0.61111111111111105</v>
      </c>
      <c r="F287">
        <v>0.76523339531666601</v>
      </c>
      <c r="G287">
        <v>20.897422552108701</v>
      </c>
      <c r="H287">
        <v>62</v>
      </c>
      <c r="I287">
        <v>59</v>
      </c>
      <c r="J287">
        <v>30</v>
      </c>
    </row>
    <row r="288" spans="1:10" x14ac:dyDescent="0.25">
      <c r="A288" t="s">
        <v>10</v>
      </c>
      <c r="B288" t="s">
        <v>11</v>
      </c>
      <c r="C288" t="s">
        <v>18</v>
      </c>
      <c r="D288" t="s">
        <v>17</v>
      </c>
      <c r="E288">
        <v>0.55555555555555503</v>
      </c>
      <c r="F288">
        <v>0.76301471790555497</v>
      </c>
      <c r="G288">
        <v>20.945172548294</v>
      </c>
      <c r="H288">
        <v>59</v>
      </c>
      <c r="I288">
        <v>60</v>
      </c>
      <c r="J288">
        <v>30</v>
      </c>
    </row>
    <row r="289" spans="1:10" x14ac:dyDescent="0.25">
      <c r="A289" t="s">
        <v>10</v>
      </c>
      <c r="B289" t="s">
        <v>11</v>
      </c>
      <c r="C289" t="s">
        <v>18</v>
      </c>
      <c r="D289" t="s">
        <v>17</v>
      </c>
      <c r="E289">
        <v>0.69444444444444398</v>
      </c>
      <c r="F289">
        <v>0.79143976885</v>
      </c>
      <c r="G289">
        <v>21.049510002136198</v>
      </c>
      <c r="H289">
        <v>64</v>
      </c>
      <c r="I289">
        <v>64</v>
      </c>
      <c r="J289">
        <v>30</v>
      </c>
    </row>
    <row r="290" spans="1:10" x14ac:dyDescent="0.25">
      <c r="A290" t="s">
        <v>10</v>
      </c>
      <c r="B290" t="s">
        <v>11</v>
      </c>
      <c r="C290" t="s">
        <v>18</v>
      </c>
      <c r="D290" t="s">
        <v>17</v>
      </c>
      <c r="E290">
        <v>0.55555555555555503</v>
      </c>
      <c r="F290">
        <v>0.75067893381944395</v>
      </c>
      <c r="G290">
        <v>21.064117670059201</v>
      </c>
      <c r="H290">
        <v>55</v>
      </c>
      <c r="I290">
        <v>58</v>
      </c>
      <c r="J290">
        <v>30</v>
      </c>
    </row>
    <row r="291" spans="1:10" x14ac:dyDescent="0.25">
      <c r="A291" t="s">
        <v>10</v>
      </c>
      <c r="B291" t="s">
        <v>11</v>
      </c>
      <c r="C291" t="s">
        <v>18</v>
      </c>
      <c r="D291" t="s">
        <v>17</v>
      </c>
      <c r="E291">
        <v>0.63888888888888795</v>
      </c>
      <c r="F291">
        <v>0.77524000639722201</v>
      </c>
      <c r="G291">
        <v>21.092800140380799</v>
      </c>
      <c r="H291">
        <v>62</v>
      </c>
      <c r="I291">
        <v>59</v>
      </c>
      <c r="J291">
        <v>30</v>
      </c>
    </row>
    <row r="292" spans="1:10" x14ac:dyDescent="0.25">
      <c r="A292" t="s">
        <v>10</v>
      </c>
      <c r="B292" t="s">
        <v>11</v>
      </c>
      <c r="C292" t="s">
        <v>18</v>
      </c>
      <c r="D292" t="s">
        <v>17</v>
      </c>
      <c r="E292">
        <v>0.63888888888888795</v>
      </c>
      <c r="F292">
        <v>0.77530916797500005</v>
      </c>
      <c r="G292">
        <v>21.240389108657801</v>
      </c>
      <c r="H292">
        <v>59</v>
      </c>
      <c r="I292">
        <v>63</v>
      </c>
      <c r="J292">
        <v>30</v>
      </c>
    </row>
    <row r="293" spans="1:10" x14ac:dyDescent="0.25">
      <c r="A293" t="s">
        <v>10</v>
      </c>
      <c r="B293" t="s">
        <v>11</v>
      </c>
      <c r="C293" t="s">
        <v>18</v>
      </c>
      <c r="D293" t="s">
        <v>17</v>
      </c>
      <c r="E293">
        <v>0.66666666666666596</v>
      </c>
      <c r="F293">
        <v>0.78938239241666597</v>
      </c>
      <c r="G293">
        <v>21.2829976081848</v>
      </c>
      <c r="H293">
        <v>64</v>
      </c>
      <c r="I293">
        <v>63</v>
      </c>
      <c r="J293">
        <v>30</v>
      </c>
    </row>
    <row r="294" spans="1:10" x14ac:dyDescent="0.25">
      <c r="A294" t="s">
        <v>10</v>
      </c>
      <c r="B294" t="s">
        <v>11</v>
      </c>
      <c r="C294" t="s">
        <v>18</v>
      </c>
      <c r="D294" t="s">
        <v>17</v>
      </c>
      <c r="E294">
        <v>0.69444444444444398</v>
      </c>
      <c r="F294">
        <v>0.78139767814166605</v>
      </c>
      <c r="G294">
        <v>21.3506660461425</v>
      </c>
      <c r="H294">
        <v>60</v>
      </c>
      <c r="I294">
        <v>64</v>
      </c>
      <c r="J294">
        <v>30</v>
      </c>
    </row>
    <row r="295" spans="1:10" x14ac:dyDescent="0.25">
      <c r="A295" t="s">
        <v>10</v>
      </c>
      <c r="B295" t="s">
        <v>11</v>
      </c>
      <c r="C295" t="s">
        <v>18</v>
      </c>
      <c r="D295" t="s">
        <v>17</v>
      </c>
      <c r="E295">
        <v>0.75</v>
      </c>
      <c r="F295">
        <v>0.79772590467499904</v>
      </c>
      <c r="G295">
        <v>21.4003729820251</v>
      </c>
      <c r="H295">
        <v>54</v>
      </c>
      <c r="I295">
        <v>56</v>
      </c>
      <c r="J295">
        <v>30</v>
      </c>
    </row>
    <row r="296" spans="1:10" x14ac:dyDescent="0.25">
      <c r="A296" t="s">
        <v>10</v>
      </c>
      <c r="B296" t="s">
        <v>11</v>
      </c>
      <c r="C296" t="s">
        <v>18</v>
      </c>
      <c r="D296" t="s">
        <v>17</v>
      </c>
      <c r="E296">
        <v>0.72222222222222199</v>
      </c>
      <c r="F296">
        <v>0.78342127879166601</v>
      </c>
      <c r="G296">
        <v>21.441792488098098</v>
      </c>
      <c r="H296">
        <v>47</v>
      </c>
      <c r="I296">
        <v>48</v>
      </c>
      <c r="J296">
        <v>30</v>
      </c>
    </row>
    <row r="297" spans="1:10" x14ac:dyDescent="0.25">
      <c r="A297" t="s">
        <v>10</v>
      </c>
      <c r="B297" t="s">
        <v>11</v>
      </c>
      <c r="C297" t="s">
        <v>18</v>
      </c>
      <c r="D297" t="s">
        <v>17</v>
      </c>
      <c r="E297">
        <v>0.63888888888888795</v>
      </c>
      <c r="F297">
        <v>0.77408206434722204</v>
      </c>
      <c r="G297">
        <v>21.4353332519531</v>
      </c>
      <c r="H297">
        <v>63</v>
      </c>
      <c r="I297">
        <v>74</v>
      </c>
      <c r="J297">
        <v>30</v>
      </c>
    </row>
    <row r="298" spans="1:10" x14ac:dyDescent="0.25">
      <c r="A298" t="s">
        <v>10</v>
      </c>
      <c r="B298" t="s">
        <v>11</v>
      </c>
      <c r="C298" t="s">
        <v>18</v>
      </c>
      <c r="D298" t="s">
        <v>17</v>
      </c>
      <c r="E298">
        <v>0.66666666666666596</v>
      </c>
      <c r="F298">
        <v>0.76058918179722201</v>
      </c>
      <c r="G298">
        <v>21.473957538604701</v>
      </c>
      <c r="H298">
        <v>56</v>
      </c>
      <c r="I298">
        <v>55</v>
      </c>
      <c r="J298">
        <v>30</v>
      </c>
    </row>
    <row r="299" spans="1:10" x14ac:dyDescent="0.25">
      <c r="A299" t="s">
        <v>10</v>
      </c>
      <c r="B299" t="s">
        <v>11</v>
      </c>
      <c r="C299" t="s">
        <v>18</v>
      </c>
      <c r="D299" t="s">
        <v>17</v>
      </c>
      <c r="E299">
        <v>0.69444444444444398</v>
      </c>
      <c r="F299">
        <v>0.79538725474722205</v>
      </c>
      <c r="G299">
        <v>21.5353906154632</v>
      </c>
      <c r="H299">
        <v>65</v>
      </c>
      <c r="I299">
        <v>66</v>
      </c>
      <c r="J299">
        <v>30</v>
      </c>
    </row>
    <row r="300" spans="1:10" x14ac:dyDescent="0.25">
      <c r="A300" t="s">
        <v>10</v>
      </c>
      <c r="B300" t="s">
        <v>11</v>
      </c>
      <c r="C300" t="s">
        <v>18</v>
      </c>
      <c r="D300" t="s">
        <v>17</v>
      </c>
      <c r="E300">
        <v>0.66666666666666596</v>
      </c>
      <c r="F300">
        <v>0.78053298960277695</v>
      </c>
      <c r="G300">
        <v>21.535009145736598</v>
      </c>
      <c r="H300">
        <v>60</v>
      </c>
      <c r="I300">
        <v>63</v>
      </c>
      <c r="J300">
        <v>30</v>
      </c>
    </row>
    <row r="301" spans="1:10" x14ac:dyDescent="0.25">
      <c r="A301" t="s">
        <v>10</v>
      </c>
      <c r="B301" t="s">
        <v>11</v>
      </c>
      <c r="C301" t="s">
        <v>18</v>
      </c>
      <c r="D301" t="s">
        <v>17</v>
      </c>
      <c r="E301">
        <v>0.83333333333333304</v>
      </c>
      <c r="F301">
        <v>0.80532715915833297</v>
      </c>
      <c r="G301">
        <v>21.565771102905199</v>
      </c>
      <c r="H301">
        <v>62</v>
      </c>
      <c r="I301">
        <v>62</v>
      </c>
      <c r="J301">
        <v>30</v>
      </c>
    </row>
    <row r="302" spans="1:10" x14ac:dyDescent="0.25">
      <c r="A302" t="s">
        <v>10</v>
      </c>
      <c r="B302" t="s">
        <v>19</v>
      </c>
      <c r="C302" t="s">
        <v>12</v>
      </c>
      <c r="D302" t="s">
        <v>13</v>
      </c>
      <c r="E302">
        <v>0.97222222222222199</v>
      </c>
      <c r="F302">
        <v>0.97816517736111097</v>
      </c>
      <c r="G302">
        <v>1.2835285663604701</v>
      </c>
      <c r="H302">
        <v>8</v>
      </c>
      <c r="I302">
        <v>8</v>
      </c>
      <c r="J302">
        <v>30</v>
      </c>
    </row>
    <row r="303" spans="1:10" x14ac:dyDescent="0.25">
      <c r="A303" t="s">
        <v>10</v>
      </c>
      <c r="B303" t="s">
        <v>19</v>
      </c>
      <c r="C303" t="s">
        <v>12</v>
      </c>
      <c r="D303" t="s">
        <v>13</v>
      </c>
      <c r="E303">
        <v>0.97222222222222199</v>
      </c>
      <c r="F303">
        <v>0.96903804911666602</v>
      </c>
      <c r="G303">
        <v>1.4068958759307799</v>
      </c>
      <c r="H303">
        <v>9</v>
      </c>
      <c r="I303">
        <v>9</v>
      </c>
      <c r="J303">
        <v>30</v>
      </c>
    </row>
    <row r="304" spans="1:10" x14ac:dyDescent="0.25">
      <c r="A304" t="s">
        <v>10</v>
      </c>
      <c r="B304" t="s">
        <v>19</v>
      </c>
      <c r="C304" t="s">
        <v>12</v>
      </c>
      <c r="D304" t="s">
        <v>13</v>
      </c>
      <c r="E304">
        <v>0.94444444444444398</v>
      </c>
      <c r="F304">
        <v>0.93895731441666597</v>
      </c>
      <c r="G304">
        <v>1.41719818115234</v>
      </c>
      <c r="H304">
        <v>6</v>
      </c>
      <c r="I304">
        <v>6</v>
      </c>
      <c r="J304">
        <v>30</v>
      </c>
    </row>
    <row r="305" spans="1:10" x14ac:dyDescent="0.25">
      <c r="A305" t="s">
        <v>10</v>
      </c>
      <c r="B305" t="s">
        <v>19</v>
      </c>
      <c r="C305" t="s">
        <v>12</v>
      </c>
      <c r="D305" t="s">
        <v>13</v>
      </c>
      <c r="E305">
        <v>0.86111111111111105</v>
      </c>
      <c r="F305">
        <v>0.87651317794722206</v>
      </c>
      <c r="G305">
        <v>1.4643027782440099</v>
      </c>
      <c r="H305">
        <v>6</v>
      </c>
      <c r="I305">
        <v>6</v>
      </c>
      <c r="J305">
        <v>30</v>
      </c>
    </row>
    <row r="306" spans="1:10" x14ac:dyDescent="0.25">
      <c r="A306" t="s">
        <v>10</v>
      </c>
      <c r="B306" t="s">
        <v>19</v>
      </c>
      <c r="C306" t="s">
        <v>12</v>
      </c>
      <c r="D306" t="s">
        <v>13</v>
      </c>
      <c r="E306">
        <v>0.91666666666666596</v>
      </c>
      <c r="F306">
        <v>0.92420493080277699</v>
      </c>
      <c r="G306">
        <v>1.4999680519103999</v>
      </c>
      <c r="H306">
        <v>7</v>
      </c>
      <c r="I306">
        <v>7</v>
      </c>
      <c r="J306">
        <v>30</v>
      </c>
    </row>
    <row r="307" spans="1:10" x14ac:dyDescent="0.25">
      <c r="A307" t="s">
        <v>10</v>
      </c>
      <c r="B307" t="s">
        <v>19</v>
      </c>
      <c r="C307" t="s">
        <v>12</v>
      </c>
      <c r="D307" t="s">
        <v>13</v>
      </c>
      <c r="E307">
        <v>0.88888888888888795</v>
      </c>
      <c r="F307">
        <v>0.90107704507777697</v>
      </c>
      <c r="G307">
        <v>1.5202624797821001</v>
      </c>
      <c r="H307">
        <v>8</v>
      </c>
      <c r="I307">
        <v>8</v>
      </c>
      <c r="J307">
        <v>30</v>
      </c>
    </row>
    <row r="308" spans="1:10" x14ac:dyDescent="0.25">
      <c r="A308" t="s">
        <v>10</v>
      </c>
      <c r="B308" t="s">
        <v>19</v>
      </c>
      <c r="C308" t="s">
        <v>12</v>
      </c>
      <c r="D308" t="s">
        <v>13</v>
      </c>
      <c r="E308">
        <v>0.94444444444444398</v>
      </c>
      <c r="F308">
        <v>0.94149556941388801</v>
      </c>
      <c r="G308">
        <v>1.5202624797821001</v>
      </c>
      <c r="H308">
        <v>6</v>
      </c>
      <c r="I308">
        <v>6</v>
      </c>
      <c r="J308">
        <v>30</v>
      </c>
    </row>
    <row r="309" spans="1:10" x14ac:dyDescent="0.25">
      <c r="A309" t="s">
        <v>10</v>
      </c>
      <c r="B309" t="s">
        <v>19</v>
      </c>
      <c r="C309" t="s">
        <v>12</v>
      </c>
      <c r="D309" t="s">
        <v>13</v>
      </c>
      <c r="E309">
        <v>1</v>
      </c>
      <c r="F309">
        <v>0.98318071203055502</v>
      </c>
      <c r="G309">
        <v>1.58179235458374</v>
      </c>
      <c r="H309">
        <v>11</v>
      </c>
      <c r="I309">
        <v>11</v>
      </c>
      <c r="J309">
        <v>30</v>
      </c>
    </row>
    <row r="310" spans="1:10" x14ac:dyDescent="0.25">
      <c r="A310" t="s">
        <v>10</v>
      </c>
      <c r="B310" t="s">
        <v>19</v>
      </c>
      <c r="C310" t="s">
        <v>12</v>
      </c>
      <c r="D310" t="s">
        <v>13</v>
      </c>
      <c r="E310">
        <v>1</v>
      </c>
      <c r="F310">
        <v>0.99223085459444404</v>
      </c>
      <c r="G310">
        <v>1.6946763992309499</v>
      </c>
      <c r="H310">
        <v>9</v>
      </c>
      <c r="I310">
        <v>9</v>
      </c>
      <c r="J310">
        <v>30</v>
      </c>
    </row>
    <row r="311" spans="1:10" x14ac:dyDescent="0.25">
      <c r="A311" t="s">
        <v>10</v>
      </c>
      <c r="B311" t="s">
        <v>19</v>
      </c>
      <c r="C311" t="s">
        <v>12</v>
      </c>
      <c r="D311" t="s">
        <v>13</v>
      </c>
      <c r="E311">
        <v>0.97222222222222199</v>
      </c>
      <c r="F311">
        <v>0.95889634190555495</v>
      </c>
      <c r="G311">
        <v>1.7074558734893699</v>
      </c>
      <c r="H311">
        <v>9</v>
      </c>
      <c r="I311">
        <v>9</v>
      </c>
      <c r="J311">
        <v>30</v>
      </c>
    </row>
    <row r="312" spans="1:10" x14ac:dyDescent="0.25">
      <c r="A312" t="s">
        <v>10</v>
      </c>
      <c r="B312" t="s">
        <v>19</v>
      </c>
      <c r="C312" t="s">
        <v>12</v>
      </c>
      <c r="D312" t="s">
        <v>13</v>
      </c>
      <c r="E312">
        <v>0.91666666666666596</v>
      </c>
      <c r="F312">
        <v>0.91756642104722197</v>
      </c>
      <c r="G312">
        <v>1.7458152770996</v>
      </c>
      <c r="H312">
        <v>10</v>
      </c>
      <c r="I312">
        <v>10</v>
      </c>
      <c r="J312">
        <v>30</v>
      </c>
    </row>
    <row r="313" spans="1:10" x14ac:dyDescent="0.25">
      <c r="A313" t="s">
        <v>10</v>
      </c>
      <c r="B313" t="s">
        <v>19</v>
      </c>
      <c r="C313" t="s">
        <v>12</v>
      </c>
      <c r="D313" t="s">
        <v>13</v>
      </c>
      <c r="E313">
        <v>0.86111111111111105</v>
      </c>
      <c r="F313">
        <v>0.88746354925833304</v>
      </c>
      <c r="G313">
        <v>1.7893271446228001</v>
      </c>
      <c r="H313">
        <v>9</v>
      </c>
      <c r="I313">
        <v>9</v>
      </c>
      <c r="J313">
        <v>30</v>
      </c>
    </row>
    <row r="314" spans="1:10" x14ac:dyDescent="0.25">
      <c r="A314" t="s">
        <v>10</v>
      </c>
      <c r="B314" t="s">
        <v>19</v>
      </c>
      <c r="C314" t="s">
        <v>12</v>
      </c>
      <c r="D314" t="s">
        <v>13</v>
      </c>
      <c r="E314">
        <v>0.91666666666666596</v>
      </c>
      <c r="F314">
        <v>0.92377482303888803</v>
      </c>
      <c r="G314">
        <v>1.79767489433288</v>
      </c>
      <c r="H314">
        <v>8</v>
      </c>
      <c r="I314">
        <v>8</v>
      </c>
      <c r="J314">
        <v>30</v>
      </c>
    </row>
    <row r="315" spans="1:10" x14ac:dyDescent="0.25">
      <c r="A315" t="s">
        <v>10</v>
      </c>
      <c r="B315" t="s">
        <v>19</v>
      </c>
      <c r="C315" t="s">
        <v>12</v>
      </c>
      <c r="D315" t="s">
        <v>13</v>
      </c>
      <c r="E315">
        <v>0.80555555555555503</v>
      </c>
      <c r="F315">
        <v>0.91219450680000003</v>
      </c>
      <c r="G315">
        <v>1.8307733535766599</v>
      </c>
      <c r="H315">
        <v>8</v>
      </c>
      <c r="I315">
        <v>8</v>
      </c>
      <c r="J315">
        <v>30</v>
      </c>
    </row>
    <row r="316" spans="1:10" x14ac:dyDescent="0.25">
      <c r="A316" t="s">
        <v>10</v>
      </c>
      <c r="B316" t="s">
        <v>19</v>
      </c>
      <c r="C316" t="s">
        <v>12</v>
      </c>
      <c r="D316" t="s">
        <v>13</v>
      </c>
      <c r="E316">
        <v>0.86111111111111105</v>
      </c>
      <c r="F316">
        <v>0.89211697043611105</v>
      </c>
      <c r="G316">
        <v>1.8666567802429199</v>
      </c>
      <c r="H316">
        <v>7</v>
      </c>
      <c r="I316">
        <v>7</v>
      </c>
      <c r="J316">
        <v>30</v>
      </c>
    </row>
    <row r="317" spans="1:10" x14ac:dyDescent="0.25">
      <c r="A317" t="s">
        <v>10</v>
      </c>
      <c r="B317" t="s">
        <v>19</v>
      </c>
      <c r="C317" t="s">
        <v>12</v>
      </c>
      <c r="D317" t="s">
        <v>13</v>
      </c>
      <c r="E317">
        <v>0.86111111111111105</v>
      </c>
      <c r="F317">
        <v>0.91505517333611097</v>
      </c>
      <c r="G317">
        <v>1.88332843780517</v>
      </c>
      <c r="H317">
        <v>9</v>
      </c>
      <c r="I317">
        <v>9</v>
      </c>
      <c r="J317">
        <v>30</v>
      </c>
    </row>
    <row r="318" spans="1:10" x14ac:dyDescent="0.25">
      <c r="A318" t="s">
        <v>10</v>
      </c>
      <c r="B318" t="s">
        <v>19</v>
      </c>
      <c r="C318" t="s">
        <v>12</v>
      </c>
      <c r="D318" t="s">
        <v>13</v>
      </c>
      <c r="E318">
        <v>0.91666666666666596</v>
      </c>
      <c r="F318">
        <v>0.93401605947222199</v>
      </c>
      <c r="G318">
        <v>1.9108242988586399</v>
      </c>
      <c r="H318">
        <v>9</v>
      </c>
      <c r="I318">
        <v>8</v>
      </c>
      <c r="J318">
        <v>30</v>
      </c>
    </row>
    <row r="319" spans="1:10" x14ac:dyDescent="0.25">
      <c r="A319" t="s">
        <v>10</v>
      </c>
      <c r="B319" t="s">
        <v>19</v>
      </c>
      <c r="C319" t="s">
        <v>12</v>
      </c>
      <c r="D319" t="s">
        <v>13</v>
      </c>
      <c r="E319">
        <v>0.88888888888888795</v>
      </c>
      <c r="F319">
        <v>0.89930549969999996</v>
      </c>
      <c r="G319">
        <v>1.93132996559143</v>
      </c>
      <c r="H319">
        <v>7</v>
      </c>
      <c r="I319">
        <v>7</v>
      </c>
      <c r="J319">
        <v>30</v>
      </c>
    </row>
    <row r="320" spans="1:10" x14ac:dyDescent="0.25">
      <c r="A320" t="s">
        <v>10</v>
      </c>
      <c r="B320" t="s">
        <v>19</v>
      </c>
      <c r="C320" t="s">
        <v>12</v>
      </c>
      <c r="D320" t="s">
        <v>13</v>
      </c>
      <c r="E320">
        <v>0.88888888888888795</v>
      </c>
      <c r="F320">
        <v>0.90133031925555496</v>
      </c>
      <c r="G320">
        <v>1.9827396869659399</v>
      </c>
      <c r="H320">
        <v>10</v>
      </c>
      <c r="I320">
        <v>11</v>
      </c>
      <c r="J320">
        <v>30</v>
      </c>
    </row>
    <row r="321" spans="1:10" x14ac:dyDescent="0.25">
      <c r="A321" t="s">
        <v>10</v>
      </c>
      <c r="B321" t="s">
        <v>19</v>
      </c>
      <c r="C321" t="s">
        <v>12</v>
      </c>
      <c r="D321" t="s">
        <v>13</v>
      </c>
      <c r="E321">
        <v>0.97222222222222199</v>
      </c>
      <c r="F321">
        <v>0.969726084802777</v>
      </c>
      <c r="G321">
        <v>1.9930891990661599</v>
      </c>
      <c r="H321">
        <v>9</v>
      </c>
      <c r="I321">
        <v>9</v>
      </c>
      <c r="J321">
        <v>30</v>
      </c>
    </row>
    <row r="322" spans="1:10" x14ac:dyDescent="0.25">
      <c r="A322" t="s">
        <v>10</v>
      </c>
      <c r="B322" t="s">
        <v>19</v>
      </c>
      <c r="C322" t="s">
        <v>12</v>
      </c>
      <c r="D322" t="s">
        <v>13</v>
      </c>
      <c r="E322">
        <v>0.91666666666666596</v>
      </c>
      <c r="F322">
        <v>0.91813919132222199</v>
      </c>
      <c r="G322">
        <v>1.9854371547698899</v>
      </c>
      <c r="H322">
        <v>8</v>
      </c>
      <c r="I322">
        <v>8</v>
      </c>
      <c r="J322">
        <v>30</v>
      </c>
    </row>
    <row r="323" spans="1:10" x14ac:dyDescent="0.25">
      <c r="A323" t="s">
        <v>10</v>
      </c>
      <c r="B323" t="s">
        <v>19</v>
      </c>
      <c r="C323" t="s">
        <v>12</v>
      </c>
      <c r="D323" t="s">
        <v>13</v>
      </c>
      <c r="E323">
        <v>0.86111111111111105</v>
      </c>
      <c r="F323">
        <v>0.87059677763888799</v>
      </c>
      <c r="G323">
        <v>2.0034775733947701</v>
      </c>
      <c r="H323">
        <v>11</v>
      </c>
      <c r="I323">
        <v>10</v>
      </c>
      <c r="J323">
        <v>30</v>
      </c>
    </row>
    <row r="324" spans="1:10" x14ac:dyDescent="0.25">
      <c r="A324" t="s">
        <v>10</v>
      </c>
      <c r="B324" t="s">
        <v>19</v>
      </c>
      <c r="C324" t="s">
        <v>12</v>
      </c>
      <c r="D324" t="s">
        <v>13</v>
      </c>
      <c r="E324">
        <v>1</v>
      </c>
      <c r="F324">
        <v>0.99267119110000002</v>
      </c>
      <c r="G324">
        <v>2.0446639060974099</v>
      </c>
      <c r="H324">
        <v>9</v>
      </c>
      <c r="I324">
        <v>9</v>
      </c>
      <c r="J324">
        <v>30</v>
      </c>
    </row>
    <row r="325" spans="1:10" x14ac:dyDescent="0.25">
      <c r="A325" t="s">
        <v>10</v>
      </c>
      <c r="B325" t="s">
        <v>19</v>
      </c>
      <c r="C325" t="s">
        <v>12</v>
      </c>
      <c r="D325" t="s">
        <v>13</v>
      </c>
      <c r="E325">
        <v>1</v>
      </c>
      <c r="F325">
        <v>0.988558783005555</v>
      </c>
      <c r="G325">
        <v>2.0960116386413499</v>
      </c>
      <c r="H325">
        <v>9</v>
      </c>
      <c r="I325">
        <v>9</v>
      </c>
      <c r="J325">
        <v>30</v>
      </c>
    </row>
    <row r="326" spans="1:10" x14ac:dyDescent="0.25">
      <c r="A326" t="s">
        <v>10</v>
      </c>
      <c r="B326" t="s">
        <v>19</v>
      </c>
      <c r="C326" t="s">
        <v>12</v>
      </c>
      <c r="D326" t="s">
        <v>13</v>
      </c>
      <c r="E326">
        <v>0.86111111111111105</v>
      </c>
      <c r="F326">
        <v>0.87041229857222202</v>
      </c>
      <c r="G326">
        <v>2.10398197174072</v>
      </c>
      <c r="H326">
        <v>8</v>
      </c>
      <c r="I326">
        <v>8</v>
      </c>
      <c r="J326">
        <v>30</v>
      </c>
    </row>
    <row r="327" spans="1:10" x14ac:dyDescent="0.25">
      <c r="A327" t="s">
        <v>10</v>
      </c>
      <c r="B327" t="s">
        <v>19</v>
      </c>
      <c r="C327" t="s">
        <v>12</v>
      </c>
      <c r="D327" t="s">
        <v>13</v>
      </c>
      <c r="E327">
        <v>0.91666666666666596</v>
      </c>
      <c r="F327">
        <v>0.94691263530555503</v>
      </c>
      <c r="G327">
        <v>2.11688232421875</v>
      </c>
      <c r="H327">
        <v>8</v>
      </c>
      <c r="I327">
        <v>8</v>
      </c>
      <c r="J327">
        <v>30</v>
      </c>
    </row>
    <row r="328" spans="1:10" x14ac:dyDescent="0.25">
      <c r="A328" t="s">
        <v>10</v>
      </c>
      <c r="B328" t="s">
        <v>19</v>
      </c>
      <c r="C328" t="s">
        <v>12</v>
      </c>
      <c r="D328" t="s">
        <v>13</v>
      </c>
      <c r="E328">
        <v>0.97222222222222199</v>
      </c>
      <c r="F328">
        <v>0.96429291857499999</v>
      </c>
      <c r="G328">
        <v>2.1370830535888601</v>
      </c>
      <c r="H328">
        <v>9</v>
      </c>
      <c r="I328">
        <v>9</v>
      </c>
      <c r="J328">
        <v>30</v>
      </c>
    </row>
    <row r="329" spans="1:10" x14ac:dyDescent="0.25">
      <c r="A329" t="s">
        <v>10</v>
      </c>
      <c r="B329" t="s">
        <v>19</v>
      </c>
      <c r="C329" t="s">
        <v>12</v>
      </c>
      <c r="D329" t="s">
        <v>13</v>
      </c>
      <c r="E329">
        <v>0.94444444444444398</v>
      </c>
      <c r="F329">
        <v>0.946468526258333</v>
      </c>
      <c r="G329">
        <v>2.1474339962005602</v>
      </c>
      <c r="H329">
        <v>6</v>
      </c>
      <c r="I329">
        <v>6</v>
      </c>
      <c r="J329">
        <v>30</v>
      </c>
    </row>
    <row r="330" spans="1:10" x14ac:dyDescent="0.25">
      <c r="A330" t="s">
        <v>10</v>
      </c>
      <c r="B330" t="s">
        <v>19</v>
      </c>
      <c r="C330" t="s">
        <v>12</v>
      </c>
      <c r="D330" t="s">
        <v>13</v>
      </c>
      <c r="E330">
        <v>0.97222222222222199</v>
      </c>
      <c r="F330">
        <v>0.96552371621666599</v>
      </c>
      <c r="G330">
        <v>2.1612091064453098</v>
      </c>
      <c r="H330">
        <v>9</v>
      </c>
      <c r="I330">
        <v>9</v>
      </c>
      <c r="J330">
        <v>30</v>
      </c>
    </row>
    <row r="331" spans="1:10" x14ac:dyDescent="0.25">
      <c r="A331" t="s">
        <v>10</v>
      </c>
      <c r="B331" t="s">
        <v>19</v>
      </c>
      <c r="C331" t="s">
        <v>12</v>
      </c>
      <c r="D331" t="s">
        <v>13</v>
      </c>
      <c r="E331">
        <v>0.97222222222222199</v>
      </c>
      <c r="F331">
        <v>0.96144493279444398</v>
      </c>
      <c r="G331">
        <v>2.1474339962005602</v>
      </c>
      <c r="H331">
        <v>11</v>
      </c>
      <c r="I331">
        <v>11</v>
      </c>
      <c r="J331">
        <v>30</v>
      </c>
    </row>
    <row r="332" spans="1:10" x14ac:dyDescent="0.25">
      <c r="A332" t="s">
        <v>10</v>
      </c>
      <c r="B332" t="s">
        <v>19</v>
      </c>
      <c r="C332" t="s">
        <v>12</v>
      </c>
      <c r="D332" t="s">
        <v>14</v>
      </c>
      <c r="E332">
        <v>0.97222222222222199</v>
      </c>
      <c r="F332">
        <v>0.9659312645</v>
      </c>
      <c r="G332">
        <v>0.28756237030029203</v>
      </c>
      <c r="H332">
        <v>8</v>
      </c>
      <c r="I332">
        <v>8</v>
      </c>
      <c r="J332">
        <v>30</v>
      </c>
    </row>
    <row r="333" spans="1:10" x14ac:dyDescent="0.25">
      <c r="A333" t="s">
        <v>10</v>
      </c>
      <c r="B333" t="s">
        <v>19</v>
      </c>
      <c r="C333" t="s">
        <v>12</v>
      </c>
      <c r="D333" t="s">
        <v>14</v>
      </c>
      <c r="E333">
        <v>1</v>
      </c>
      <c r="F333">
        <v>0.98382661798055504</v>
      </c>
      <c r="G333">
        <v>0.410623788833618</v>
      </c>
      <c r="H333">
        <v>8</v>
      </c>
      <c r="I333">
        <v>8</v>
      </c>
      <c r="J333">
        <v>30</v>
      </c>
    </row>
    <row r="334" spans="1:10" x14ac:dyDescent="0.25">
      <c r="A334" t="s">
        <v>10</v>
      </c>
      <c r="B334" t="s">
        <v>19</v>
      </c>
      <c r="C334" t="s">
        <v>12</v>
      </c>
      <c r="D334" t="s">
        <v>14</v>
      </c>
      <c r="E334">
        <v>0.94444444444444398</v>
      </c>
      <c r="F334">
        <v>0.94665518497777701</v>
      </c>
      <c r="G334">
        <v>0.53283381462097101</v>
      </c>
      <c r="H334">
        <v>7</v>
      </c>
      <c r="I334">
        <v>7</v>
      </c>
      <c r="J334">
        <v>30</v>
      </c>
    </row>
    <row r="335" spans="1:10" x14ac:dyDescent="0.25">
      <c r="A335" t="s">
        <v>10</v>
      </c>
      <c r="B335" t="s">
        <v>19</v>
      </c>
      <c r="C335" t="s">
        <v>12</v>
      </c>
      <c r="D335" t="s">
        <v>14</v>
      </c>
      <c r="E335">
        <v>0.88888888888888795</v>
      </c>
      <c r="F335">
        <v>0.89684207312777697</v>
      </c>
      <c r="G335">
        <v>0.55332899093627896</v>
      </c>
      <c r="H335">
        <v>10</v>
      </c>
      <c r="I335">
        <v>10</v>
      </c>
      <c r="J335">
        <v>30</v>
      </c>
    </row>
    <row r="336" spans="1:10" x14ac:dyDescent="0.25">
      <c r="A336" t="s">
        <v>10</v>
      </c>
      <c r="B336" t="s">
        <v>19</v>
      </c>
      <c r="C336" t="s">
        <v>12</v>
      </c>
      <c r="D336" t="s">
        <v>14</v>
      </c>
      <c r="E336">
        <v>0.88888888888888795</v>
      </c>
      <c r="F336">
        <v>0.89846679023333298</v>
      </c>
      <c r="G336">
        <v>0.554701328277587</v>
      </c>
      <c r="H336">
        <v>8</v>
      </c>
      <c r="I336">
        <v>8</v>
      </c>
      <c r="J336">
        <v>30</v>
      </c>
    </row>
    <row r="337" spans="1:10" x14ac:dyDescent="0.25">
      <c r="A337" t="s">
        <v>10</v>
      </c>
      <c r="B337" t="s">
        <v>19</v>
      </c>
      <c r="C337" t="s">
        <v>12</v>
      </c>
      <c r="D337" t="s">
        <v>14</v>
      </c>
      <c r="E337">
        <v>0.94444444444444398</v>
      </c>
      <c r="F337">
        <v>0.93649997697777698</v>
      </c>
      <c r="G337">
        <v>0.58441972732543901</v>
      </c>
      <c r="H337">
        <v>7</v>
      </c>
      <c r="I337">
        <v>7</v>
      </c>
      <c r="J337">
        <v>30</v>
      </c>
    </row>
    <row r="338" spans="1:10" x14ac:dyDescent="0.25">
      <c r="A338" t="s">
        <v>10</v>
      </c>
      <c r="B338" t="s">
        <v>19</v>
      </c>
      <c r="C338" t="s">
        <v>12</v>
      </c>
      <c r="D338" t="s">
        <v>14</v>
      </c>
      <c r="E338">
        <v>0.88888888888888795</v>
      </c>
      <c r="F338">
        <v>0.89455276225833302</v>
      </c>
      <c r="G338">
        <v>0.64650273323059004</v>
      </c>
      <c r="H338">
        <v>8</v>
      </c>
      <c r="I338">
        <v>8</v>
      </c>
      <c r="J338">
        <v>30</v>
      </c>
    </row>
    <row r="339" spans="1:10" x14ac:dyDescent="0.25">
      <c r="A339" t="s">
        <v>10</v>
      </c>
      <c r="B339" t="s">
        <v>19</v>
      </c>
      <c r="C339" t="s">
        <v>12</v>
      </c>
      <c r="D339" t="s">
        <v>14</v>
      </c>
      <c r="E339">
        <v>0.86111111111111105</v>
      </c>
      <c r="F339">
        <v>0.88282918855555503</v>
      </c>
      <c r="G339">
        <v>0.64954638481140103</v>
      </c>
      <c r="H339">
        <v>9</v>
      </c>
      <c r="I339">
        <v>9</v>
      </c>
      <c r="J339">
        <v>30</v>
      </c>
    </row>
    <row r="340" spans="1:10" x14ac:dyDescent="0.25">
      <c r="A340" t="s">
        <v>10</v>
      </c>
      <c r="B340" t="s">
        <v>19</v>
      </c>
      <c r="C340" t="s">
        <v>12</v>
      </c>
      <c r="D340" t="s">
        <v>14</v>
      </c>
      <c r="E340">
        <v>0.88888888888888795</v>
      </c>
      <c r="F340">
        <v>0.89922521758888796</v>
      </c>
      <c r="G340">
        <v>0.68754649162292403</v>
      </c>
      <c r="H340">
        <v>7</v>
      </c>
      <c r="I340">
        <v>7</v>
      </c>
      <c r="J340">
        <v>30</v>
      </c>
    </row>
    <row r="341" spans="1:10" x14ac:dyDescent="0.25">
      <c r="A341" t="s">
        <v>10</v>
      </c>
      <c r="B341" t="s">
        <v>19</v>
      </c>
      <c r="C341" t="s">
        <v>12</v>
      </c>
      <c r="D341" t="s">
        <v>14</v>
      </c>
      <c r="E341">
        <v>0.94444444444444398</v>
      </c>
      <c r="F341">
        <v>0.94638844214166595</v>
      </c>
      <c r="G341">
        <v>0.68295669555663996</v>
      </c>
      <c r="H341">
        <v>7</v>
      </c>
      <c r="I341">
        <v>7</v>
      </c>
      <c r="J341">
        <v>30</v>
      </c>
    </row>
    <row r="342" spans="1:10" x14ac:dyDescent="0.25">
      <c r="A342" t="s">
        <v>10</v>
      </c>
      <c r="B342" t="s">
        <v>19</v>
      </c>
      <c r="C342" t="s">
        <v>12</v>
      </c>
      <c r="D342" t="s">
        <v>14</v>
      </c>
      <c r="E342">
        <v>0.88888888888888795</v>
      </c>
      <c r="F342">
        <v>0.88436736134444405</v>
      </c>
      <c r="G342">
        <v>0.71012997627258301</v>
      </c>
      <c r="H342">
        <v>7</v>
      </c>
      <c r="I342">
        <v>7</v>
      </c>
      <c r="J342">
        <v>30</v>
      </c>
    </row>
    <row r="343" spans="1:10" x14ac:dyDescent="0.25">
      <c r="A343" t="s">
        <v>10</v>
      </c>
      <c r="B343" t="s">
        <v>19</v>
      </c>
      <c r="C343" t="s">
        <v>12</v>
      </c>
      <c r="D343" t="s">
        <v>14</v>
      </c>
      <c r="E343">
        <v>0.94444444444444398</v>
      </c>
      <c r="F343">
        <v>0.93960598117499905</v>
      </c>
      <c r="G343">
        <v>0.718217372894287</v>
      </c>
      <c r="H343">
        <v>8</v>
      </c>
      <c r="I343">
        <v>8</v>
      </c>
      <c r="J343">
        <v>30</v>
      </c>
    </row>
    <row r="344" spans="1:10" x14ac:dyDescent="0.25">
      <c r="A344" t="s">
        <v>10</v>
      </c>
      <c r="B344" t="s">
        <v>19</v>
      </c>
      <c r="C344" t="s">
        <v>12</v>
      </c>
      <c r="D344" t="s">
        <v>14</v>
      </c>
      <c r="E344">
        <v>0.91666666666666596</v>
      </c>
      <c r="F344">
        <v>0.92256614929444403</v>
      </c>
      <c r="G344">
        <v>0.72883534431457497</v>
      </c>
      <c r="H344">
        <v>7</v>
      </c>
      <c r="I344">
        <v>7</v>
      </c>
      <c r="J344">
        <v>30</v>
      </c>
    </row>
    <row r="345" spans="1:10" x14ac:dyDescent="0.25">
      <c r="A345" t="s">
        <v>10</v>
      </c>
      <c r="B345" t="s">
        <v>19</v>
      </c>
      <c r="C345" t="s">
        <v>12</v>
      </c>
      <c r="D345" t="s">
        <v>14</v>
      </c>
      <c r="E345">
        <v>0.97222222222222199</v>
      </c>
      <c r="F345">
        <v>0.96336872608055502</v>
      </c>
      <c r="G345">
        <v>0.74983406066894498</v>
      </c>
      <c r="H345">
        <v>8</v>
      </c>
      <c r="I345">
        <v>8</v>
      </c>
      <c r="J345">
        <v>30</v>
      </c>
    </row>
    <row r="346" spans="1:10" x14ac:dyDescent="0.25">
      <c r="A346" t="s">
        <v>10</v>
      </c>
      <c r="B346" t="s">
        <v>19</v>
      </c>
      <c r="C346" t="s">
        <v>12</v>
      </c>
      <c r="D346" t="s">
        <v>14</v>
      </c>
      <c r="E346">
        <v>0.97222222222222199</v>
      </c>
      <c r="F346">
        <v>0.96773703557500002</v>
      </c>
      <c r="G346">
        <v>0.74983406066894498</v>
      </c>
      <c r="H346">
        <v>8</v>
      </c>
      <c r="I346">
        <v>8</v>
      </c>
      <c r="J346">
        <v>30</v>
      </c>
    </row>
    <row r="347" spans="1:10" x14ac:dyDescent="0.25">
      <c r="A347" t="s">
        <v>10</v>
      </c>
      <c r="B347" t="s">
        <v>19</v>
      </c>
      <c r="C347" t="s">
        <v>12</v>
      </c>
      <c r="D347" t="s">
        <v>14</v>
      </c>
      <c r="E347">
        <v>0.88888888888888795</v>
      </c>
      <c r="F347">
        <v>0.89978290032222197</v>
      </c>
      <c r="G347">
        <v>0.77008056640625</v>
      </c>
      <c r="H347">
        <v>10</v>
      </c>
      <c r="I347">
        <v>10</v>
      </c>
      <c r="J347">
        <v>30</v>
      </c>
    </row>
    <row r="348" spans="1:10" x14ac:dyDescent="0.25">
      <c r="A348" t="s">
        <v>10</v>
      </c>
      <c r="B348" t="s">
        <v>19</v>
      </c>
      <c r="C348" t="s">
        <v>12</v>
      </c>
      <c r="D348" t="s">
        <v>14</v>
      </c>
      <c r="E348">
        <v>0.83333333333333304</v>
      </c>
      <c r="F348">
        <v>0.87046887865</v>
      </c>
      <c r="G348">
        <v>0.81083393096923795</v>
      </c>
      <c r="H348">
        <v>8</v>
      </c>
      <c r="I348">
        <v>8</v>
      </c>
      <c r="J348">
        <v>30</v>
      </c>
    </row>
    <row r="349" spans="1:10" x14ac:dyDescent="0.25">
      <c r="A349" t="s">
        <v>10</v>
      </c>
      <c r="B349" t="s">
        <v>19</v>
      </c>
      <c r="C349" t="s">
        <v>12</v>
      </c>
      <c r="D349" t="s">
        <v>14</v>
      </c>
      <c r="E349">
        <v>0.97222222222222199</v>
      </c>
      <c r="F349">
        <v>0.96308566900277703</v>
      </c>
      <c r="G349">
        <v>0.81628894805908203</v>
      </c>
      <c r="H349">
        <v>10</v>
      </c>
      <c r="I349">
        <v>10</v>
      </c>
      <c r="J349">
        <v>30</v>
      </c>
    </row>
    <row r="350" spans="1:10" x14ac:dyDescent="0.25">
      <c r="A350" t="s">
        <v>10</v>
      </c>
      <c r="B350" t="s">
        <v>19</v>
      </c>
      <c r="C350" t="s">
        <v>12</v>
      </c>
      <c r="D350" t="s">
        <v>14</v>
      </c>
      <c r="E350">
        <v>0.80555555555555503</v>
      </c>
      <c r="F350">
        <v>0.84275459956944399</v>
      </c>
      <c r="G350">
        <v>0.82226443290710405</v>
      </c>
      <c r="H350">
        <v>9</v>
      </c>
      <c r="I350">
        <v>9</v>
      </c>
      <c r="J350">
        <v>30</v>
      </c>
    </row>
    <row r="351" spans="1:10" x14ac:dyDescent="0.25">
      <c r="A351" t="s">
        <v>10</v>
      </c>
      <c r="B351" t="s">
        <v>19</v>
      </c>
      <c r="C351" t="s">
        <v>12</v>
      </c>
      <c r="D351" t="s">
        <v>14</v>
      </c>
      <c r="E351">
        <v>0.91666666666666596</v>
      </c>
      <c r="F351">
        <v>0.90866668913888804</v>
      </c>
      <c r="G351">
        <v>0.85210394859313898</v>
      </c>
      <c r="H351">
        <v>7</v>
      </c>
      <c r="I351">
        <v>7</v>
      </c>
      <c r="J351">
        <v>30</v>
      </c>
    </row>
    <row r="352" spans="1:10" x14ac:dyDescent="0.25">
      <c r="A352" t="s">
        <v>10</v>
      </c>
      <c r="B352" t="s">
        <v>19</v>
      </c>
      <c r="C352" t="s">
        <v>12</v>
      </c>
      <c r="D352" t="s">
        <v>14</v>
      </c>
      <c r="E352">
        <v>0.86111111111111105</v>
      </c>
      <c r="F352">
        <v>0.87333457693333305</v>
      </c>
      <c r="G352">
        <v>0.87254858016967696</v>
      </c>
      <c r="H352">
        <v>8</v>
      </c>
      <c r="I352">
        <v>8</v>
      </c>
      <c r="J352">
        <v>30</v>
      </c>
    </row>
    <row r="353" spans="1:10" x14ac:dyDescent="0.25">
      <c r="A353" t="s">
        <v>10</v>
      </c>
      <c r="B353" t="s">
        <v>19</v>
      </c>
      <c r="C353" t="s">
        <v>12</v>
      </c>
      <c r="D353" t="s">
        <v>14</v>
      </c>
      <c r="E353">
        <v>0.91666666666666596</v>
      </c>
      <c r="F353">
        <v>0.95358077482222203</v>
      </c>
      <c r="G353">
        <v>0.88276243209838801</v>
      </c>
      <c r="H353">
        <v>8</v>
      </c>
      <c r="I353">
        <v>8</v>
      </c>
      <c r="J353">
        <v>30</v>
      </c>
    </row>
    <row r="354" spans="1:10" x14ac:dyDescent="0.25">
      <c r="A354" t="s">
        <v>10</v>
      </c>
      <c r="B354" t="s">
        <v>19</v>
      </c>
      <c r="C354" t="s">
        <v>12</v>
      </c>
      <c r="D354" t="s">
        <v>14</v>
      </c>
      <c r="E354">
        <v>0.88888888888888795</v>
      </c>
      <c r="F354">
        <v>0.90339470034444402</v>
      </c>
      <c r="G354">
        <v>0.90376901626586903</v>
      </c>
      <c r="H354">
        <v>7</v>
      </c>
      <c r="I354">
        <v>7</v>
      </c>
      <c r="J354">
        <v>30</v>
      </c>
    </row>
    <row r="355" spans="1:10" x14ac:dyDescent="0.25">
      <c r="A355" t="s">
        <v>10</v>
      </c>
      <c r="B355" t="s">
        <v>19</v>
      </c>
      <c r="C355" t="s">
        <v>12</v>
      </c>
      <c r="D355" t="s">
        <v>14</v>
      </c>
      <c r="E355">
        <v>0.88888888888888795</v>
      </c>
      <c r="F355">
        <v>0.89645683056111103</v>
      </c>
      <c r="G355">
        <v>0.91008973121643</v>
      </c>
      <c r="H355">
        <v>10</v>
      </c>
      <c r="I355">
        <v>10</v>
      </c>
      <c r="J355">
        <v>30</v>
      </c>
    </row>
    <row r="356" spans="1:10" x14ac:dyDescent="0.25">
      <c r="A356" t="s">
        <v>10</v>
      </c>
      <c r="B356" t="s">
        <v>19</v>
      </c>
      <c r="C356" t="s">
        <v>12</v>
      </c>
      <c r="D356" t="s">
        <v>14</v>
      </c>
      <c r="E356">
        <v>0.97222222222222199</v>
      </c>
      <c r="F356">
        <v>0.98043961529166601</v>
      </c>
      <c r="G356">
        <v>0.91417741775512695</v>
      </c>
      <c r="H356">
        <v>8</v>
      </c>
      <c r="I356">
        <v>8</v>
      </c>
      <c r="J356">
        <v>30</v>
      </c>
    </row>
    <row r="357" spans="1:10" x14ac:dyDescent="0.25">
      <c r="A357" t="s">
        <v>10</v>
      </c>
      <c r="B357" t="s">
        <v>19</v>
      </c>
      <c r="C357" t="s">
        <v>12</v>
      </c>
      <c r="D357" t="s">
        <v>14</v>
      </c>
      <c r="E357">
        <v>0.94444444444444398</v>
      </c>
      <c r="F357">
        <v>0.93346186416111099</v>
      </c>
      <c r="G357">
        <v>0.92427921295166005</v>
      </c>
      <c r="H357">
        <v>8</v>
      </c>
      <c r="I357">
        <v>8</v>
      </c>
      <c r="J357">
        <v>30</v>
      </c>
    </row>
    <row r="358" spans="1:10" x14ac:dyDescent="0.25">
      <c r="A358" t="s">
        <v>10</v>
      </c>
      <c r="B358" t="s">
        <v>19</v>
      </c>
      <c r="C358" t="s">
        <v>12</v>
      </c>
      <c r="D358" t="s">
        <v>14</v>
      </c>
      <c r="E358">
        <v>0.94444444444444398</v>
      </c>
      <c r="F358">
        <v>0.94007862358611105</v>
      </c>
      <c r="G358">
        <v>0.91558051109313898</v>
      </c>
      <c r="H358">
        <v>7</v>
      </c>
      <c r="I358">
        <v>7</v>
      </c>
      <c r="J358">
        <v>30</v>
      </c>
    </row>
    <row r="359" spans="1:10" x14ac:dyDescent="0.25">
      <c r="A359" t="s">
        <v>10</v>
      </c>
      <c r="B359" t="s">
        <v>19</v>
      </c>
      <c r="C359" t="s">
        <v>12</v>
      </c>
      <c r="D359" t="s">
        <v>14</v>
      </c>
      <c r="E359">
        <v>0.91666666666666596</v>
      </c>
      <c r="F359">
        <v>0.92472031189166604</v>
      </c>
      <c r="G359">
        <v>0.92403602600097601</v>
      </c>
      <c r="H359">
        <v>10</v>
      </c>
      <c r="I359">
        <v>10</v>
      </c>
      <c r="J359">
        <v>30</v>
      </c>
    </row>
    <row r="360" spans="1:10" x14ac:dyDescent="0.25">
      <c r="A360" t="s">
        <v>10</v>
      </c>
      <c r="B360" t="s">
        <v>19</v>
      </c>
      <c r="C360" t="s">
        <v>12</v>
      </c>
      <c r="D360" t="s">
        <v>14</v>
      </c>
      <c r="E360">
        <v>0.86111111111111105</v>
      </c>
      <c r="F360">
        <v>0.88317741724444399</v>
      </c>
      <c r="G360">
        <v>0.91417741775512695</v>
      </c>
      <c r="H360">
        <v>10</v>
      </c>
      <c r="I360">
        <v>10</v>
      </c>
      <c r="J360">
        <v>30</v>
      </c>
    </row>
    <row r="361" spans="1:10" x14ac:dyDescent="0.25">
      <c r="A361" t="s">
        <v>10</v>
      </c>
      <c r="B361" t="s">
        <v>19</v>
      </c>
      <c r="C361" t="s">
        <v>12</v>
      </c>
      <c r="D361" t="s">
        <v>14</v>
      </c>
      <c r="E361">
        <v>0.88888888888888795</v>
      </c>
      <c r="F361">
        <v>0.90000262627777705</v>
      </c>
      <c r="G361">
        <v>0.91417741775512695</v>
      </c>
      <c r="H361">
        <v>10</v>
      </c>
      <c r="I361">
        <v>10</v>
      </c>
      <c r="J361">
        <v>30</v>
      </c>
    </row>
    <row r="362" spans="1:10" x14ac:dyDescent="0.25">
      <c r="A362" t="s">
        <v>10</v>
      </c>
      <c r="B362" t="s">
        <v>19</v>
      </c>
      <c r="C362" t="s">
        <v>12</v>
      </c>
      <c r="D362" t="s">
        <v>15</v>
      </c>
      <c r="E362">
        <v>0</v>
      </c>
      <c r="F362">
        <v>0.75</v>
      </c>
      <c r="G362">
        <v>0.66136670112609797</v>
      </c>
      <c r="H362">
        <v>0</v>
      </c>
      <c r="I362">
        <v>0</v>
      </c>
      <c r="J362">
        <v>30</v>
      </c>
    </row>
    <row r="363" spans="1:10" x14ac:dyDescent="0.25">
      <c r="A363" t="s">
        <v>10</v>
      </c>
      <c r="B363" t="s">
        <v>19</v>
      </c>
      <c r="C363" t="s">
        <v>12</v>
      </c>
      <c r="D363" t="s">
        <v>15</v>
      </c>
      <c r="E363">
        <v>0</v>
      </c>
      <c r="F363">
        <v>0.75</v>
      </c>
      <c r="G363">
        <v>0.65868902206420898</v>
      </c>
      <c r="H363">
        <v>0</v>
      </c>
      <c r="I363">
        <v>0</v>
      </c>
      <c r="J363">
        <v>30</v>
      </c>
    </row>
    <row r="364" spans="1:10" x14ac:dyDescent="0.25">
      <c r="A364" t="s">
        <v>10</v>
      </c>
      <c r="B364" t="s">
        <v>19</v>
      </c>
      <c r="C364" t="s">
        <v>12</v>
      </c>
      <c r="D364" t="s">
        <v>15</v>
      </c>
      <c r="E364">
        <v>0</v>
      </c>
      <c r="F364">
        <v>0.75</v>
      </c>
      <c r="G364">
        <v>0.70001673698425204</v>
      </c>
      <c r="H364">
        <v>0</v>
      </c>
      <c r="I364">
        <v>0</v>
      </c>
      <c r="J364">
        <v>30</v>
      </c>
    </row>
    <row r="365" spans="1:10" x14ac:dyDescent="0.25">
      <c r="A365" t="s">
        <v>10</v>
      </c>
      <c r="B365" t="s">
        <v>19</v>
      </c>
      <c r="C365" t="s">
        <v>12</v>
      </c>
      <c r="D365" t="s">
        <v>15</v>
      </c>
      <c r="E365">
        <v>0</v>
      </c>
      <c r="F365">
        <v>0.75</v>
      </c>
      <c r="G365">
        <v>0.72945165634155196</v>
      </c>
      <c r="H365">
        <v>0</v>
      </c>
      <c r="I365">
        <v>0</v>
      </c>
      <c r="J365">
        <v>30</v>
      </c>
    </row>
    <row r="366" spans="1:10" x14ac:dyDescent="0.25">
      <c r="A366" t="s">
        <v>10</v>
      </c>
      <c r="B366" t="s">
        <v>19</v>
      </c>
      <c r="C366" t="s">
        <v>12</v>
      </c>
      <c r="D366" t="s">
        <v>15</v>
      </c>
      <c r="E366">
        <v>0</v>
      </c>
      <c r="F366">
        <v>0.75</v>
      </c>
      <c r="G366">
        <v>0.751220703125</v>
      </c>
      <c r="H366">
        <v>0</v>
      </c>
      <c r="I366">
        <v>0</v>
      </c>
      <c r="J366">
        <v>30</v>
      </c>
    </row>
    <row r="367" spans="1:10" x14ac:dyDescent="0.25">
      <c r="A367" t="s">
        <v>10</v>
      </c>
      <c r="B367" t="s">
        <v>19</v>
      </c>
      <c r="C367" t="s">
        <v>12</v>
      </c>
      <c r="D367" t="s">
        <v>15</v>
      </c>
      <c r="E367">
        <v>0</v>
      </c>
      <c r="F367">
        <v>0.75</v>
      </c>
      <c r="G367">
        <v>0.87796688079833896</v>
      </c>
      <c r="H367">
        <v>0</v>
      </c>
      <c r="I367">
        <v>0</v>
      </c>
      <c r="J367">
        <v>30</v>
      </c>
    </row>
    <row r="368" spans="1:10" x14ac:dyDescent="0.25">
      <c r="A368" t="s">
        <v>10</v>
      </c>
      <c r="B368" t="s">
        <v>19</v>
      </c>
      <c r="C368" t="s">
        <v>12</v>
      </c>
      <c r="D368" t="s">
        <v>15</v>
      </c>
      <c r="E368">
        <v>0</v>
      </c>
      <c r="F368">
        <v>0.75</v>
      </c>
      <c r="G368">
        <v>0.88477706909179599</v>
      </c>
      <c r="H368">
        <v>0</v>
      </c>
      <c r="I368">
        <v>0</v>
      </c>
      <c r="J368">
        <v>30</v>
      </c>
    </row>
    <row r="369" spans="1:10" x14ac:dyDescent="0.25">
      <c r="A369" t="s">
        <v>10</v>
      </c>
      <c r="B369" t="s">
        <v>19</v>
      </c>
      <c r="C369" t="s">
        <v>12</v>
      </c>
      <c r="D369" t="s">
        <v>15</v>
      </c>
      <c r="E369">
        <v>0</v>
      </c>
      <c r="F369">
        <v>0.75</v>
      </c>
      <c r="G369">
        <v>0.91262912750244096</v>
      </c>
      <c r="H369">
        <v>0</v>
      </c>
      <c r="I369">
        <v>0</v>
      </c>
      <c r="J369">
        <v>30</v>
      </c>
    </row>
    <row r="370" spans="1:10" x14ac:dyDescent="0.25">
      <c r="A370" t="s">
        <v>10</v>
      </c>
      <c r="B370" t="s">
        <v>19</v>
      </c>
      <c r="C370" t="s">
        <v>12</v>
      </c>
      <c r="D370" t="s">
        <v>15</v>
      </c>
      <c r="E370">
        <v>0</v>
      </c>
      <c r="F370">
        <v>0.75</v>
      </c>
      <c r="G370">
        <v>0.93318176269531194</v>
      </c>
      <c r="H370">
        <v>0</v>
      </c>
      <c r="I370">
        <v>0</v>
      </c>
      <c r="J370">
        <v>30</v>
      </c>
    </row>
    <row r="371" spans="1:10" x14ac:dyDescent="0.25">
      <c r="A371" t="s">
        <v>10</v>
      </c>
      <c r="B371" t="s">
        <v>19</v>
      </c>
      <c r="C371" t="s">
        <v>12</v>
      </c>
      <c r="D371" t="s">
        <v>15</v>
      </c>
      <c r="E371">
        <v>0</v>
      </c>
      <c r="F371">
        <v>0.75</v>
      </c>
      <c r="G371">
        <v>0.92795681953430098</v>
      </c>
      <c r="H371">
        <v>0</v>
      </c>
      <c r="I371">
        <v>0</v>
      </c>
      <c r="J371">
        <v>30</v>
      </c>
    </row>
    <row r="372" spans="1:10" x14ac:dyDescent="0.25">
      <c r="A372" t="s">
        <v>10</v>
      </c>
      <c r="B372" t="s">
        <v>19</v>
      </c>
      <c r="C372" t="s">
        <v>12</v>
      </c>
      <c r="D372" t="s">
        <v>15</v>
      </c>
      <c r="E372">
        <v>0</v>
      </c>
      <c r="F372">
        <v>0.75</v>
      </c>
      <c r="G372">
        <v>0.94626307487487704</v>
      </c>
      <c r="H372">
        <v>0</v>
      </c>
      <c r="I372">
        <v>0</v>
      </c>
      <c r="J372">
        <v>30</v>
      </c>
    </row>
    <row r="373" spans="1:10" x14ac:dyDescent="0.25">
      <c r="A373" t="s">
        <v>10</v>
      </c>
      <c r="B373" t="s">
        <v>19</v>
      </c>
      <c r="C373" t="s">
        <v>12</v>
      </c>
      <c r="D373" t="s">
        <v>15</v>
      </c>
      <c r="E373">
        <v>0</v>
      </c>
      <c r="F373">
        <v>0.75</v>
      </c>
      <c r="G373">
        <v>0.966702461242675</v>
      </c>
      <c r="H373">
        <v>0</v>
      </c>
      <c r="I373">
        <v>0</v>
      </c>
      <c r="J373">
        <v>30</v>
      </c>
    </row>
    <row r="374" spans="1:10" x14ac:dyDescent="0.25">
      <c r="A374" t="s">
        <v>10</v>
      </c>
      <c r="B374" t="s">
        <v>19</v>
      </c>
      <c r="C374" t="s">
        <v>12</v>
      </c>
      <c r="D374" t="s">
        <v>15</v>
      </c>
      <c r="E374">
        <v>0</v>
      </c>
      <c r="F374">
        <v>0.75</v>
      </c>
      <c r="G374">
        <v>1.0181584358215301</v>
      </c>
      <c r="H374">
        <v>0</v>
      </c>
      <c r="I374">
        <v>0</v>
      </c>
      <c r="J374">
        <v>30</v>
      </c>
    </row>
    <row r="375" spans="1:10" x14ac:dyDescent="0.25">
      <c r="A375" t="s">
        <v>10</v>
      </c>
      <c r="B375" t="s">
        <v>19</v>
      </c>
      <c r="C375" t="s">
        <v>12</v>
      </c>
      <c r="D375" t="s">
        <v>15</v>
      </c>
      <c r="E375">
        <v>0</v>
      </c>
      <c r="F375">
        <v>0.75</v>
      </c>
      <c r="G375">
        <v>1.0286316871643</v>
      </c>
      <c r="H375">
        <v>0</v>
      </c>
      <c r="I375">
        <v>0</v>
      </c>
      <c r="J375">
        <v>30</v>
      </c>
    </row>
    <row r="376" spans="1:10" x14ac:dyDescent="0.25">
      <c r="A376" t="s">
        <v>10</v>
      </c>
      <c r="B376" t="s">
        <v>19</v>
      </c>
      <c r="C376" t="s">
        <v>12</v>
      </c>
      <c r="D376" t="s">
        <v>15</v>
      </c>
      <c r="E376">
        <v>0</v>
      </c>
      <c r="F376">
        <v>0.75</v>
      </c>
      <c r="G376">
        <v>1.0901064872741699</v>
      </c>
      <c r="H376">
        <v>0</v>
      </c>
      <c r="I376">
        <v>0</v>
      </c>
      <c r="J376">
        <v>30</v>
      </c>
    </row>
    <row r="377" spans="1:10" x14ac:dyDescent="0.25">
      <c r="A377" t="s">
        <v>10</v>
      </c>
      <c r="B377" t="s">
        <v>19</v>
      </c>
      <c r="C377" t="s">
        <v>12</v>
      </c>
      <c r="D377" t="s">
        <v>15</v>
      </c>
      <c r="E377">
        <v>0</v>
      </c>
      <c r="F377">
        <v>0.75</v>
      </c>
      <c r="G377">
        <v>1.1165642738342201</v>
      </c>
      <c r="H377">
        <v>0</v>
      </c>
      <c r="I377">
        <v>0</v>
      </c>
      <c r="J377">
        <v>30</v>
      </c>
    </row>
    <row r="378" spans="1:10" x14ac:dyDescent="0.25">
      <c r="A378" t="s">
        <v>10</v>
      </c>
      <c r="B378" t="s">
        <v>19</v>
      </c>
      <c r="C378" t="s">
        <v>12</v>
      </c>
      <c r="D378" t="s">
        <v>15</v>
      </c>
      <c r="E378">
        <v>0</v>
      </c>
      <c r="F378">
        <v>0.75</v>
      </c>
      <c r="G378">
        <v>1.1511058807373</v>
      </c>
      <c r="H378">
        <v>0</v>
      </c>
      <c r="I378">
        <v>0</v>
      </c>
      <c r="J378">
        <v>30</v>
      </c>
    </row>
    <row r="379" spans="1:10" x14ac:dyDescent="0.25">
      <c r="A379" t="s">
        <v>10</v>
      </c>
      <c r="B379" t="s">
        <v>19</v>
      </c>
      <c r="C379" t="s">
        <v>12</v>
      </c>
      <c r="D379" t="s">
        <v>15</v>
      </c>
      <c r="E379">
        <v>0</v>
      </c>
      <c r="F379">
        <v>0.75</v>
      </c>
      <c r="G379">
        <v>1.20718669891357</v>
      </c>
      <c r="H379">
        <v>0</v>
      </c>
      <c r="I379">
        <v>0</v>
      </c>
      <c r="J379">
        <v>30</v>
      </c>
    </row>
    <row r="380" spans="1:10" x14ac:dyDescent="0.25">
      <c r="A380" t="s">
        <v>10</v>
      </c>
      <c r="B380" t="s">
        <v>19</v>
      </c>
      <c r="C380" t="s">
        <v>12</v>
      </c>
      <c r="D380" t="s">
        <v>15</v>
      </c>
      <c r="E380">
        <v>0</v>
      </c>
      <c r="F380">
        <v>0.75</v>
      </c>
      <c r="G380">
        <v>1.2847218513488701</v>
      </c>
      <c r="H380">
        <v>0</v>
      </c>
      <c r="I380">
        <v>0</v>
      </c>
      <c r="J380">
        <v>30</v>
      </c>
    </row>
    <row r="381" spans="1:10" x14ac:dyDescent="0.25">
      <c r="A381" t="s">
        <v>10</v>
      </c>
      <c r="B381" t="s">
        <v>19</v>
      </c>
      <c r="C381" t="s">
        <v>12</v>
      </c>
      <c r="D381" t="s">
        <v>15</v>
      </c>
      <c r="E381">
        <v>0</v>
      </c>
      <c r="F381">
        <v>0.75</v>
      </c>
      <c r="G381">
        <v>1.31378722190856</v>
      </c>
      <c r="H381">
        <v>0</v>
      </c>
      <c r="I381">
        <v>0</v>
      </c>
      <c r="J381">
        <v>30</v>
      </c>
    </row>
    <row r="382" spans="1:10" x14ac:dyDescent="0.25">
      <c r="A382" t="s">
        <v>10</v>
      </c>
      <c r="B382" t="s">
        <v>19</v>
      </c>
      <c r="C382" t="s">
        <v>12</v>
      </c>
      <c r="D382" t="s">
        <v>15</v>
      </c>
      <c r="E382">
        <v>0</v>
      </c>
      <c r="F382">
        <v>0.75</v>
      </c>
      <c r="G382">
        <v>1.3627541065216</v>
      </c>
      <c r="H382">
        <v>0</v>
      </c>
      <c r="I382">
        <v>0</v>
      </c>
      <c r="J382">
        <v>30</v>
      </c>
    </row>
    <row r="383" spans="1:10" x14ac:dyDescent="0.25">
      <c r="A383" t="s">
        <v>10</v>
      </c>
      <c r="B383" t="s">
        <v>19</v>
      </c>
      <c r="C383" t="s">
        <v>12</v>
      </c>
      <c r="D383" t="s">
        <v>15</v>
      </c>
      <c r="E383">
        <v>0</v>
      </c>
      <c r="F383">
        <v>0.75</v>
      </c>
      <c r="G383">
        <v>1.37145352363586</v>
      </c>
      <c r="H383">
        <v>0</v>
      </c>
      <c r="I383">
        <v>0</v>
      </c>
      <c r="J383">
        <v>30</v>
      </c>
    </row>
    <row r="384" spans="1:10" x14ac:dyDescent="0.25">
      <c r="A384" t="s">
        <v>10</v>
      </c>
      <c r="B384" t="s">
        <v>19</v>
      </c>
      <c r="C384" t="s">
        <v>12</v>
      </c>
      <c r="D384" t="s">
        <v>15</v>
      </c>
      <c r="E384">
        <v>0</v>
      </c>
      <c r="F384">
        <v>0.75</v>
      </c>
      <c r="G384">
        <v>1.3792073726653999</v>
      </c>
      <c r="H384">
        <v>0</v>
      </c>
      <c r="I384">
        <v>0</v>
      </c>
      <c r="J384">
        <v>30</v>
      </c>
    </row>
    <row r="385" spans="1:10" x14ac:dyDescent="0.25">
      <c r="A385" t="s">
        <v>10</v>
      </c>
      <c r="B385" t="s">
        <v>19</v>
      </c>
      <c r="C385" t="s">
        <v>12</v>
      </c>
      <c r="D385" t="s">
        <v>15</v>
      </c>
      <c r="E385">
        <v>0</v>
      </c>
      <c r="F385">
        <v>0.75</v>
      </c>
      <c r="G385">
        <v>1.40173840522766</v>
      </c>
      <c r="H385">
        <v>0</v>
      </c>
      <c r="I385">
        <v>0</v>
      </c>
      <c r="J385">
        <v>30</v>
      </c>
    </row>
    <row r="386" spans="1:10" x14ac:dyDescent="0.25">
      <c r="A386" t="s">
        <v>10</v>
      </c>
      <c r="B386" t="s">
        <v>19</v>
      </c>
      <c r="C386" t="s">
        <v>12</v>
      </c>
      <c r="D386" t="s">
        <v>15</v>
      </c>
      <c r="E386">
        <v>0</v>
      </c>
      <c r="F386">
        <v>0.75</v>
      </c>
      <c r="G386">
        <v>1.42674660682678</v>
      </c>
      <c r="H386">
        <v>0</v>
      </c>
      <c r="I386">
        <v>0</v>
      </c>
      <c r="J386">
        <v>30</v>
      </c>
    </row>
    <row r="387" spans="1:10" x14ac:dyDescent="0.25">
      <c r="A387" t="s">
        <v>10</v>
      </c>
      <c r="B387" t="s">
        <v>19</v>
      </c>
      <c r="C387" t="s">
        <v>12</v>
      </c>
      <c r="D387" t="s">
        <v>15</v>
      </c>
      <c r="E387">
        <v>0</v>
      </c>
      <c r="F387">
        <v>0.75</v>
      </c>
      <c r="G387">
        <v>1.4825572967529199</v>
      </c>
      <c r="H387">
        <v>0</v>
      </c>
      <c r="I387">
        <v>0</v>
      </c>
      <c r="J387">
        <v>30</v>
      </c>
    </row>
    <row r="388" spans="1:10" x14ac:dyDescent="0.25">
      <c r="A388" t="s">
        <v>10</v>
      </c>
      <c r="B388" t="s">
        <v>19</v>
      </c>
      <c r="C388" t="s">
        <v>12</v>
      </c>
      <c r="D388" t="s">
        <v>15</v>
      </c>
      <c r="E388">
        <v>0</v>
      </c>
      <c r="F388">
        <v>0.75</v>
      </c>
      <c r="G388">
        <v>1.5103552341461099</v>
      </c>
      <c r="H388">
        <v>0</v>
      </c>
      <c r="I388">
        <v>0</v>
      </c>
      <c r="J388">
        <v>30</v>
      </c>
    </row>
    <row r="389" spans="1:10" x14ac:dyDescent="0.25">
      <c r="A389" t="s">
        <v>10</v>
      </c>
      <c r="B389" t="s">
        <v>19</v>
      </c>
      <c r="C389" t="s">
        <v>12</v>
      </c>
      <c r="D389" t="s">
        <v>15</v>
      </c>
      <c r="E389">
        <v>0</v>
      </c>
      <c r="F389">
        <v>0.75</v>
      </c>
      <c r="G389">
        <v>1.6115460395812899</v>
      </c>
      <c r="H389">
        <v>0</v>
      </c>
      <c r="I389">
        <v>0</v>
      </c>
      <c r="J389">
        <v>30</v>
      </c>
    </row>
    <row r="390" spans="1:10" x14ac:dyDescent="0.25">
      <c r="A390" t="s">
        <v>10</v>
      </c>
      <c r="B390" t="s">
        <v>19</v>
      </c>
      <c r="C390" t="s">
        <v>12</v>
      </c>
      <c r="D390" t="s">
        <v>15</v>
      </c>
      <c r="E390">
        <v>0</v>
      </c>
      <c r="F390">
        <v>0.75</v>
      </c>
      <c r="G390">
        <v>1.6246573925018299</v>
      </c>
      <c r="H390">
        <v>0</v>
      </c>
      <c r="I390">
        <v>0</v>
      </c>
      <c r="J390">
        <v>30</v>
      </c>
    </row>
    <row r="391" spans="1:10" x14ac:dyDescent="0.25">
      <c r="A391" t="s">
        <v>10</v>
      </c>
      <c r="B391" t="s">
        <v>19</v>
      </c>
      <c r="C391" t="s">
        <v>12</v>
      </c>
      <c r="D391" t="s">
        <v>15</v>
      </c>
      <c r="E391">
        <v>0</v>
      </c>
      <c r="F391">
        <v>0.75</v>
      </c>
      <c r="G391">
        <v>1.6892077922821001</v>
      </c>
      <c r="H391">
        <v>1</v>
      </c>
      <c r="I391">
        <v>3</v>
      </c>
      <c r="J391">
        <v>30</v>
      </c>
    </row>
    <row r="392" spans="1:10" x14ac:dyDescent="0.25">
      <c r="A392" t="s">
        <v>10</v>
      </c>
      <c r="B392" t="s">
        <v>19</v>
      </c>
      <c r="C392" t="s">
        <v>12</v>
      </c>
      <c r="D392" t="s">
        <v>16</v>
      </c>
      <c r="E392">
        <v>0</v>
      </c>
      <c r="F392">
        <v>0.75</v>
      </c>
      <c r="G392">
        <v>6.4179182052612305E-2</v>
      </c>
      <c r="H392">
        <v>0</v>
      </c>
      <c r="I392">
        <v>0</v>
      </c>
      <c r="J392">
        <v>30</v>
      </c>
    </row>
    <row r="393" spans="1:10" x14ac:dyDescent="0.25">
      <c r="A393" t="s">
        <v>10</v>
      </c>
      <c r="B393" t="s">
        <v>19</v>
      </c>
      <c r="C393" t="s">
        <v>12</v>
      </c>
      <c r="D393" t="s">
        <v>16</v>
      </c>
      <c r="E393">
        <v>0</v>
      </c>
      <c r="F393">
        <v>0.75</v>
      </c>
      <c r="G393">
        <v>9.7116947174072196E-2</v>
      </c>
      <c r="H393">
        <v>0</v>
      </c>
      <c r="I393">
        <v>0</v>
      </c>
      <c r="J393">
        <v>30</v>
      </c>
    </row>
    <row r="394" spans="1:10" x14ac:dyDescent="0.25">
      <c r="A394" t="s">
        <v>10</v>
      </c>
      <c r="B394" t="s">
        <v>19</v>
      </c>
      <c r="C394" t="s">
        <v>12</v>
      </c>
      <c r="D394" t="s">
        <v>16</v>
      </c>
      <c r="E394">
        <v>0</v>
      </c>
      <c r="F394">
        <v>0.75</v>
      </c>
      <c r="G394">
        <v>0.14714646339416501</v>
      </c>
      <c r="H394">
        <v>0</v>
      </c>
      <c r="I394">
        <v>0</v>
      </c>
      <c r="J394">
        <v>30</v>
      </c>
    </row>
    <row r="395" spans="1:10" x14ac:dyDescent="0.25">
      <c r="A395" t="s">
        <v>10</v>
      </c>
      <c r="B395" t="s">
        <v>19</v>
      </c>
      <c r="C395" t="s">
        <v>12</v>
      </c>
      <c r="D395" t="s">
        <v>16</v>
      </c>
      <c r="E395">
        <v>0</v>
      </c>
      <c r="F395">
        <v>0.75</v>
      </c>
      <c r="G395">
        <v>0.155076503753662</v>
      </c>
      <c r="H395">
        <v>0</v>
      </c>
      <c r="I395">
        <v>0</v>
      </c>
      <c r="J395">
        <v>30</v>
      </c>
    </row>
    <row r="396" spans="1:10" x14ac:dyDescent="0.25">
      <c r="A396" t="s">
        <v>10</v>
      </c>
      <c r="B396" t="s">
        <v>19</v>
      </c>
      <c r="C396" t="s">
        <v>12</v>
      </c>
      <c r="D396" t="s">
        <v>16</v>
      </c>
      <c r="E396">
        <v>0</v>
      </c>
      <c r="F396">
        <v>0.75</v>
      </c>
      <c r="G396">
        <v>0.14642310142517001</v>
      </c>
      <c r="H396">
        <v>0</v>
      </c>
      <c r="I396">
        <v>0</v>
      </c>
      <c r="J396">
        <v>30</v>
      </c>
    </row>
    <row r="397" spans="1:10" x14ac:dyDescent="0.25">
      <c r="A397" t="s">
        <v>10</v>
      </c>
      <c r="B397" t="s">
        <v>19</v>
      </c>
      <c r="C397" t="s">
        <v>12</v>
      </c>
      <c r="D397" t="s">
        <v>16</v>
      </c>
      <c r="E397">
        <v>0</v>
      </c>
      <c r="F397">
        <v>0.75</v>
      </c>
      <c r="G397">
        <v>0.16435575485229401</v>
      </c>
      <c r="H397">
        <v>0</v>
      </c>
      <c r="I397">
        <v>0</v>
      </c>
      <c r="J397">
        <v>30</v>
      </c>
    </row>
    <row r="398" spans="1:10" x14ac:dyDescent="0.25">
      <c r="A398" t="s">
        <v>10</v>
      </c>
      <c r="B398" t="s">
        <v>19</v>
      </c>
      <c r="C398" t="s">
        <v>12</v>
      </c>
      <c r="D398" t="s">
        <v>16</v>
      </c>
      <c r="E398">
        <v>0</v>
      </c>
      <c r="F398">
        <v>0.75</v>
      </c>
      <c r="G398">
        <v>0.18425726890563901</v>
      </c>
      <c r="H398">
        <v>0</v>
      </c>
      <c r="I398">
        <v>0</v>
      </c>
      <c r="J398">
        <v>30</v>
      </c>
    </row>
    <row r="399" spans="1:10" x14ac:dyDescent="0.25">
      <c r="A399" t="s">
        <v>10</v>
      </c>
      <c r="B399" t="s">
        <v>19</v>
      </c>
      <c r="C399" t="s">
        <v>12</v>
      </c>
      <c r="D399" t="s">
        <v>16</v>
      </c>
      <c r="E399">
        <v>0</v>
      </c>
      <c r="F399">
        <v>0.75</v>
      </c>
      <c r="G399">
        <v>0.205295324325561</v>
      </c>
      <c r="H399">
        <v>0</v>
      </c>
      <c r="I399">
        <v>0</v>
      </c>
      <c r="J399">
        <v>30</v>
      </c>
    </row>
    <row r="400" spans="1:10" x14ac:dyDescent="0.25">
      <c r="A400" t="s">
        <v>10</v>
      </c>
      <c r="B400" t="s">
        <v>19</v>
      </c>
      <c r="C400" t="s">
        <v>12</v>
      </c>
      <c r="D400" t="s">
        <v>16</v>
      </c>
      <c r="E400">
        <v>0</v>
      </c>
      <c r="F400">
        <v>0.75</v>
      </c>
      <c r="G400">
        <v>0.228488683700561</v>
      </c>
      <c r="H400">
        <v>0</v>
      </c>
      <c r="I400">
        <v>0</v>
      </c>
      <c r="J400">
        <v>30</v>
      </c>
    </row>
    <row r="401" spans="1:10" x14ac:dyDescent="0.25">
      <c r="A401" t="s">
        <v>10</v>
      </c>
      <c r="B401" t="s">
        <v>19</v>
      </c>
      <c r="C401" t="s">
        <v>12</v>
      </c>
      <c r="D401" t="s">
        <v>16</v>
      </c>
      <c r="E401">
        <v>0</v>
      </c>
      <c r="F401">
        <v>0.75</v>
      </c>
      <c r="G401">
        <v>0.233346462249755</v>
      </c>
      <c r="H401">
        <v>0</v>
      </c>
      <c r="I401">
        <v>0</v>
      </c>
      <c r="J401">
        <v>30</v>
      </c>
    </row>
    <row r="402" spans="1:10" x14ac:dyDescent="0.25">
      <c r="A402" t="s">
        <v>10</v>
      </c>
      <c r="B402" t="s">
        <v>19</v>
      </c>
      <c r="C402" t="s">
        <v>12</v>
      </c>
      <c r="D402" t="s">
        <v>16</v>
      </c>
      <c r="E402">
        <v>0</v>
      </c>
      <c r="F402">
        <v>0.75</v>
      </c>
      <c r="G402">
        <v>0.25317573547363198</v>
      </c>
      <c r="H402">
        <v>0</v>
      </c>
      <c r="I402">
        <v>0</v>
      </c>
      <c r="J402">
        <v>30</v>
      </c>
    </row>
    <row r="403" spans="1:10" x14ac:dyDescent="0.25">
      <c r="A403" t="s">
        <v>10</v>
      </c>
      <c r="B403" t="s">
        <v>19</v>
      </c>
      <c r="C403" t="s">
        <v>12</v>
      </c>
      <c r="D403" t="s">
        <v>16</v>
      </c>
      <c r="E403">
        <v>0</v>
      </c>
      <c r="F403">
        <v>0.75</v>
      </c>
      <c r="G403">
        <v>0.27387928962707497</v>
      </c>
      <c r="H403">
        <v>0</v>
      </c>
      <c r="I403">
        <v>0</v>
      </c>
      <c r="J403">
        <v>30</v>
      </c>
    </row>
    <row r="404" spans="1:10" x14ac:dyDescent="0.25">
      <c r="A404" t="s">
        <v>10</v>
      </c>
      <c r="B404" t="s">
        <v>19</v>
      </c>
      <c r="C404" t="s">
        <v>12</v>
      </c>
      <c r="D404" t="s">
        <v>16</v>
      </c>
      <c r="E404">
        <v>0</v>
      </c>
      <c r="F404">
        <v>0.75</v>
      </c>
      <c r="G404">
        <v>0.27072238922119102</v>
      </c>
      <c r="H404">
        <v>0</v>
      </c>
      <c r="I404">
        <v>0</v>
      </c>
      <c r="J404">
        <v>30</v>
      </c>
    </row>
    <row r="405" spans="1:10" x14ac:dyDescent="0.25">
      <c r="A405" t="s">
        <v>10</v>
      </c>
      <c r="B405" t="s">
        <v>19</v>
      </c>
      <c r="C405" t="s">
        <v>12</v>
      </c>
      <c r="D405" t="s">
        <v>16</v>
      </c>
      <c r="E405">
        <v>0</v>
      </c>
      <c r="F405">
        <v>0.75</v>
      </c>
      <c r="G405">
        <v>0.27682042121887201</v>
      </c>
      <c r="H405">
        <v>0</v>
      </c>
      <c r="I405">
        <v>0</v>
      </c>
      <c r="J405">
        <v>30</v>
      </c>
    </row>
    <row r="406" spans="1:10" x14ac:dyDescent="0.25">
      <c r="A406" t="s">
        <v>10</v>
      </c>
      <c r="B406" t="s">
        <v>19</v>
      </c>
      <c r="C406" t="s">
        <v>12</v>
      </c>
      <c r="D406" t="s">
        <v>16</v>
      </c>
      <c r="E406">
        <v>0</v>
      </c>
      <c r="F406">
        <v>0.75</v>
      </c>
      <c r="G406">
        <v>0.28132367134094199</v>
      </c>
      <c r="H406">
        <v>0</v>
      </c>
      <c r="I406">
        <v>0</v>
      </c>
      <c r="J406">
        <v>30</v>
      </c>
    </row>
    <row r="407" spans="1:10" x14ac:dyDescent="0.25">
      <c r="A407" t="s">
        <v>10</v>
      </c>
      <c r="B407" t="s">
        <v>19</v>
      </c>
      <c r="C407" t="s">
        <v>12</v>
      </c>
      <c r="D407" t="s">
        <v>16</v>
      </c>
      <c r="E407">
        <v>0</v>
      </c>
      <c r="F407">
        <v>0.75</v>
      </c>
      <c r="G407">
        <v>0.28437900543212802</v>
      </c>
      <c r="H407">
        <v>0</v>
      </c>
      <c r="I407">
        <v>0</v>
      </c>
      <c r="J407">
        <v>30</v>
      </c>
    </row>
    <row r="408" spans="1:10" x14ac:dyDescent="0.25">
      <c r="A408" t="s">
        <v>10</v>
      </c>
      <c r="B408" t="s">
        <v>19</v>
      </c>
      <c r="C408" t="s">
        <v>12</v>
      </c>
      <c r="D408" t="s">
        <v>16</v>
      </c>
      <c r="E408">
        <v>0</v>
      </c>
      <c r="F408">
        <v>0.75</v>
      </c>
      <c r="G408">
        <v>0.27799892425537098</v>
      </c>
      <c r="H408">
        <v>0</v>
      </c>
      <c r="I408">
        <v>0</v>
      </c>
      <c r="J408">
        <v>30</v>
      </c>
    </row>
    <row r="409" spans="1:10" x14ac:dyDescent="0.25">
      <c r="A409" t="s">
        <v>10</v>
      </c>
      <c r="B409" t="s">
        <v>19</v>
      </c>
      <c r="C409" t="s">
        <v>12</v>
      </c>
      <c r="D409" t="s">
        <v>16</v>
      </c>
      <c r="E409">
        <v>0</v>
      </c>
      <c r="F409">
        <v>0.75</v>
      </c>
      <c r="G409">
        <v>0.298030614852905</v>
      </c>
      <c r="H409">
        <v>0</v>
      </c>
      <c r="I409">
        <v>0</v>
      </c>
      <c r="J409">
        <v>30</v>
      </c>
    </row>
    <row r="410" spans="1:10" x14ac:dyDescent="0.25">
      <c r="A410" t="s">
        <v>10</v>
      </c>
      <c r="B410" t="s">
        <v>19</v>
      </c>
      <c r="C410" t="s">
        <v>12</v>
      </c>
      <c r="D410" t="s">
        <v>16</v>
      </c>
      <c r="E410">
        <v>0</v>
      </c>
      <c r="F410">
        <v>0.75</v>
      </c>
      <c r="G410">
        <v>0.29552698135375899</v>
      </c>
      <c r="H410">
        <v>0</v>
      </c>
      <c r="I410">
        <v>0</v>
      </c>
      <c r="J410">
        <v>30</v>
      </c>
    </row>
    <row r="411" spans="1:10" x14ac:dyDescent="0.25">
      <c r="A411" t="s">
        <v>10</v>
      </c>
      <c r="B411" t="s">
        <v>19</v>
      </c>
      <c r="C411" t="s">
        <v>12</v>
      </c>
      <c r="D411" t="s">
        <v>16</v>
      </c>
      <c r="E411">
        <v>0</v>
      </c>
      <c r="F411">
        <v>0.75</v>
      </c>
      <c r="G411">
        <v>0.31217193603515597</v>
      </c>
      <c r="H411">
        <v>0</v>
      </c>
      <c r="I411">
        <v>0</v>
      </c>
      <c r="J411">
        <v>30</v>
      </c>
    </row>
    <row r="412" spans="1:10" x14ac:dyDescent="0.25">
      <c r="A412" t="s">
        <v>10</v>
      </c>
      <c r="B412" t="s">
        <v>19</v>
      </c>
      <c r="C412" t="s">
        <v>12</v>
      </c>
      <c r="D412" t="s">
        <v>16</v>
      </c>
      <c r="E412">
        <v>0</v>
      </c>
      <c r="F412">
        <v>0.75</v>
      </c>
      <c r="G412">
        <v>0.31521248817443798</v>
      </c>
      <c r="H412">
        <v>0</v>
      </c>
      <c r="I412">
        <v>0</v>
      </c>
      <c r="J412">
        <v>30</v>
      </c>
    </row>
    <row r="413" spans="1:10" x14ac:dyDescent="0.25">
      <c r="A413" t="s">
        <v>10</v>
      </c>
      <c r="B413" t="s">
        <v>19</v>
      </c>
      <c r="C413" t="s">
        <v>12</v>
      </c>
      <c r="D413" t="s">
        <v>16</v>
      </c>
      <c r="E413">
        <v>0</v>
      </c>
      <c r="F413">
        <v>0.75</v>
      </c>
      <c r="G413">
        <v>0.33329319953918402</v>
      </c>
      <c r="H413">
        <v>0</v>
      </c>
      <c r="I413">
        <v>0</v>
      </c>
      <c r="J413">
        <v>30</v>
      </c>
    </row>
    <row r="414" spans="1:10" x14ac:dyDescent="0.25">
      <c r="A414" t="s">
        <v>10</v>
      </c>
      <c r="B414" t="s">
        <v>19</v>
      </c>
      <c r="C414" t="s">
        <v>12</v>
      </c>
      <c r="D414" t="s">
        <v>16</v>
      </c>
      <c r="E414">
        <v>0</v>
      </c>
      <c r="F414">
        <v>0.75</v>
      </c>
      <c r="G414">
        <v>0.34056973457336398</v>
      </c>
      <c r="H414">
        <v>0</v>
      </c>
      <c r="I414">
        <v>0</v>
      </c>
      <c r="J414">
        <v>30</v>
      </c>
    </row>
    <row r="415" spans="1:10" x14ac:dyDescent="0.25">
      <c r="A415" t="s">
        <v>10</v>
      </c>
      <c r="B415" t="s">
        <v>19</v>
      </c>
      <c r="C415" t="s">
        <v>12</v>
      </c>
      <c r="D415" t="s">
        <v>16</v>
      </c>
      <c r="E415">
        <v>0</v>
      </c>
      <c r="F415">
        <v>0.75</v>
      </c>
      <c r="G415">
        <v>0.33534049987792902</v>
      </c>
      <c r="H415">
        <v>0</v>
      </c>
      <c r="I415">
        <v>0</v>
      </c>
      <c r="J415">
        <v>30</v>
      </c>
    </row>
    <row r="416" spans="1:10" x14ac:dyDescent="0.25">
      <c r="A416" t="s">
        <v>10</v>
      </c>
      <c r="B416" t="s">
        <v>19</v>
      </c>
      <c r="C416" t="s">
        <v>12</v>
      </c>
      <c r="D416" t="s">
        <v>16</v>
      </c>
      <c r="E416">
        <v>0</v>
      </c>
      <c r="F416">
        <v>0.75</v>
      </c>
      <c r="G416">
        <v>0.33834099769592202</v>
      </c>
      <c r="H416">
        <v>0</v>
      </c>
      <c r="I416">
        <v>0</v>
      </c>
      <c r="J416">
        <v>30</v>
      </c>
    </row>
    <row r="417" spans="1:10" x14ac:dyDescent="0.25">
      <c r="A417" t="s">
        <v>10</v>
      </c>
      <c r="B417" t="s">
        <v>19</v>
      </c>
      <c r="C417" t="s">
        <v>12</v>
      </c>
      <c r="D417" t="s">
        <v>16</v>
      </c>
      <c r="E417">
        <v>0</v>
      </c>
      <c r="F417">
        <v>0.75</v>
      </c>
      <c r="G417">
        <v>0.32071399688720698</v>
      </c>
      <c r="H417">
        <v>0</v>
      </c>
      <c r="I417">
        <v>0</v>
      </c>
      <c r="J417">
        <v>30</v>
      </c>
    </row>
    <row r="418" spans="1:10" x14ac:dyDescent="0.25">
      <c r="A418" t="s">
        <v>10</v>
      </c>
      <c r="B418" t="s">
        <v>19</v>
      </c>
      <c r="C418" t="s">
        <v>12</v>
      </c>
      <c r="D418" t="s">
        <v>16</v>
      </c>
      <c r="E418">
        <v>0</v>
      </c>
      <c r="F418">
        <v>0.75</v>
      </c>
      <c r="G418">
        <v>0.35934829711914001</v>
      </c>
      <c r="H418">
        <v>0</v>
      </c>
      <c r="I418">
        <v>0</v>
      </c>
      <c r="J418">
        <v>30</v>
      </c>
    </row>
    <row r="419" spans="1:10" x14ac:dyDescent="0.25">
      <c r="A419" t="s">
        <v>10</v>
      </c>
      <c r="B419" t="s">
        <v>19</v>
      </c>
      <c r="C419" t="s">
        <v>12</v>
      </c>
      <c r="D419" t="s">
        <v>16</v>
      </c>
      <c r="E419">
        <v>0</v>
      </c>
      <c r="F419">
        <v>0.75</v>
      </c>
      <c r="G419">
        <v>0.35934829711914001</v>
      </c>
      <c r="H419">
        <v>0</v>
      </c>
      <c r="I419">
        <v>0</v>
      </c>
      <c r="J419">
        <v>30</v>
      </c>
    </row>
    <row r="420" spans="1:10" x14ac:dyDescent="0.25">
      <c r="A420" t="s">
        <v>10</v>
      </c>
      <c r="B420" t="s">
        <v>19</v>
      </c>
      <c r="C420" t="s">
        <v>12</v>
      </c>
      <c r="D420" t="s">
        <v>16</v>
      </c>
      <c r="E420">
        <v>0</v>
      </c>
      <c r="F420">
        <v>0.75</v>
      </c>
      <c r="G420">
        <v>0.35934829711914001</v>
      </c>
      <c r="H420">
        <v>0</v>
      </c>
      <c r="I420">
        <v>0</v>
      </c>
      <c r="J420">
        <v>30</v>
      </c>
    </row>
    <row r="421" spans="1:10" x14ac:dyDescent="0.25">
      <c r="A421" t="s">
        <v>10</v>
      </c>
      <c r="B421" t="s">
        <v>19</v>
      </c>
      <c r="C421" t="s">
        <v>12</v>
      </c>
      <c r="D421" t="s">
        <v>16</v>
      </c>
      <c r="E421">
        <v>0</v>
      </c>
      <c r="F421">
        <v>0.75</v>
      </c>
      <c r="G421">
        <v>0.343551635742187</v>
      </c>
      <c r="H421">
        <v>0</v>
      </c>
      <c r="I421">
        <v>0</v>
      </c>
      <c r="J421">
        <v>30</v>
      </c>
    </row>
    <row r="422" spans="1:10" x14ac:dyDescent="0.25">
      <c r="A422" t="s">
        <v>10</v>
      </c>
      <c r="B422" t="s">
        <v>19</v>
      </c>
      <c r="C422" t="s">
        <v>12</v>
      </c>
      <c r="D422" t="s">
        <v>17</v>
      </c>
      <c r="E422">
        <v>0.52777777777777701</v>
      </c>
      <c r="F422">
        <v>0.77060520961666601</v>
      </c>
      <c r="G422">
        <v>16.9306106567382</v>
      </c>
      <c r="H422">
        <v>40</v>
      </c>
      <c r="I422">
        <v>38</v>
      </c>
      <c r="J422">
        <v>30</v>
      </c>
    </row>
    <row r="423" spans="1:10" x14ac:dyDescent="0.25">
      <c r="A423" t="s">
        <v>10</v>
      </c>
      <c r="B423" t="s">
        <v>19</v>
      </c>
      <c r="C423" t="s">
        <v>12</v>
      </c>
      <c r="D423" t="s">
        <v>17</v>
      </c>
      <c r="E423">
        <v>0.55555555555555503</v>
      </c>
      <c r="F423">
        <v>0.76021597536944396</v>
      </c>
      <c r="G423">
        <v>18.593696355819699</v>
      </c>
      <c r="H423">
        <v>49</v>
      </c>
      <c r="I423">
        <v>48</v>
      </c>
      <c r="J423">
        <v>30</v>
      </c>
    </row>
    <row r="424" spans="1:10" x14ac:dyDescent="0.25">
      <c r="A424" t="s">
        <v>10</v>
      </c>
      <c r="B424" t="s">
        <v>19</v>
      </c>
      <c r="C424" t="s">
        <v>12</v>
      </c>
      <c r="D424" t="s">
        <v>17</v>
      </c>
      <c r="E424">
        <v>0.63888888888888795</v>
      </c>
      <c r="F424">
        <v>0.79009517818055497</v>
      </c>
      <c r="G424">
        <v>18.875933408737101</v>
      </c>
      <c r="H424">
        <v>56</v>
      </c>
      <c r="I424">
        <v>58</v>
      </c>
      <c r="J424">
        <v>30</v>
      </c>
    </row>
    <row r="425" spans="1:10" x14ac:dyDescent="0.25">
      <c r="A425" t="s">
        <v>10</v>
      </c>
      <c r="B425" t="s">
        <v>19</v>
      </c>
      <c r="C425" t="s">
        <v>12</v>
      </c>
      <c r="D425" t="s">
        <v>17</v>
      </c>
      <c r="E425">
        <v>0.61111111111111105</v>
      </c>
      <c r="F425">
        <v>0.78076421329722201</v>
      </c>
      <c r="G425">
        <v>19.119547128677301</v>
      </c>
      <c r="H425">
        <v>57</v>
      </c>
      <c r="I425">
        <v>56</v>
      </c>
      <c r="J425">
        <v>30</v>
      </c>
    </row>
    <row r="426" spans="1:10" x14ac:dyDescent="0.25">
      <c r="A426" t="s">
        <v>10</v>
      </c>
      <c r="B426" t="s">
        <v>19</v>
      </c>
      <c r="C426" t="s">
        <v>12</v>
      </c>
      <c r="D426" t="s">
        <v>17</v>
      </c>
      <c r="E426">
        <v>0.63888888888888795</v>
      </c>
      <c r="F426">
        <v>0.77023375561388796</v>
      </c>
      <c r="G426">
        <v>19.520159482955901</v>
      </c>
      <c r="H426">
        <v>54</v>
      </c>
      <c r="I426">
        <v>53</v>
      </c>
      <c r="J426">
        <v>30</v>
      </c>
    </row>
    <row r="427" spans="1:10" x14ac:dyDescent="0.25">
      <c r="A427" t="s">
        <v>10</v>
      </c>
      <c r="B427" t="s">
        <v>19</v>
      </c>
      <c r="C427" t="s">
        <v>12</v>
      </c>
      <c r="D427" t="s">
        <v>17</v>
      </c>
      <c r="E427">
        <v>0.61111111111111105</v>
      </c>
      <c r="F427">
        <v>0.78068224642777695</v>
      </c>
      <c r="G427">
        <v>19.988269329070999</v>
      </c>
      <c r="H427">
        <v>60</v>
      </c>
      <c r="I427">
        <v>58</v>
      </c>
      <c r="J427">
        <v>30</v>
      </c>
    </row>
    <row r="428" spans="1:10" x14ac:dyDescent="0.25">
      <c r="A428" t="s">
        <v>10</v>
      </c>
      <c r="B428" t="s">
        <v>19</v>
      </c>
      <c r="C428" t="s">
        <v>12</v>
      </c>
      <c r="D428" t="s">
        <v>17</v>
      </c>
      <c r="E428">
        <v>0.66666666666666596</v>
      </c>
      <c r="F428">
        <v>0.78589556256944404</v>
      </c>
      <c r="G428">
        <v>20.4065387248992</v>
      </c>
      <c r="H428">
        <v>54</v>
      </c>
      <c r="I428">
        <v>57</v>
      </c>
      <c r="J428">
        <v>30</v>
      </c>
    </row>
    <row r="429" spans="1:10" x14ac:dyDescent="0.25">
      <c r="A429" t="s">
        <v>10</v>
      </c>
      <c r="B429" t="s">
        <v>19</v>
      </c>
      <c r="C429" t="s">
        <v>12</v>
      </c>
      <c r="D429" t="s">
        <v>17</v>
      </c>
      <c r="E429">
        <v>0.55555555555555503</v>
      </c>
      <c r="F429">
        <v>0.77726041055555495</v>
      </c>
      <c r="G429">
        <v>20.550637722015299</v>
      </c>
      <c r="H429">
        <v>35</v>
      </c>
      <c r="I429">
        <v>35</v>
      </c>
      <c r="J429">
        <v>30</v>
      </c>
    </row>
    <row r="430" spans="1:10" x14ac:dyDescent="0.25">
      <c r="A430" t="s">
        <v>10</v>
      </c>
      <c r="B430" t="s">
        <v>19</v>
      </c>
      <c r="C430" t="s">
        <v>12</v>
      </c>
      <c r="D430" t="s">
        <v>17</v>
      </c>
      <c r="E430">
        <v>0.55555555555555503</v>
      </c>
      <c r="F430">
        <v>0.77573563430833303</v>
      </c>
      <c r="G430">
        <v>20.5640368461608</v>
      </c>
      <c r="H430">
        <v>39</v>
      </c>
      <c r="I430">
        <v>39</v>
      </c>
      <c r="J430">
        <v>30</v>
      </c>
    </row>
    <row r="431" spans="1:10" x14ac:dyDescent="0.25">
      <c r="A431" t="s">
        <v>10</v>
      </c>
      <c r="B431" t="s">
        <v>19</v>
      </c>
      <c r="C431" t="s">
        <v>12</v>
      </c>
      <c r="D431" t="s">
        <v>17</v>
      </c>
      <c r="E431">
        <v>0.5</v>
      </c>
      <c r="F431">
        <v>0.75297538424166599</v>
      </c>
      <c r="G431">
        <v>21.0131306648254</v>
      </c>
      <c r="H431">
        <v>54</v>
      </c>
      <c r="I431">
        <v>51</v>
      </c>
      <c r="J431">
        <v>30</v>
      </c>
    </row>
    <row r="432" spans="1:10" x14ac:dyDescent="0.25">
      <c r="A432" t="s">
        <v>10</v>
      </c>
      <c r="B432" t="s">
        <v>19</v>
      </c>
      <c r="C432" t="s">
        <v>12</v>
      </c>
      <c r="D432" t="s">
        <v>17</v>
      </c>
      <c r="E432">
        <v>0.41666666666666602</v>
      </c>
      <c r="F432">
        <v>0.74098623641944406</v>
      </c>
      <c r="G432">
        <v>21.124815464019701</v>
      </c>
      <c r="H432">
        <v>51</v>
      </c>
      <c r="I432">
        <v>53</v>
      </c>
      <c r="J432">
        <v>30</v>
      </c>
    </row>
    <row r="433" spans="1:10" x14ac:dyDescent="0.25">
      <c r="A433" t="s">
        <v>10</v>
      </c>
      <c r="B433" t="s">
        <v>19</v>
      </c>
      <c r="C433" t="s">
        <v>12</v>
      </c>
      <c r="D433" t="s">
        <v>17</v>
      </c>
      <c r="E433">
        <v>0.69444444444444398</v>
      </c>
      <c r="F433">
        <v>0.79130618981944401</v>
      </c>
      <c r="G433">
        <v>21.159548044204701</v>
      </c>
      <c r="H433">
        <v>52</v>
      </c>
      <c r="I433">
        <v>53</v>
      </c>
      <c r="J433">
        <v>30</v>
      </c>
    </row>
    <row r="434" spans="1:10" x14ac:dyDescent="0.25">
      <c r="A434" t="s">
        <v>10</v>
      </c>
      <c r="B434" t="s">
        <v>19</v>
      </c>
      <c r="C434" t="s">
        <v>12</v>
      </c>
      <c r="D434" t="s">
        <v>17</v>
      </c>
      <c r="E434">
        <v>0.69444444444444398</v>
      </c>
      <c r="F434">
        <v>0.77844735895277695</v>
      </c>
      <c r="G434">
        <v>21.2493991851806</v>
      </c>
      <c r="H434">
        <v>62</v>
      </c>
      <c r="I434">
        <v>61</v>
      </c>
      <c r="J434">
        <v>30</v>
      </c>
    </row>
    <row r="435" spans="1:10" x14ac:dyDescent="0.25">
      <c r="A435" t="s">
        <v>10</v>
      </c>
      <c r="B435" t="s">
        <v>19</v>
      </c>
      <c r="C435" t="s">
        <v>12</v>
      </c>
      <c r="D435" t="s">
        <v>17</v>
      </c>
      <c r="E435">
        <v>0.63888888888888795</v>
      </c>
      <c r="F435">
        <v>0.78333300318333299</v>
      </c>
      <c r="G435">
        <v>21.5292162895202</v>
      </c>
      <c r="H435">
        <v>57</v>
      </c>
      <c r="I435">
        <v>56</v>
      </c>
      <c r="J435">
        <v>30</v>
      </c>
    </row>
    <row r="436" spans="1:10" x14ac:dyDescent="0.25">
      <c r="A436" t="s">
        <v>10</v>
      </c>
      <c r="B436" t="s">
        <v>19</v>
      </c>
      <c r="C436" t="s">
        <v>12</v>
      </c>
      <c r="D436" t="s">
        <v>17</v>
      </c>
      <c r="E436">
        <v>0.66666666666666596</v>
      </c>
      <c r="F436">
        <v>0.78091934207777702</v>
      </c>
      <c r="G436">
        <v>21.7242028713226</v>
      </c>
      <c r="H436">
        <v>63</v>
      </c>
      <c r="I436">
        <v>66</v>
      </c>
      <c r="J436">
        <v>30</v>
      </c>
    </row>
    <row r="437" spans="1:10" x14ac:dyDescent="0.25">
      <c r="A437" t="s">
        <v>10</v>
      </c>
      <c r="B437" t="s">
        <v>19</v>
      </c>
      <c r="C437" t="s">
        <v>12</v>
      </c>
      <c r="D437" t="s">
        <v>17</v>
      </c>
      <c r="E437">
        <v>0.63888888888888795</v>
      </c>
      <c r="F437">
        <v>0.78180642468055495</v>
      </c>
      <c r="G437">
        <v>21.735675096511802</v>
      </c>
      <c r="H437">
        <v>49</v>
      </c>
      <c r="I437">
        <v>53</v>
      </c>
      <c r="J437">
        <v>30</v>
      </c>
    </row>
    <row r="438" spans="1:10" x14ac:dyDescent="0.25">
      <c r="A438" t="s">
        <v>10</v>
      </c>
      <c r="B438" t="s">
        <v>19</v>
      </c>
      <c r="C438" t="s">
        <v>12</v>
      </c>
      <c r="D438" t="s">
        <v>17</v>
      </c>
      <c r="E438">
        <v>0.55555555555555503</v>
      </c>
      <c r="F438">
        <v>0.75216513083888803</v>
      </c>
      <c r="G438">
        <v>21.745707035064601</v>
      </c>
      <c r="H438">
        <v>56</v>
      </c>
      <c r="I438">
        <v>61</v>
      </c>
      <c r="J438">
        <v>30</v>
      </c>
    </row>
    <row r="439" spans="1:10" x14ac:dyDescent="0.25">
      <c r="A439" t="s">
        <v>10</v>
      </c>
      <c r="B439" t="s">
        <v>19</v>
      </c>
      <c r="C439" t="s">
        <v>12</v>
      </c>
      <c r="D439" t="s">
        <v>17</v>
      </c>
      <c r="E439">
        <v>0.61111111111111105</v>
      </c>
      <c r="F439">
        <v>0.77402722094166598</v>
      </c>
      <c r="G439">
        <v>21.906957149505601</v>
      </c>
      <c r="H439">
        <v>56</v>
      </c>
      <c r="I439">
        <v>51</v>
      </c>
      <c r="J439">
        <v>30</v>
      </c>
    </row>
    <row r="440" spans="1:10" x14ac:dyDescent="0.25">
      <c r="A440" t="s">
        <v>10</v>
      </c>
      <c r="B440" t="s">
        <v>19</v>
      </c>
      <c r="C440" t="s">
        <v>12</v>
      </c>
      <c r="D440" t="s">
        <v>17</v>
      </c>
      <c r="E440">
        <v>0.52777777777777701</v>
      </c>
      <c r="F440">
        <v>0.747706782461111</v>
      </c>
      <c r="G440">
        <v>21.9065551757812</v>
      </c>
      <c r="H440">
        <v>53</v>
      </c>
      <c r="I440">
        <v>58</v>
      </c>
      <c r="J440">
        <v>30</v>
      </c>
    </row>
    <row r="441" spans="1:10" x14ac:dyDescent="0.25">
      <c r="A441" t="s">
        <v>10</v>
      </c>
      <c r="B441" t="s">
        <v>19</v>
      </c>
      <c r="C441" t="s">
        <v>12</v>
      </c>
      <c r="D441" t="s">
        <v>17</v>
      </c>
      <c r="E441">
        <v>0.58333333333333304</v>
      </c>
      <c r="F441">
        <v>0.76494270380555496</v>
      </c>
      <c r="G441">
        <v>21.9197244644165</v>
      </c>
      <c r="H441">
        <v>59</v>
      </c>
      <c r="I441">
        <v>54</v>
      </c>
      <c r="J441">
        <v>30</v>
      </c>
    </row>
    <row r="442" spans="1:10" x14ac:dyDescent="0.25">
      <c r="A442" t="s">
        <v>10</v>
      </c>
      <c r="B442" t="s">
        <v>19</v>
      </c>
      <c r="C442" t="s">
        <v>12</v>
      </c>
      <c r="D442" t="s">
        <v>17</v>
      </c>
      <c r="E442">
        <v>0.52777777777777701</v>
      </c>
      <c r="F442">
        <v>0.76034253273333297</v>
      </c>
      <c r="G442">
        <v>21.9256463050842</v>
      </c>
      <c r="H442">
        <v>64</v>
      </c>
      <c r="I442">
        <v>71</v>
      </c>
      <c r="J442">
        <v>30</v>
      </c>
    </row>
    <row r="443" spans="1:10" x14ac:dyDescent="0.25">
      <c r="A443" t="s">
        <v>10</v>
      </c>
      <c r="B443" t="s">
        <v>19</v>
      </c>
      <c r="C443" t="s">
        <v>12</v>
      </c>
      <c r="D443" t="s">
        <v>17</v>
      </c>
      <c r="E443">
        <v>0.75</v>
      </c>
      <c r="F443">
        <v>0.790179783983333</v>
      </c>
      <c r="G443">
        <v>21.990935087203901</v>
      </c>
      <c r="H443">
        <v>57</v>
      </c>
      <c r="I443">
        <v>59</v>
      </c>
      <c r="J443">
        <v>30</v>
      </c>
    </row>
    <row r="444" spans="1:10" x14ac:dyDescent="0.25">
      <c r="A444" t="s">
        <v>10</v>
      </c>
      <c r="B444" t="s">
        <v>19</v>
      </c>
      <c r="C444" t="s">
        <v>12</v>
      </c>
      <c r="D444" t="s">
        <v>17</v>
      </c>
      <c r="E444">
        <v>0.66666666666666596</v>
      </c>
      <c r="F444">
        <v>0.77961819003055499</v>
      </c>
      <c r="G444">
        <v>22.116082906723001</v>
      </c>
      <c r="H444">
        <v>57</v>
      </c>
      <c r="I444">
        <v>52</v>
      </c>
      <c r="J444">
        <v>30</v>
      </c>
    </row>
    <row r="445" spans="1:10" x14ac:dyDescent="0.25">
      <c r="A445" t="s">
        <v>10</v>
      </c>
      <c r="B445" t="s">
        <v>19</v>
      </c>
      <c r="C445" t="s">
        <v>12</v>
      </c>
      <c r="D445" t="s">
        <v>17</v>
      </c>
      <c r="E445">
        <v>0.61111111111111105</v>
      </c>
      <c r="F445">
        <v>0.774066104322222</v>
      </c>
      <c r="G445">
        <v>22.1775608062744</v>
      </c>
      <c r="H445">
        <v>53</v>
      </c>
      <c r="I445">
        <v>57</v>
      </c>
      <c r="J445">
        <v>30</v>
      </c>
    </row>
    <row r="446" spans="1:10" x14ac:dyDescent="0.25">
      <c r="A446" t="s">
        <v>10</v>
      </c>
      <c r="B446" t="s">
        <v>19</v>
      </c>
      <c r="C446" t="s">
        <v>12</v>
      </c>
      <c r="D446" t="s">
        <v>17</v>
      </c>
      <c r="E446">
        <v>0.69444444444444398</v>
      </c>
      <c r="F446">
        <v>0.77951864874444399</v>
      </c>
      <c r="G446">
        <v>22.173481941223098</v>
      </c>
      <c r="H446">
        <v>57</v>
      </c>
      <c r="I446">
        <v>59</v>
      </c>
      <c r="J446">
        <v>30</v>
      </c>
    </row>
    <row r="447" spans="1:10" x14ac:dyDescent="0.25">
      <c r="A447" t="s">
        <v>10</v>
      </c>
      <c r="B447" t="s">
        <v>19</v>
      </c>
      <c r="C447" t="s">
        <v>12</v>
      </c>
      <c r="D447" t="s">
        <v>17</v>
      </c>
      <c r="E447">
        <v>0.61111111111111105</v>
      </c>
      <c r="F447">
        <v>0.76956434468611101</v>
      </c>
      <c r="G447">
        <v>22.224860906600899</v>
      </c>
      <c r="H447">
        <v>66</v>
      </c>
      <c r="I447">
        <v>63</v>
      </c>
      <c r="J447">
        <v>30</v>
      </c>
    </row>
    <row r="448" spans="1:10" x14ac:dyDescent="0.25">
      <c r="A448" t="s">
        <v>10</v>
      </c>
      <c r="B448" t="s">
        <v>19</v>
      </c>
      <c r="C448" t="s">
        <v>12</v>
      </c>
      <c r="D448" t="s">
        <v>17</v>
      </c>
      <c r="E448">
        <v>0.72222222222222199</v>
      </c>
      <c r="F448">
        <v>0.77862663803333299</v>
      </c>
      <c r="G448">
        <v>22.4605665206909</v>
      </c>
      <c r="H448">
        <v>55</v>
      </c>
      <c r="I448">
        <v>53</v>
      </c>
      <c r="J448">
        <v>30</v>
      </c>
    </row>
    <row r="449" spans="1:10" x14ac:dyDescent="0.25">
      <c r="A449" t="s">
        <v>10</v>
      </c>
      <c r="B449" t="s">
        <v>19</v>
      </c>
      <c r="C449" t="s">
        <v>12</v>
      </c>
      <c r="D449" t="s">
        <v>17</v>
      </c>
      <c r="E449">
        <v>0.69444444444444398</v>
      </c>
      <c r="F449">
        <v>0.78800554356944397</v>
      </c>
      <c r="G449">
        <v>22.466134786605799</v>
      </c>
      <c r="H449">
        <v>57</v>
      </c>
      <c r="I449">
        <v>57</v>
      </c>
      <c r="J449">
        <v>30</v>
      </c>
    </row>
    <row r="450" spans="1:10" x14ac:dyDescent="0.25">
      <c r="A450" t="s">
        <v>10</v>
      </c>
      <c r="B450" t="s">
        <v>19</v>
      </c>
      <c r="C450" t="s">
        <v>12</v>
      </c>
      <c r="D450" t="s">
        <v>17</v>
      </c>
      <c r="E450">
        <v>0.61111111111111105</v>
      </c>
      <c r="F450">
        <v>0.76936975863611101</v>
      </c>
      <c r="G450">
        <v>22.4970059394836</v>
      </c>
      <c r="H450">
        <v>59</v>
      </c>
      <c r="I450">
        <v>55</v>
      </c>
      <c r="J450">
        <v>30</v>
      </c>
    </row>
    <row r="451" spans="1:10" x14ac:dyDescent="0.25">
      <c r="A451" t="s">
        <v>10</v>
      </c>
      <c r="B451" t="s">
        <v>19</v>
      </c>
      <c r="C451" t="s">
        <v>12</v>
      </c>
      <c r="D451" t="s">
        <v>17</v>
      </c>
      <c r="E451">
        <v>0.61111111111111105</v>
      </c>
      <c r="F451">
        <v>0.766369115791666</v>
      </c>
      <c r="G451">
        <v>22.534864664077698</v>
      </c>
      <c r="H451">
        <v>59</v>
      </c>
      <c r="I451">
        <v>59</v>
      </c>
      <c r="J451">
        <v>30</v>
      </c>
    </row>
    <row r="452" spans="1:10" x14ac:dyDescent="0.25">
      <c r="A452" t="s">
        <v>10</v>
      </c>
      <c r="B452" t="s">
        <v>19</v>
      </c>
      <c r="C452" t="s">
        <v>18</v>
      </c>
      <c r="D452" t="s">
        <v>13</v>
      </c>
      <c r="E452">
        <v>0.94444444444444398</v>
      </c>
      <c r="F452">
        <v>0.95460911242777702</v>
      </c>
      <c r="G452">
        <v>0.87605118751525801</v>
      </c>
      <c r="H452">
        <v>8</v>
      </c>
      <c r="I452">
        <v>8</v>
      </c>
      <c r="J452">
        <v>30</v>
      </c>
    </row>
    <row r="453" spans="1:10" x14ac:dyDescent="0.25">
      <c r="A453" t="s">
        <v>10</v>
      </c>
      <c r="B453" t="s">
        <v>19</v>
      </c>
      <c r="C453" t="s">
        <v>18</v>
      </c>
      <c r="D453" t="s">
        <v>13</v>
      </c>
      <c r="E453">
        <v>0.94444444444444398</v>
      </c>
      <c r="F453">
        <v>0.96103174192777696</v>
      </c>
      <c r="G453">
        <v>1.2626588344573899</v>
      </c>
      <c r="H453">
        <v>6</v>
      </c>
      <c r="I453">
        <v>6</v>
      </c>
      <c r="J453">
        <v>30</v>
      </c>
    </row>
    <row r="454" spans="1:10" x14ac:dyDescent="0.25">
      <c r="A454" t="s">
        <v>10</v>
      </c>
      <c r="B454" t="s">
        <v>19</v>
      </c>
      <c r="C454" t="s">
        <v>18</v>
      </c>
      <c r="D454" t="s">
        <v>13</v>
      </c>
      <c r="E454">
        <v>0.88888888888888795</v>
      </c>
      <c r="F454">
        <v>0.89657465624999999</v>
      </c>
      <c r="G454">
        <v>1.4141831398010201</v>
      </c>
      <c r="H454">
        <v>9</v>
      </c>
      <c r="I454">
        <v>9</v>
      </c>
      <c r="J454">
        <v>30</v>
      </c>
    </row>
    <row r="455" spans="1:10" x14ac:dyDescent="0.25">
      <c r="A455" t="s">
        <v>10</v>
      </c>
      <c r="B455" t="s">
        <v>19</v>
      </c>
      <c r="C455" t="s">
        <v>18</v>
      </c>
      <c r="D455" t="s">
        <v>13</v>
      </c>
      <c r="E455">
        <v>0.83333333333333304</v>
      </c>
      <c r="F455">
        <v>0.85273893183888805</v>
      </c>
      <c r="G455">
        <v>1.4333586692810001</v>
      </c>
      <c r="H455">
        <v>7</v>
      </c>
      <c r="I455">
        <v>7</v>
      </c>
      <c r="J455">
        <v>30</v>
      </c>
    </row>
    <row r="456" spans="1:10" x14ac:dyDescent="0.25">
      <c r="A456" t="s">
        <v>10</v>
      </c>
      <c r="B456" t="s">
        <v>19</v>
      </c>
      <c r="C456" t="s">
        <v>18</v>
      </c>
      <c r="D456" t="s">
        <v>13</v>
      </c>
      <c r="E456">
        <v>0.97222222222222199</v>
      </c>
      <c r="F456">
        <v>0.96079839923888799</v>
      </c>
      <c r="G456">
        <v>1.43636155128479</v>
      </c>
      <c r="H456">
        <v>8</v>
      </c>
      <c r="I456">
        <v>8</v>
      </c>
      <c r="J456">
        <v>30</v>
      </c>
    </row>
    <row r="457" spans="1:10" x14ac:dyDescent="0.25">
      <c r="A457" t="s">
        <v>10</v>
      </c>
      <c r="B457" t="s">
        <v>19</v>
      </c>
      <c r="C457" t="s">
        <v>18</v>
      </c>
      <c r="D457" t="s">
        <v>13</v>
      </c>
      <c r="E457">
        <v>0.88888888888888795</v>
      </c>
      <c r="F457">
        <v>0.90726004192499998</v>
      </c>
      <c r="G457">
        <v>1.6163420677185001</v>
      </c>
      <c r="H457">
        <v>10</v>
      </c>
      <c r="I457">
        <v>10</v>
      </c>
      <c r="J457">
        <v>30</v>
      </c>
    </row>
    <row r="458" spans="1:10" x14ac:dyDescent="0.25">
      <c r="A458" t="s">
        <v>10</v>
      </c>
      <c r="B458" t="s">
        <v>19</v>
      </c>
      <c r="C458" t="s">
        <v>18</v>
      </c>
      <c r="D458" t="s">
        <v>13</v>
      </c>
      <c r="E458">
        <v>0.88888888888888795</v>
      </c>
      <c r="F458">
        <v>0.93411476897222201</v>
      </c>
      <c r="G458">
        <v>1.6570417881011901</v>
      </c>
      <c r="H458">
        <v>9</v>
      </c>
      <c r="I458">
        <v>9</v>
      </c>
      <c r="J458">
        <v>30</v>
      </c>
    </row>
    <row r="459" spans="1:10" x14ac:dyDescent="0.25">
      <c r="A459" t="s">
        <v>10</v>
      </c>
      <c r="B459" t="s">
        <v>19</v>
      </c>
      <c r="C459" t="s">
        <v>18</v>
      </c>
      <c r="D459" t="s">
        <v>13</v>
      </c>
      <c r="E459">
        <v>1</v>
      </c>
      <c r="F459">
        <v>0.98748752244166604</v>
      </c>
      <c r="G459">
        <v>1.6693656444549501</v>
      </c>
      <c r="H459">
        <v>8</v>
      </c>
      <c r="I459">
        <v>8</v>
      </c>
      <c r="J459">
        <v>30</v>
      </c>
    </row>
    <row r="460" spans="1:10" x14ac:dyDescent="0.25">
      <c r="A460" t="s">
        <v>10</v>
      </c>
      <c r="B460" t="s">
        <v>19</v>
      </c>
      <c r="C460" t="s">
        <v>18</v>
      </c>
      <c r="D460" t="s">
        <v>13</v>
      </c>
      <c r="E460">
        <v>0.88888888888888795</v>
      </c>
      <c r="F460">
        <v>0.91821918337222197</v>
      </c>
      <c r="G460">
        <v>1.7136647701263401</v>
      </c>
      <c r="H460">
        <v>9</v>
      </c>
      <c r="I460">
        <v>9</v>
      </c>
      <c r="J460">
        <v>30</v>
      </c>
    </row>
    <row r="461" spans="1:10" x14ac:dyDescent="0.25">
      <c r="A461" t="s">
        <v>10</v>
      </c>
      <c r="B461" t="s">
        <v>19</v>
      </c>
      <c r="C461" t="s">
        <v>18</v>
      </c>
      <c r="D461" t="s">
        <v>13</v>
      </c>
      <c r="E461">
        <v>0.97222222222222199</v>
      </c>
      <c r="F461">
        <v>0.98202663015277702</v>
      </c>
      <c r="G461">
        <v>1.76259493827819</v>
      </c>
      <c r="H461">
        <v>8</v>
      </c>
      <c r="I461">
        <v>8</v>
      </c>
      <c r="J461">
        <v>30</v>
      </c>
    </row>
    <row r="462" spans="1:10" x14ac:dyDescent="0.25">
      <c r="A462" t="s">
        <v>10</v>
      </c>
      <c r="B462" t="s">
        <v>19</v>
      </c>
      <c r="C462" t="s">
        <v>18</v>
      </c>
      <c r="D462" t="s">
        <v>13</v>
      </c>
      <c r="E462">
        <v>0.94444444444444398</v>
      </c>
      <c r="F462">
        <v>0.96167180317777701</v>
      </c>
      <c r="G462">
        <v>1.7823965549468901</v>
      </c>
      <c r="H462">
        <v>9</v>
      </c>
      <c r="I462">
        <v>9</v>
      </c>
      <c r="J462">
        <v>30</v>
      </c>
    </row>
    <row r="463" spans="1:10" x14ac:dyDescent="0.25">
      <c r="A463" t="s">
        <v>10</v>
      </c>
      <c r="B463" t="s">
        <v>19</v>
      </c>
      <c r="C463" t="s">
        <v>18</v>
      </c>
      <c r="D463" t="s">
        <v>13</v>
      </c>
      <c r="E463">
        <v>0.83333333333333304</v>
      </c>
      <c r="F463">
        <v>0.84945544542499896</v>
      </c>
      <c r="G463">
        <v>1.7969374656677199</v>
      </c>
      <c r="H463">
        <v>6</v>
      </c>
      <c r="I463">
        <v>6</v>
      </c>
      <c r="J463">
        <v>30</v>
      </c>
    </row>
    <row r="464" spans="1:10" x14ac:dyDescent="0.25">
      <c r="A464" t="s">
        <v>10</v>
      </c>
      <c r="B464" t="s">
        <v>19</v>
      </c>
      <c r="C464" t="s">
        <v>18</v>
      </c>
      <c r="D464" t="s">
        <v>13</v>
      </c>
      <c r="E464">
        <v>0.86111111111111105</v>
      </c>
      <c r="F464">
        <v>0.86974288854166604</v>
      </c>
      <c r="G464">
        <v>1.8646380901336601</v>
      </c>
      <c r="H464">
        <v>7</v>
      </c>
      <c r="I464">
        <v>7</v>
      </c>
      <c r="J464">
        <v>30</v>
      </c>
    </row>
    <row r="465" spans="1:10" x14ac:dyDescent="0.25">
      <c r="A465" t="s">
        <v>10</v>
      </c>
      <c r="B465" t="s">
        <v>19</v>
      </c>
      <c r="C465" t="s">
        <v>18</v>
      </c>
      <c r="D465" t="s">
        <v>13</v>
      </c>
      <c r="E465">
        <v>0.94444444444444398</v>
      </c>
      <c r="F465">
        <v>0.97598141360000001</v>
      </c>
      <c r="G465">
        <v>1.87560057640075</v>
      </c>
      <c r="H465">
        <v>9</v>
      </c>
      <c r="I465">
        <v>9</v>
      </c>
      <c r="J465">
        <v>30</v>
      </c>
    </row>
    <row r="466" spans="1:10" x14ac:dyDescent="0.25">
      <c r="A466" t="s">
        <v>10</v>
      </c>
      <c r="B466" t="s">
        <v>19</v>
      </c>
      <c r="C466" t="s">
        <v>18</v>
      </c>
      <c r="D466" t="s">
        <v>13</v>
      </c>
      <c r="E466">
        <v>0.86111111111111105</v>
      </c>
      <c r="F466">
        <v>0.87845983034444397</v>
      </c>
      <c r="G466">
        <v>1.8646380901336601</v>
      </c>
      <c r="H466">
        <v>7</v>
      </c>
      <c r="I466">
        <v>7</v>
      </c>
      <c r="J466">
        <v>30</v>
      </c>
    </row>
    <row r="467" spans="1:10" x14ac:dyDescent="0.25">
      <c r="A467" t="s">
        <v>10</v>
      </c>
      <c r="B467" t="s">
        <v>19</v>
      </c>
      <c r="C467" t="s">
        <v>18</v>
      </c>
      <c r="D467" t="s">
        <v>13</v>
      </c>
      <c r="E467">
        <v>0.83333333333333304</v>
      </c>
      <c r="F467">
        <v>0.84633860048333298</v>
      </c>
      <c r="G467">
        <v>1.9211618900298999</v>
      </c>
      <c r="H467">
        <v>8</v>
      </c>
      <c r="I467">
        <v>8</v>
      </c>
      <c r="J467">
        <v>30</v>
      </c>
    </row>
    <row r="468" spans="1:10" x14ac:dyDescent="0.25">
      <c r="A468" t="s">
        <v>10</v>
      </c>
      <c r="B468" t="s">
        <v>19</v>
      </c>
      <c r="C468" t="s">
        <v>18</v>
      </c>
      <c r="D468" t="s">
        <v>13</v>
      </c>
      <c r="E468">
        <v>0.97222222222222199</v>
      </c>
      <c r="F468">
        <v>0.96914337614722201</v>
      </c>
      <c r="G468">
        <v>1.92316198348999</v>
      </c>
      <c r="H468">
        <v>7</v>
      </c>
      <c r="I468">
        <v>7</v>
      </c>
      <c r="J468">
        <v>30</v>
      </c>
    </row>
    <row r="469" spans="1:10" x14ac:dyDescent="0.25">
      <c r="A469" t="s">
        <v>10</v>
      </c>
      <c r="B469" t="s">
        <v>19</v>
      </c>
      <c r="C469" t="s">
        <v>18</v>
      </c>
      <c r="D469" t="s">
        <v>13</v>
      </c>
      <c r="E469">
        <v>0.91666666666666596</v>
      </c>
      <c r="F469">
        <v>0.91482817490000001</v>
      </c>
      <c r="G469">
        <v>1.8841850757598799</v>
      </c>
      <c r="H469">
        <v>7</v>
      </c>
      <c r="I469">
        <v>7</v>
      </c>
      <c r="J469">
        <v>30</v>
      </c>
    </row>
    <row r="470" spans="1:10" x14ac:dyDescent="0.25">
      <c r="A470" t="s">
        <v>10</v>
      </c>
      <c r="B470" t="s">
        <v>19</v>
      </c>
      <c r="C470" t="s">
        <v>18</v>
      </c>
      <c r="D470" t="s">
        <v>13</v>
      </c>
      <c r="E470">
        <v>0.88888888888888795</v>
      </c>
      <c r="F470">
        <v>0.88240844349999903</v>
      </c>
      <c r="G470">
        <v>1.9367256164550699</v>
      </c>
      <c r="H470">
        <v>7</v>
      </c>
      <c r="I470">
        <v>7</v>
      </c>
      <c r="J470">
        <v>30</v>
      </c>
    </row>
    <row r="471" spans="1:10" x14ac:dyDescent="0.25">
      <c r="A471" t="s">
        <v>10</v>
      </c>
      <c r="B471" t="s">
        <v>19</v>
      </c>
      <c r="C471" t="s">
        <v>18</v>
      </c>
      <c r="D471" t="s">
        <v>13</v>
      </c>
      <c r="E471">
        <v>0.88888888888888795</v>
      </c>
      <c r="F471">
        <v>0.90126134723333295</v>
      </c>
      <c r="G471">
        <v>1.9577739238739</v>
      </c>
      <c r="H471">
        <v>9</v>
      </c>
      <c r="I471">
        <v>9</v>
      </c>
      <c r="J471">
        <v>30</v>
      </c>
    </row>
    <row r="472" spans="1:10" x14ac:dyDescent="0.25">
      <c r="A472" t="s">
        <v>10</v>
      </c>
      <c r="B472" t="s">
        <v>19</v>
      </c>
      <c r="C472" t="s">
        <v>18</v>
      </c>
      <c r="D472" t="s">
        <v>13</v>
      </c>
      <c r="E472">
        <v>0.94444444444444398</v>
      </c>
      <c r="F472">
        <v>0.94731322949722196</v>
      </c>
      <c r="G472">
        <v>1.9673871994018499</v>
      </c>
      <c r="H472">
        <v>6</v>
      </c>
      <c r="I472">
        <v>6</v>
      </c>
      <c r="J472">
        <v>30</v>
      </c>
    </row>
    <row r="473" spans="1:10" x14ac:dyDescent="0.25">
      <c r="A473" t="s">
        <v>10</v>
      </c>
      <c r="B473" t="s">
        <v>19</v>
      </c>
      <c r="C473" t="s">
        <v>18</v>
      </c>
      <c r="D473" t="s">
        <v>13</v>
      </c>
      <c r="E473">
        <v>0.97222222222222199</v>
      </c>
      <c r="F473">
        <v>0.985087970963888</v>
      </c>
      <c r="G473">
        <v>2.0216743946075399</v>
      </c>
      <c r="H473">
        <v>9</v>
      </c>
      <c r="I473">
        <v>9</v>
      </c>
      <c r="J473">
        <v>30</v>
      </c>
    </row>
    <row r="474" spans="1:10" x14ac:dyDescent="0.25">
      <c r="A474" t="s">
        <v>10</v>
      </c>
      <c r="B474" t="s">
        <v>19</v>
      </c>
      <c r="C474" t="s">
        <v>18</v>
      </c>
      <c r="D474" t="s">
        <v>13</v>
      </c>
      <c r="E474">
        <v>0.88888888888888795</v>
      </c>
      <c r="F474">
        <v>0.90094724464166598</v>
      </c>
      <c r="G474">
        <v>2.0494349002838099</v>
      </c>
      <c r="H474">
        <v>8</v>
      </c>
      <c r="I474">
        <v>8</v>
      </c>
      <c r="J474">
        <v>30</v>
      </c>
    </row>
    <row r="475" spans="1:10" x14ac:dyDescent="0.25">
      <c r="A475" t="s">
        <v>10</v>
      </c>
      <c r="B475" t="s">
        <v>19</v>
      </c>
      <c r="C475" t="s">
        <v>18</v>
      </c>
      <c r="D475" t="s">
        <v>13</v>
      </c>
      <c r="E475">
        <v>0.88888888888888795</v>
      </c>
      <c r="F475">
        <v>0.91823983512499996</v>
      </c>
      <c r="G475">
        <v>2.06965899467468</v>
      </c>
      <c r="H475">
        <v>6</v>
      </c>
      <c r="I475">
        <v>6</v>
      </c>
      <c r="J475">
        <v>30</v>
      </c>
    </row>
    <row r="476" spans="1:10" x14ac:dyDescent="0.25">
      <c r="A476" t="s">
        <v>10</v>
      </c>
      <c r="B476" t="s">
        <v>19</v>
      </c>
      <c r="C476" t="s">
        <v>18</v>
      </c>
      <c r="D476" t="s">
        <v>13</v>
      </c>
      <c r="E476">
        <v>0.97222222222222199</v>
      </c>
      <c r="F476">
        <v>0.95912279975833303</v>
      </c>
      <c r="G476">
        <v>2.07996654510498</v>
      </c>
      <c r="H476">
        <v>9</v>
      </c>
      <c r="I476">
        <v>10</v>
      </c>
      <c r="J476">
        <v>30</v>
      </c>
    </row>
    <row r="477" spans="1:10" x14ac:dyDescent="0.25">
      <c r="A477" t="s">
        <v>10</v>
      </c>
      <c r="B477" t="s">
        <v>19</v>
      </c>
      <c r="C477" t="s">
        <v>18</v>
      </c>
      <c r="D477" t="s">
        <v>13</v>
      </c>
      <c r="E477">
        <v>0.80555555555555503</v>
      </c>
      <c r="F477">
        <v>0.84666830555000006</v>
      </c>
      <c r="G477">
        <v>2.12142729759216</v>
      </c>
      <c r="H477">
        <v>11</v>
      </c>
      <c r="I477">
        <v>11</v>
      </c>
      <c r="J477">
        <v>30</v>
      </c>
    </row>
    <row r="478" spans="1:10" x14ac:dyDescent="0.25">
      <c r="A478" t="s">
        <v>10</v>
      </c>
      <c r="B478" t="s">
        <v>19</v>
      </c>
      <c r="C478" t="s">
        <v>18</v>
      </c>
      <c r="D478" t="s">
        <v>13</v>
      </c>
      <c r="E478">
        <v>0.88888888888888795</v>
      </c>
      <c r="F478">
        <v>0.90490540711388801</v>
      </c>
      <c r="G478">
        <v>2.15221095085144</v>
      </c>
      <c r="H478">
        <v>8</v>
      </c>
      <c r="I478">
        <v>8</v>
      </c>
      <c r="J478">
        <v>30</v>
      </c>
    </row>
    <row r="479" spans="1:10" x14ac:dyDescent="0.25">
      <c r="A479" t="s">
        <v>10</v>
      </c>
      <c r="B479" t="s">
        <v>19</v>
      </c>
      <c r="C479" t="s">
        <v>18</v>
      </c>
      <c r="D479" t="s">
        <v>13</v>
      </c>
      <c r="E479">
        <v>1</v>
      </c>
      <c r="F479">
        <v>0.99263271458611102</v>
      </c>
      <c r="G479">
        <v>2.1666591167449898</v>
      </c>
      <c r="H479">
        <v>9</v>
      </c>
      <c r="I479">
        <v>9</v>
      </c>
      <c r="J479">
        <v>30</v>
      </c>
    </row>
    <row r="480" spans="1:10" x14ac:dyDescent="0.25">
      <c r="A480" t="s">
        <v>10</v>
      </c>
      <c r="B480" t="s">
        <v>19</v>
      </c>
      <c r="C480" t="s">
        <v>18</v>
      </c>
      <c r="D480" t="s">
        <v>13</v>
      </c>
      <c r="E480">
        <v>0.86111111111111105</v>
      </c>
      <c r="F480">
        <v>0.87958358294722205</v>
      </c>
      <c r="G480">
        <v>2.1966567039489702</v>
      </c>
      <c r="H480">
        <v>8</v>
      </c>
      <c r="I480">
        <v>9</v>
      </c>
      <c r="J480">
        <v>30</v>
      </c>
    </row>
    <row r="481" spans="1:10" x14ac:dyDescent="0.25">
      <c r="A481" t="s">
        <v>10</v>
      </c>
      <c r="B481" t="s">
        <v>19</v>
      </c>
      <c r="C481" t="s">
        <v>18</v>
      </c>
      <c r="D481" t="s">
        <v>13</v>
      </c>
      <c r="E481">
        <v>0.91666666666666596</v>
      </c>
      <c r="F481">
        <v>0.93380000120833295</v>
      </c>
      <c r="G481">
        <v>2.1968591213226301</v>
      </c>
      <c r="H481">
        <v>7</v>
      </c>
      <c r="I481">
        <v>8</v>
      </c>
      <c r="J481">
        <v>30</v>
      </c>
    </row>
    <row r="482" spans="1:10" x14ac:dyDescent="0.25">
      <c r="A482" t="s">
        <v>10</v>
      </c>
      <c r="B482" t="s">
        <v>19</v>
      </c>
      <c r="C482" t="s">
        <v>18</v>
      </c>
      <c r="D482" t="s">
        <v>14</v>
      </c>
      <c r="E482">
        <v>0.91666666666666596</v>
      </c>
      <c r="F482">
        <v>0.91299716005277698</v>
      </c>
      <c r="G482">
        <v>0.23379087448120101</v>
      </c>
      <c r="H482">
        <v>8</v>
      </c>
      <c r="I482">
        <v>8</v>
      </c>
      <c r="J482">
        <v>30</v>
      </c>
    </row>
    <row r="483" spans="1:10" x14ac:dyDescent="0.25">
      <c r="A483" t="s">
        <v>10</v>
      </c>
      <c r="B483" t="s">
        <v>19</v>
      </c>
      <c r="C483" t="s">
        <v>18</v>
      </c>
      <c r="D483" t="s">
        <v>14</v>
      </c>
      <c r="E483">
        <v>0.91666666666666596</v>
      </c>
      <c r="F483">
        <v>0.91963860467500003</v>
      </c>
      <c r="G483">
        <v>0.29294061660766602</v>
      </c>
      <c r="H483">
        <v>8</v>
      </c>
      <c r="I483">
        <v>8</v>
      </c>
      <c r="J483">
        <v>30</v>
      </c>
    </row>
    <row r="484" spans="1:10" x14ac:dyDescent="0.25">
      <c r="A484" t="s">
        <v>10</v>
      </c>
      <c r="B484" t="s">
        <v>19</v>
      </c>
      <c r="C484" t="s">
        <v>18</v>
      </c>
      <c r="D484" t="s">
        <v>14</v>
      </c>
      <c r="E484">
        <v>0.91666666666666596</v>
      </c>
      <c r="F484">
        <v>0.92077733606388801</v>
      </c>
      <c r="G484">
        <v>0.50281929969787598</v>
      </c>
      <c r="H484">
        <v>7</v>
      </c>
      <c r="I484">
        <v>7</v>
      </c>
      <c r="J484">
        <v>30</v>
      </c>
    </row>
    <row r="485" spans="1:10" x14ac:dyDescent="0.25">
      <c r="A485" t="s">
        <v>10</v>
      </c>
      <c r="B485" t="s">
        <v>19</v>
      </c>
      <c r="C485" t="s">
        <v>18</v>
      </c>
      <c r="D485" t="s">
        <v>14</v>
      </c>
      <c r="E485">
        <v>0.88888888888888795</v>
      </c>
      <c r="F485">
        <v>0.89871795084166595</v>
      </c>
      <c r="G485">
        <v>0.54391646385192804</v>
      </c>
      <c r="H485">
        <v>6</v>
      </c>
      <c r="I485">
        <v>6</v>
      </c>
      <c r="J485">
        <v>30</v>
      </c>
    </row>
    <row r="486" spans="1:10" x14ac:dyDescent="0.25">
      <c r="A486" t="s">
        <v>10</v>
      </c>
      <c r="B486" t="s">
        <v>19</v>
      </c>
      <c r="C486" t="s">
        <v>18</v>
      </c>
      <c r="D486" t="s">
        <v>14</v>
      </c>
      <c r="E486">
        <v>0.91666666666666596</v>
      </c>
      <c r="F486">
        <v>0.90983852003888799</v>
      </c>
      <c r="G486">
        <v>0.616688013076782</v>
      </c>
      <c r="H486">
        <v>7</v>
      </c>
      <c r="I486">
        <v>7</v>
      </c>
      <c r="J486">
        <v>30</v>
      </c>
    </row>
    <row r="487" spans="1:10" x14ac:dyDescent="0.25">
      <c r="A487" t="s">
        <v>10</v>
      </c>
      <c r="B487" t="s">
        <v>19</v>
      </c>
      <c r="C487" t="s">
        <v>18</v>
      </c>
      <c r="D487" t="s">
        <v>14</v>
      </c>
      <c r="E487">
        <v>0.94444444444444398</v>
      </c>
      <c r="F487">
        <v>0.942031335986111</v>
      </c>
      <c r="G487">
        <v>0.70608997344970703</v>
      </c>
      <c r="H487">
        <v>8</v>
      </c>
      <c r="I487">
        <v>8</v>
      </c>
      <c r="J487">
        <v>30</v>
      </c>
    </row>
    <row r="488" spans="1:10" x14ac:dyDescent="0.25">
      <c r="A488" t="s">
        <v>10</v>
      </c>
      <c r="B488" t="s">
        <v>19</v>
      </c>
      <c r="C488" t="s">
        <v>18</v>
      </c>
      <c r="D488" t="s">
        <v>14</v>
      </c>
      <c r="E488">
        <v>0.91666666666666596</v>
      </c>
      <c r="F488">
        <v>0.91188546584999997</v>
      </c>
      <c r="G488">
        <v>0.71803760528564398</v>
      </c>
      <c r="H488">
        <v>8</v>
      </c>
      <c r="I488">
        <v>8</v>
      </c>
      <c r="J488">
        <v>30</v>
      </c>
    </row>
    <row r="489" spans="1:10" x14ac:dyDescent="0.25">
      <c r="A489" t="s">
        <v>10</v>
      </c>
      <c r="B489" t="s">
        <v>19</v>
      </c>
      <c r="C489" t="s">
        <v>18</v>
      </c>
      <c r="D489" t="s">
        <v>14</v>
      </c>
      <c r="E489">
        <v>0.91666666666666596</v>
      </c>
      <c r="F489">
        <v>0.93004249103055503</v>
      </c>
      <c r="G489">
        <v>0.72855305671691895</v>
      </c>
      <c r="H489">
        <v>9</v>
      </c>
      <c r="I489">
        <v>9</v>
      </c>
      <c r="J489">
        <v>30</v>
      </c>
    </row>
    <row r="490" spans="1:10" x14ac:dyDescent="0.25">
      <c r="A490" t="s">
        <v>10</v>
      </c>
      <c r="B490" t="s">
        <v>19</v>
      </c>
      <c r="C490" t="s">
        <v>18</v>
      </c>
      <c r="D490" t="s">
        <v>14</v>
      </c>
      <c r="E490">
        <v>0.86111111111111105</v>
      </c>
      <c r="F490">
        <v>0.87502145325555503</v>
      </c>
      <c r="G490">
        <v>0.72855305671691895</v>
      </c>
      <c r="H490">
        <v>6</v>
      </c>
      <c r="I490">
        <v>6</v>
      </c>
      <c r="J490">
        <v>30</v>
      </c>
    </row>
    <row r="491" spans="1:10" x14ac:dyDescent="0.25">
      <c r="A491" t="s">
        <v>10</v>
      </c>
      <c r="B491" t="s">
        <v>19</v>
      </c>
      <c r="C491" t="s">
        <v>18</v>
      </c>
      <c r="D491" t="s">
        <v>14</v>
      </c>
      <c r="E491">
        <v>0.91666666666666596</v>
      </c>
      <c r="F491">
        <v>0.916060566427777</v>
      </c>
      <c r="G491">
        <v>0.74621343612670898</v>
      </c>
      <c r="H491">
        <v>7</v>
      </c>
      <c r="I491">
        <v>7</v>
      </c>
      <c r="J491">
        <v>30</v>
      </c>
    </row>
    <row r="492" spans="1:10" x14ac:dyDescent="0.25">
      <c r="A492" t="s">
        <v>10</v>
      </c>
      <c r="B492" t="s">
        <v>19</v>
      </c>
      <c r="C492" t="s">
        <v>18</v>
      </c>
      <c r="D492" t="s">
        <v>14</v>
      </c>
      <c r="E492">
        <v>0.69444444444444398</v>
      </c>
      <c r="F492">
        <v>0.78599930330833301</v>
      </c>
      <c r="G492">
        <v>0.72855305671691895</v>
      </c>
      <c r="H492">
        <v>6</v>
      </c>
      <c r="I492">
        <v>6</v>
      </c>
      <c r="J492">
        <v>30</v>
      </c>
    </row>
    <row r="493" spans="1:10" x14ac:dyDescent="0.25">
      <c r="A493" t="s">
        <v>10</v>
      </c>
      <c r="B493" t="s">
        <v>19</v>
      </c>
      <c r="C493" t="s">
        <v>18</v>
      </c>
      <c r="D493" t="s">
        <v>14</v>
      </c>
      <c r="E493">
        <v>0.75</v>
      </c>
      <c r="F493">
        <v>0.83661526316388801</v>
      </c>
      <c r="G493">
        <v>0.77680063247680597</v>
      </c>
      <c r="H493">
        <v>8</v>
      </c>
      <c r="I493">
        <v>8</v>
      </c>
      <c r="J493">
        <v>30</v>
      </c>
    </row>
    <row r="494" spans="1:10" x14ac:dyDescent="0.25">
      <c r="A494" t="s">
        <v>10</v>
      </c>
      <c r="B494" t="s">
        <v>19</v>
      </c>
      <c r="C494" t="s">
        <v>18</v>
      </c>
      <c r="D494" t="s">
        <v>14</v>
      </c>
      <c r="E494">
        <v>0.86111111111111105</v>
      </c>
      <c r="F494">
        <v>0.87853800136666604</v>
      </c>
      <c r="G494">
        <v>0.81093907356262196</v>
      </c>
      <c r="H494">
        <v>7</v>
      </c>
      <c r="I494">
        <v>7</v>
      </c>
      <c r="J494">
        <v>30</v>
      </c>
    </row>
    <row r="495" spans="1:10" x14ac:dyDescent="0.25">
      <c r="A495" t="s">
        <v>10</v>
      </c>
      <c r="B495" t="s">
        <v>19</v>
      </c>
      <c r="C495" t="s">
        <v>18</v>
      </c>
      <c r="D495" t="s">
        <v>14</v>
      </c>
      <c r="E495">
        <v>0.80555555555555503</v>
      </c>
      <c r="F495">
        <v>0.84562316839722196</v>
      </c>
      <c r="G495">
        <v>0.83689951896667403</v>
      </c>
      <c r="H495">
        <v>9</v>
      </c>
      <c r="I495">
        <v>9</v>
      </c>
      <c r="J495">
        <v>30</v>
      </c>
    </row>
    <row r="496" spans="1:10" x14ac:dyDescent="0.25">
      <c r="A496" t="s">
        <v>10</v>
      </c>
      <c r="B496" t="s">
        <v>19</v>
      </c>
      <c r="C496" t="s">
        <v>18</v>
      </c>
      <c r="D496" t="s">
        <v>14</v>
      </c>
      <c r="E496">
        <v>0.94444444444444398</v>
      </c>
      <c r="F496">
        <v>0.94326543605833302</v>
      </c>
      <c r="G496">
        <v>0.83893346786499001</v>
      </c>
      <c r="H496">
        <v>6</v>
      </c>
      <c r="I496">
        <v>6</v>
      </c>
      <c r="J496">
        <v>30</v>
      </c>
    </row>
    <row r="497" spans="1:10" x14ac:dyDescent="0.25">
      <c r="A497" t="s">
        <v>10</v>
      </c>
      <c r="B497" t="s">
        <v>19</v>
      </c>
      <c r="C497" t="s">
        <v>18</v>
      </c>
      <c r="D497" t="s">
        <v>14</v>
      </c>
      <c r="E497">
        <v>0.91666666666666596</v>
      </c>
      <c r="F497">
        <v>0.923714717491666</v>
      </c>
      <c r="G497">
        <v>0.85955572128295898</v>
      </c>
      <c r="H497">
        <v>7</v>
      </c>
      <c r="I497">
        <v>7</v>
      </c>
      <c r="J497">
        <v>30</v>
      </c>
    </row>
    <row r="498" spans="1:10" x14ac:dyDescent="0.25">
      <c r="A498" t="s">
        <v>10</v>
      </c>
      <c r="B498" t="s">
        <v>19</v>
      </c>
      <c r="C498" t="s">
        <v>18</v>
      </c>
      <c r="D498" t="s">
        <v>14</v>
      </c>
      <c r="E498">
        <v>0.88888888888888795</v>
      </c>
      <c r="F498">
        <v>0.91270559285277697</v>
      </c>
      <c r="G498">
        <v>0.86964249610900801</v>
      </c>
      <c r="H498">
        <v>9</v>
      </c>
      <c r="I498">
        <v>9</v>
      </c>
      <c r="J498">
        <v>30</v>
      </c>
    </row>
    <row r="499" spans="1:10" x14ac:dyDescent="0.25">
      <c r="A499" t="s">
        <v>10</v>
      </c>
      <c r="B499" t="s">
        <v>19</v>
      </c>
      <c r="C499" t="s">
        <v>18</v>
      </c>
      <c r="D499" t="s">
        <v>14</v>
      </c>
      <c r="E499">
        <v>0.83333333333333304</v>
      </c>
      <c r="F499">
        <v>0.86860907743333304</v>
      </c>
      <c r="G499">
        <v>0.88295555114746005</v>
      </c>
      <c r="H499">
        <v>7</v>
      </c>
      <c r="I499">
        <v>7</v>
      </c>
      <c r="J499">
        <v>30</v>
      </c>
    </row>
    <row r="500" spans="1:10" x14ac:dyDescent="0.25">
      <c r="A500" t="s">
        <v>10</v>
      </c>
      <c r="B500" t="s">
        <v>19</v>
      </c>
      <c r="C500" t="s">
        <v>18</v>
      </c>
      <c r="D500" t="s">
        <v>14</v>
      </c>
      <c r="E500">
        <v>0.86111111111111105</v>
      </c>
      <c r="F500">
        <v>0.88709151062222202</v>
      </c>
      <c r="G500">
        <v>0.90035295486450195</v>
      </c>
      <c r="H500">
        <v>9</v>
      </c>
      <c r="I500">
        <v>9</v>
      </c>
      <c r="J500">
        <v>30</v>
      </c>
    </row>
    <row r="501" spans="1:10" x14ac:dyDescent="0.25">
      <c r="A501" t="s">
        <v>10</v>
      </c>
      <c r="B501" t="s">
        <v>19</v>
      </c>
      <c r="C501" t="s">
        <v>18</v>
      </c>
      <c r="D501" t="s">
        <v>14</v>
      </c>
      <c r="E501">
        <v>0.97222222222222199</v>
      </c>
      <c r="F501">
        <v>0.95901195881944401</v>
      </c>
      <c r="G501">
        <v>0.88359308242797796</v>
      </c>
      <c r="H501">
        <v>7</v>
      </c>
      <c r="I501">
        <v>7</v>
      </c>
      <c r="J501">
        <v>30</v>
      </c>
    </row>
    <row r="502" spans="1:10" x14ac:dyDescent="0.25">
      <c r="A502" t="s">
        <v>10</v>
      </c>
      <c r="B502" t="s">
        <v>19</v>
      </c>
      <c r="C502" t="s">
        <v>18</v>
      </c>
      <c r="D502" t="s">
        <v>14</v>
      </c>
      <c r="E502">
        <v>0.80555555555555503</v>
      </c>
      <c r="F502">
        <v>0.84836666706666597</v>
      </c>
      <c r="G502">
        <v>0.91748547554016102</v>
      </c>
      <c r="H502">
        <v>8</v>
      </c>
      <c r="I502">
        <v>8</v>
      </c>
      <c r="J502">
        <v>30</v>
      </c>
    </row>
    <row r="503" spans="1:10" x14ac:dyDescent="0.25">
      <c r="A503" t="s">
        <v>10</v>
      </c>
      <c r="B503" t="s">
        <v>19</v>
      </c>
      <c r="C503" t="s">
        <v>18</v>
      </c>
      <c r="D503" t="s">
        <v>14</v>
      </c>
      <c r="E503">
        <v>0.77777777777777701</v>
      </c>
      <c r="F503">
        <v>0.83066478373333297</v>
      </c>
      <c r="G503">
        <v>0.92651581764221103</v>
      </c>
      <c r="H503">
        <v>9</v>
      </c>
      <c r="I503">
        <v>9</v>
      </c>
      <c r="J503">
        <v>30</v>
      </c>
    </row>
    <row r="504" spans="1:10" x14ac:dyDescent="0.25">
      <c r="A504" t="s">
        <v>10</v>
      </c>
      <c r="B504" t="s">
        <v>19</v>
      </c>
      <c r="C504" t="s">
        <v>18</v>
      </c>
      <c r="D504" t="s">
        <v>14</v>
      </c>
      <c r="E504">
        <v>0.94444444444444398</v>
      </c>
      <c r="F504">
        <v>0.93676473102500002</v>
      </c>
      <c r="G504">
        <v>0.93986511230468694</v>
      </c>
      <c r="H504">
        <v>7</v>
      </c>
      <c r="I504">
        <v>7</v>
      </c>
      <c r="J504">
        <v>30</v>
      </c>
    </row>
    <row r="505" spans="1:10" x14ac:dyDescent="0.25">
      <c r="A505" t="s">
        <v>10</v>
      </c>
      <c r="B505" t="s">
        <v>19</v>
      </c>
      <c r="C505" t="s">
        <v>18</v>
      </c>
      <c r="D505" t="s">
        <v>14</v>
      </c>
      <c r="E505">
        <v>0.80555555555555503</v>
      </c>
      <c r="F505">
        <v>0.84872886213611098</v>
      </c>
      <c r="G505">
        <v>0.95210242271423295</v>
      </c>
      <c r="H505">
        <v>8</v>
      </c>
      <c r="I505">
        <v>8</v>
      </c>
      <c r="J505">
        <v>30</v>
      </c>
    </row>
    <row r="506" spans="1:10" x14ac:dyDescent="0.25">
      <c r="A506" t="s">
        <v>10</v>
      </c>
      <c r="B506" t="s">
        <v>19</v>
      </c>
      <c r="C506" t="s">
        <v>18</v>
      </c>
      <c r="D506" t="s">
        <v>14</v>
      </c>
      <c r="E506">
        <v>0.88888888888888795</v>
      </c>
      <c r="F506">
        <v>0.922775405077777</v>
      </c>
      <c r="G506">
        <v>0.93886518478393499</v>
      </c>
      <c r="H506">
        <v>7</v>
      </c>
      <c r="I506">
        <v>7</v>
      </c>
      <c r="J506">
        <v>30</v>
      </c>
    </row>
    <row r="507" spans="1:10" x14ac:dyDescent="0.25">
      <c r="A507" t="s">
        <v>10</v>
      </c>
      <c r="B507" t="s">
        <v>19</v>
      </c>
      <c r="C507" t="s">
        <v>18</v>
      </c>
      <c r="D507" t="s">
        <v>14</v>
      </c>
      <c r="E507">
        <v>0.94444444444444398</v>
      </c>
      <c r="F507">
        <v>0.941051927566666</v>
      </c>
      <c r="G507">
        <v>0.96549201011657704</v>
      </c>
      <c r="H507">
        <v>8</v>
      </c>
      <c r="I507">
        <v>8</v>
      </c>
      <c r="J507">
        <v>30</v>
      </c>
    </row>
    <row r="508" spans="1:10" x14ac:dyDescent="0.25">
      <c r="A508" t="s">
        <v>10</v>
      </c>
      <c r="B508" t="s">
        <v>19</v>
      </c>
      <c r="C508" t="s">
        <v>18</v>
      </c>
      <c r="D508" t="s">
        <v>14</v>
      </c>
      <c r="E508">
        <v>0.77777777777777701</v>
      </c>
      <c r="F508">
        <v>0.87342151713333305</v>
      </c>
      <c r="G508">
        <v>0.98611760139465299</v>
      </c>
      <c r="H508">
        <v>8</v>
      </c>
      <c r="I508">
        <v>8</v>
      </c>
      <c r="J508">
        <v>30</v>
      </c>
    </row>
    <row r="509" spans="1:10" x14ac:dyDescent="0.25">
      <c r="A509" t="s">
        <v>10</v>
      </c>
      <c r="B509" t="s">
        <v>19</v>
      </c>
      <c r="C509" t="s">
        <v>18</v>
      </c>
      <c r="D509" t="s">
        <v>14</v>
      </c>
      <c r="E509">
        <v>0.86111111111111105</v>
      </c>
      <c r="F509">
        <v>0.88482116914722198</v>
      </c>
      <c r="G509">
        <v>0.97599768638610795</v>
      </c>
      <c r="H509">
        <v>9</v>
      </c>
      <c r="I509">
        <v>9</v>
      </c>
      <c r="J509">
        <v>30</v>
      </c>
    </row>
    <row r="510" spans="1:10" x14ac:dyDescent="0.25">
      <c r="A510" t="s">
        <v>10</v>
      </c>
      <c r="B510" t="s">
        <v>19</v>
      </c>
      <c r="C510" t="s">
        <v>18</v>
      </c>
      <c r="D510" t="s">
        <v>14</v>
      </c>
      <c r="E510">
        <v>0.88888888888888795</v>
      </c>
      <c r="F510">
        <v>0.89724142831944398</v>
      </c>
      <c r="G510">
        <v>1.01577496528625</v>
      </c>
      <c r="H510">
        <v>8</v>
      </c>
      <c r="I510">
        <v>8</v>
      </c>
      <c r="J510">
        <v>30</v>
      </c>
    </row>
    <row r="511" spans="1:10" x14ac:dyDescent="0.25">
      <c r="A511" t="s">
        <v>10</v>
      </c>
      <c r="B511" t="s">
        <v>19</v>
      </c>
      <c r="C511" t="s">
        <v>18</v>
      </c>
      <c r="D511" t="s">
        <v>14</v>
      </c>
      <c r="E511">
        <v>0.88888888888888795</v>
      </c>
      <c r="F511">
        <v>0.91074544765277698</v>
      </c>
      <c r="G511">
        <v>1.0093700885772701</v>
      </c>
      <c r="H511">
        <v>10</v>
      </c>
      <c r="I511">
        <v>10</v>
      </c>
      <c r="J511">
        <v>30</v>
      </c>
    </row>
    <row r="512" spans="1:10" x14ac:dyDescent="0.25">
      <c r="A512" t="s">
        <v>10</v>
      </c>
      <c r="B512" t="s">
        <v>19</v>
      </c>
      <c r="C512" t="s">
        <v>18</v>
      </c>
      <c r="D512" t="s">
        <v>15</v>
      </c>
      <c r="E512">
        <v>0</v>
      </c>
      <c r="F512">
        <v>0.75</v>
      </c>
      <c r="G512">
        <v>0.29908013343811002</v>
      </c>
      <c r="H512">
        <v>0</v>
      </c>
      <c r="I512">
        <v>0</v>
      </c>
      <c r="J512">
        <v>30</v>
      </c>
    </row>
    <row r="513" spans="1:10" x14ac:dyDescent="0.25">
      <c r="A513" t="s">
        <v>10</v>
      </c>
      <c r="B513" t="s">
        <v>19</v>
      </c>
      <c r="C513" t="s">
        <v>18</v>
      </c>
      <c r="D513" t="s">
        <v>15</v>
      </c>
      <c r="E513">
        <v>0</v>
      </c>
      <c r="F513">
        <v>0.75</v>
      </c>
      <c r="G513">
        <v>0.417813301086425</v>
      </c>
      <c r="H513">
        <v>0</v>
      </c>
      <c r="I513">
        <v>0</v>
      </c>
      <c r="J513">
        <v>30</v>
      </c>
    </row>
    <row r="514" spans="1:10" x14ac:dyDescent="0.25">
      <c r="A514" t="s">
        <v>10</v>
      </c>
      <c r="B514" t="s">
        <v>19</v>
      </c>
      <c r="C514" t="s">
        <v>18</v>
      </c>
      <c r="D514" t="s">
        <v>15</v>
      </c>
      <c r="E514">
        <v>0</v>
      </c>
      <c r="F514">
        <v>0.75</v>
      </c>
      <c r="G514">
        <v>0.60888314247131303</v>
      </c>
      <c r="H514">
        <v>0</v>
      </c>
      <c r="I514">
        <v>0</v>
      </c>
      <c r="J514">
        <v>30</v>
      </c>
    </row>
    <row r="515" spans="1:10" x14ac:dyDescent="0.25">
      <c r="A515" t="s">
        <v>10</v>
      </c>
      <c r="B515" t="s">
        <v>19</v>
      </c>
      <c r="C515" t="s">
        <v>18</v>
      </c>
      <c r="D515" t="s">
        <v>15</v>
      </c>
      <c r="E515">
        <v>0</v>
      </c>
      <c r="F515">
        <v>0.75</v>
      </c>
      <c r="G515">
        <v>0.71920108795166005</v>
      </c>
      <c r="H515">
        <v>0</v>
      </c>
      <c r="I515">
        <v>0</v>
      </c>
      <c r="J515">
        <v>30</v>
      </c>
    </row>
    <row r="516" spans="1:10" x14ac:dyDescent="0.25">
      <c r="A516" t="s">
        <v>10</v>
      </c>
      <c r="B516" t="s">
        <v>19</v>
      </c>
      <c r="C516" t="s">
        <v>18</v>
      </c>
      <c r="D516" t="s">
        <v>15</v>
      </c>
      <c r="E516">
        <v>0</v>
      </c>
      <c r="F516">
        <v>0.75</v>
      </c>
      <c r="G516">
        <v>0.81351876258850098</v>
      </c>
      <c r="H516">
        <v>0</v>
      </c>
      <c r="I516">
        <v>0</v>
      </c>
      <c r="J516">
        <v>30</v>
      </c>
    </row>
    <row r="517" spans="1:10" x14ac:dyDescent="0.25">
      <c r="A517" t="s">
        <v>10</v>
      </c>
      <c r="B517" t="s">
        <v>19</v>
      </c>
      <c r="C517" t="s">
        <v>18</v>
      </c>
      <c r="D517" t="s">
        <v>15</v>
      </c>
      <c r="E517">
        <v>0</v>
      </c>
      <c r="F517">
        <v>0.75</v>
      </c>
      <c r="G517">
        <v>0.833329677581787</v>
      </c>
      <c r="H517">
        <v>0</v>
      </c>
      <c r="I517">
        <v>0</v>
      </c>
      <c r="J517">
        <v>30</v>
      </c>
    </row>
    <row r="518" spans="1:10" x14ac:dyDescent="0.25">
      <c r="A518" t="s">
        <v>10</v>
      </c>
      <c r="B518" t="s">
        <v>19</v>
      </c>
      <c r="C518" t="s">
        <v>18</v>
      </c>
      <c r="D518" t="s">
        <v>15</v>
      </c>
      <c r="E518">
        <v>0</v>
      </c>
      <c r="F518">
        <v>0.75</v>
      </c>
      <c r="G518">
        <v>0.86519026756286599</v>
      </c>
      <c r="H518">
        <v>0</v>
      </c>
      <c r="I518">
        <v>0</v>
      </c>
      <c r="J518">
        <v>30</v>
      </c>
    </row>
    <row r="519" spans="1:10" x14ac:dyDescent="0.25">
      <c r="A519" t="s">
        <v>10</v>
      </c>
      <c r="B519" t="s">
        <v>19</v>
      </c>
      <c r="C519" t="s">
        <v>18</v>
      </c>
      <c r="D519" t="s">
        <v>15</v>
      </c>
      <c r="E519">
        <v>0</v>
      </c>
      <c r="F519">
        <v>0.75</v>
      </c>
      <c r="G519">
        <v>0.92435693740844704</v>
      </c>
      <c r="H519">
        <v>0</v>
      </c>
      <c r="I519">
        <v>0</v>
      </c>
      <c r="J519">
        <v>30</v>
      </c>
    </row>
    <row r="520" spans="1:10" x14ac:dyDescent="0.25">
      <c r="A520" t="s">
        <v>10</v>
      </c>
      <c r="B520" t="s">
        <v>19</v>
      </c>
      <c r="C520" t="s">
        <v>18</v>
      </c>
      <c r="D520" t="s">
        <v>15</v>
      </c>
      <c r="E520">
        <v>0</v>
      </c>
      <c r="F520">
        <v>0.75</v>
      </c>
      <c r="G520">
        <v>0.96652913093566895</v>
      </c>
      <c r="H520">
        <v>0</v>
      </c>
      <c r="I520">
        <v>0</v>
      </c>
      <c r="J520">
        <v>30</v>
      </c>
    </row>
    <row r="521" spans="1:10" x14ac:dyDescent="0.25">
      <c r="A521" t="s">
        <v>10</v>
      </c>
      <c r="B521" t="s">
        <v>19</v>
      </c>
      <c r="C521" t="s">
        <v>18</v>
      </c>
      <c r="D521" t="s">
        <v>15</v>
      </c>
      <c r="E521">
        <v>0</v>
      </c>
      <c r="F521">
        <v>0.75</v>
      </c>
      <c r="G521">
        <v>0.99804782867431596</v>
      </c>
      <c r="H521">
        <v>0</v>
      </c>
      <c r="I521">
        <v>0</v>
      </c>
      <c r="J521">
        <v>30</v>
      </c>
    </row>
    <row r="522" spans="1:10" x14ac:dyDescent="0.25">
      <c r="A522" t="s">
        <v>10</v>
      </c>
      <c r="B522" t="s">
        <v>19</v>
      </c>
      <c r="C522" t="s">
        <v>18</v>
      </c>
      <c r="D522" t="s">
        <v>15</v>
      </c>
      <c r="E522">
        <v>0</v>
      </c>
      <c r="F522">
        <v>0.75</v>
      </c>
      <c r="G522">
        <v>1.0676903724670399</v>
      </c>
      <c r="H522">
        <v>0</v>
      </c>
      <c r="I522">
        <v>0</v>
      </c>
      <c r="J522">
        <v>30</v>
      </c>
    </row>
    <row r="523" spans="1:10" x14ac:dyDescent="0.25">
      <c r="A523" t="s">
        <v>10</v>
      </c>
      <c r="B523" t="s">
        <v>19</v>
      </c>
      <c r="C523" t="s">
        <v>18</v>
      </c>
      <c r="D523" t="s">
        <v>15</v>
      </c>
      <c r="E523">
        <v>0</v>
      </c>
      <c r="F523">
        <v>0.75</v>
      </c>
      <c r="G523">
        <v>1.0832662582397401</v>
      </c>
      <c r="H523">
        <v>0</v>
      </c>
      <c r="I523">
        <v>0</v>
      </c>
      <c r="J523">
        <v>30</v>
      </c>
    </row>
    <row r="524" spans="1:10" x14ac:dyDescent="0.25">
      <c r="A524" t="s">
        <v>10</v>
      </c>
      <c r="B524" t="s">
        <v>19</v>
      </c>
      <c r="C524" t="s">
        <v>18</v>
      </c>
      <c r="D524" t="s">
        <v>15</v>
      </c>
      <c r="E524">
        <v>0</v>
      </c>
      <c r="F524">
        <v>0.75</v>
      </c>
      <c r="G524">
        <v>1.13965892791748</v>
      </c>
      <c r="H524">
        <v>0</v>
      </c>
      <c r="I524">
        <v>0</v>
      </c>
      <c r="J524">
        <v>30</v>
      </c>
    </row>
    <row r="525" spans="1:10" x14ac:dyDescent="0.25">
      <c r="A525" t="s">
        <v>10</v>
      </c>
      <c r="B525" t="s">
        <v>19</v>
      </c>
      <c r="C525" t="s">
        <v>18</v>
      </c>
      <c r="D525" t="s">
        <v>15</v>
      </c>
      <c r="E525">
        <v>0</v>
      </c>
      <c r="F525">
        <v>0.75</v>
      </c>
      <c r="G525">
        <v>1.17216801643371</v>
      </c>
      <c r="H525">
        <v>0</v>
      </c>
      <c r="I525">
        <v>0</v>
      </c>
      <c r="J525">
        <v>30</v>
      </c>
    </row>
    <row r="526" spans="1:10" x14ac:dyDescent="0.25">
      <c r="A526" t="s">
        <v>10</v>
      </c>
      <c r="B526" t="s">
        <v>19</v>
      </c>
      <c r="C526" t="s">
        <v>18</v>
      </c>
      <c r="D526" t="s">
        <v>15</v>
      </c>
      <c r="E526">
        <v>0</v>
      </c>
      <c r="F526">
        <v>0.75</v>
      </c>
      <c r="G526">
        <v>1.1723592281341499</v>
      </c>
      <c r="H526">
        <v>0</v>
      </c>
      <c r="I526">
        <v>0</v>
      </c>
      <c r="J526">
        <v>30</v>
      </c>
    </row>
    <row r="527" spans="1:10" x14ac:dyDescent="0.25">
      <c r="A527" t="s">
        <v>10</v>
      </c>
      <c r="B527" t="s">
        <v>19</v>
      </c>
      <c r="C527" t="s">
        <v>18</v>
      </c>
      <c r="D527" t="s">
        <v>15</v>
      </c>
      <c r="E527">
        <v>0</v>
      </c>
      <c r="F527">
        <v>0.75</v>
      </c>
      <c r="G527">
        <v>1.21361207962036</v>
      </c>
      <c r="H527">
        <v>0</v>
      </c>
      <c r="I527">
        <v>0</v>
      </c>
      <c r="J527">
        <v>30</v>
      </c>
    </row>
    <row r="528" spans="1:10" x14ac:dyDescent="0.25">
      <c r="A528" t="s">
        <v>10</v>
      </c>
      <c r="B528" t="s">
        <v>19</v>
      </c>
      <c r="C528" t="s">
        <v>18</v>
      </c>
      <c r="D528" t="s">
        <v>15</v>
      </c>
      <c r="E528">
        <v>0</v>
      </c>
      <c r="F528">
        <v>0.75</v>
      </c>
      <c r="G528">
        <v>1.2238278388977</v>
      </c>
      <c r="H528">
        <v>0</v>
      </c>
      <c r="I528">
        <v>0</v>
      </c>
      <c r="J528">
        <v>30</v>
      </c>
    </row>
    <row r="529" spans="1:10" x14ac:dyDescent="0.25">
      <c r="A529" t="s">
        <v>10</v>
      </c>
      <c r="B529" t="s">
        <v>19</v>
      </c>
      <c r="C529" t="s">
        <v>18</v>
      </c>
      <c r="D529" t="s">
        <v>15</v>
      </c>
      <c r="E529">
        <v>0</v>
      </c>
      <c r="F529">
        <v>0.75</v>
      </c>
      <c r="G529">
        <v>1.2457978725433301</v>
      </c>
      <c r="H529">
        <v>0</v>
      </c>
      <c r="I529">
        <v>0</v>
      </c>
      <c r="J529">
        <v>30</v>
      </c>
    </row>
    <row r="530" spans="1:10" x14ac:dyDescent="0.25">
      <c r="A530" t="s">
        <v>10</v>
      </c>
      <c r="B530" t="s">
        <v>19</v>
      </c>
      <c r="C530" t="s">
        <v>18</v>
      </c>
      <c r="D530" t="s">
        <v>15</v>
      </c>
      <c r="E530">
        <v>0</v>
      </c>
      <c r="F530">
        <v>0.75</v>
      </c>
      <c r="G530">
        <v>1.2728517055511399</v>
      </c>
      <c r="H530">
        <v>0</v>
      </c>
      <c r="I530">
        <v>0</v>
      </c>
      <c r="J530">
        <v>30</v>
      </c>
    </row>
    <row r="531" spans="1:10" x14ac:dyDescent="0.25">
      <c r="A531" t="s">
        <v>10</v>
      </c>
      <c r="B531" t="s">
        <v>19</v>
      </c>
      <c r="C531" t="s">
        <v>18</v>
      </c>
      <c r="D531" t="s">
        <v>15</v>
      </c>
      <c r="E531">
        <v>0</v>
      </c>
      <c r="F531">
        <v>0.75</v>
      </c>
      <c r="G531">
        <v>1.29582548141479</v>
      </c>
      <c r="H531">
        <v>0</v>
      </c>
      <c r="I531">
        <v>0</v>
      </c>
      <c r="J531">
        <v>30</v>
      </c>
    </row>
    <row r="532" spans="1:10" x14ac:dyDescent="0.25">
      <c r="A532" t="s">
        <v>10</v>
      </c>
      <c r="B532" t="s">
        <v>19</v>
      </c>
      <c r="C532" t="s">
        <v>18</v>
      </c>
      <c r="D532" t="s">
        <v>15</v>
      </c>
      <c r="E532">
        <v>0</v>
      </c>
      <c r="F532">
        <v>0.75</v>
      </c>
      <c r="G532">
        <v>1.3291442394256501</v>
      </c>
      <c r="H532">
        <v>0</v>
      </c>
      <c r="I532">
        <v>0</v>
      </c>
      <c r="J532">
        <v>30</v>
      </c>
    </row>
    <row r="533" spans="1:10" x14ac:dyDescent="0.25">
      <c r="A533" t="s">
        <v>10</v>
      </c>
      <c r="B533" t="s">
        <v>19</v>
      </c>
      <c r="C533" t="s">
        <v>18</v>
      </c>
      <c r="D533" t="s">
        <v>15</v>
      </c>
      <c r="E533">
        <v>0</v>
      </c>
      <c r="F533">
        <v>0.75</v>
      </c>
      <c r="G533">
        <v>1.32496333122253</v>
      </c>
      <c r="H533">
        <v>0</v>
      </c>
      <c r="I533">
        <v>0</v>
      </c>
      <c r="J533">
        <v>30</v>
      </c>
    </row>
    <row r="534" spans="1:10" x14ac:dyDescent="0.25">
      <c r="A534" t="s">
        <v>10</v>
      </c>
      <c r="B534" t="s">
        <v>19</v>
      </c>
      <c r="C534" t="s">
        <v>18</v>
      </c>
      <c r="D534" t="s">
        <v>15</v>
      </c>
      <c r="E534">
        <v>0</v>
      </c>
      <c r="F534">
        <v>0.75</v>
      </c>
      <c r="G534">
        <v>1.3468039035797099</v>
      </c>
      <c r="H534">
        <v>0</v>
      </c>
      <c r="I534">
        <v>0</v>
      </c>
      <c r="J534">
        <v>30</v>
      </c>
    </row>
    <row r="535" spans="1:10" x14ac:dyDescent="0.25">
      <c r="A535" t="s">
        <v>10</v>
      </c>
      <c r="B535" t="s">
        <v>19</v>
      </c>
      <c r="C535" t="s">
        <v>18</v>
      </c>
      <c r="D535" t="s">
        <v>15</v>
      </c>
      <c r="E535">
        <v>0</v>
      </c>
      <c r="F535">
        <v>0.75</v>
      </c>
      <c r="G535">
        <v>1.3879520893096899</v>
      </c>
      <c r="H535">
        <v>0</v>
      </c>
      <c r="I535">
        <v>0</v>
      </c>
      <c r="J535">
        <v>30</v>
      </c>
    </row>
    <row r="536" spans="1:10" x14ac:dyDescent="0.25">
      <c r="A536" t="s">
        <v>10</v>
      </c>
      <c r="B536" t="s">
        <v>19</v>
      </c>
      <c r="C536" t="s">
        <v>18</v>
      </c>
      <c r="D536" t="s">
        <v>15</v>
      </c>
      <c r="E536">
        <v>0</v>
      </c>
      <c r="F536">
        <v>0.75</v>
      </c>
      <c r="G536">
        <v>1.47011041641235</v>
      </c>
      <c r="H536">
        <v>0</v>
      </c>
      <c r="I536">
        <v>0</v>
      </c>
      <c r="J536">
        <v>30</v>
      </c>
    </row>
    <row r="537" spans="1:10" x14ac:dyDescent="0.25">
      <c r="A537" t="s">
        <v>10</v>
      </c>
      <c r="B537" t="s">
        <v>19</v>
      </c>
      <c r="C537" t="s">
        <v>18</v>
      </c>
      <c r="D537" t="s">
        <v>15</v>
      </c>
      <c r="E537">
        <v>0</v>
      </c>
      <c r="F537">
        <v>0.75</v>
      </c>
      <c r="G537">
        <v>1.4766876697540201</v>
      </c>
      <c r="H537">
        <v>1</v>
      </c>
      <c r="I537">
        <v>3</v>
      </c>
      <c r="J537">
        <v>30</v>
      </c>
    </row>
    <row r="538" spans="1:10" x14ac:dyDescent="0.25">
      <c r="A538" t="s">
        <v>10</v>
      </c>
      <c r="B538" t="s">
        <v>19</v>
      </c>
      <c r="C538" t="s">
        <v>18</v>
      </c>
      <c r="D538" t="s">
        <v>15</v>
      </c>
      <c r="E538">
        <v>0</v>
      </c>
      <c r="F538">
        <v>0.75</v>
      </c>
      <c r="G538">
        <v>1.4924895763397199</v>
      </c>
      <c r="H538">
        <v>0</v>
      </c>
      <c r="I538">
        <v>0</v>
      </c>
      <c r="J538">
        <v>30</v>
      </c>
    </row>
    <row r="539" spans="1:10" x14ac:dyDescent="0.25">
      <c r="A539" t="s">
        <v>10</v>
      </c>
      <c r="B539" t="s">
        <v>19</v>
      </c>
      <c r="C539" t="s">
        <v>18</v>
      </c>
      <c r="D539" t="s">
        <v>15</v>
      </c>
      <c r="E539">
        <v>0</v>
      </c>
      <c r="F539">
        <v>0.75</v>
      </c>
      <c r="G539">
        <v>1.5140421390533401</v>
      </c>
      <c r="H539">
        <v>0</v>
      </c>
      <c r="I539">
        <v>0</v>
      </c>
      <c r="J539">
        <v>30</v>
      </c>
    </row>
    <row r="540" spans="1:10" x14ac:dyDescent="0.25">
      <c r="A540" t="s">
        <v>10</v>
      </c>
      <c r="B540" t="s">
        <v>19</v>
      </c>
      <c r="C540" t="s">
        <v>18</v>
      </c>
      <c r="D540" t="s">
        <v>15</v>
      </c>
      <c r="E540">
        <v>0</v>
      </c>
      <c r="F540">
        <v>0.75</v>
      </c>
      <c r="G540">
        <v>1.57921767234802</v>
      </c>
      <c r="H540">
        <v>1</v>
      </c>
      <c r="I540">
        <v>3</v>
      </c>
      <c r="J540">
        <v>30</v>
      </c>
    </row>
    <row r="541" spans="1:10" x14ac:dyDescent="0.25">
      <c r="A541" t="s">
        <v>10</v>
      </c>
      <c r="B541" t="s">
        <v>19</v>
      </c>
      <c r="C541" t="s">
        <v>18</v>
      </c>
      <c r="D541" t="s">
        <v>15</v>
      </c>
      <c r="E541">
        <v>0</v>
      </c>
      <c r="F541">
        <v>0.75</v>
      </c>
      <c r="G541">
        <v>1.5802974700927701</v>
      </c>
      <c r="H541">
        <v>0</v>
      </c>
      <c r="I541">
        <v>0</v>
      </c>
      <c r="J541">
        <v>30</v>
      </c>
    </row>
    <row r="542" spans="1:10" x14ac:dyDescent="0.25">
      <c r="A542" t="s">
        <v>10</v>
      </c>
      <c r="B542" t="s">
        <v>19</v>
      </c>
      <c r="C542" t="s">
        <v>18</v>
      </c>
      <c r="D542" t="s">
        <v>16</v>
      </c>
      <c r="E542">
        <v>0</v>
      </c>
      <c r="F542">
        <v>0.75</v>
      </c>
      <c r="G542">
        <v>6.18743896484375E-2</v>
      </c>
      <c r="H542">
        <v>0</v>
      </c>
      <c r="I542">
        <v>0</v>
      </c>
      <c r="J542">
        <v>30</v>
      </c>
    </row>
    <row r="543" spans="1:10" x14ac:dyDescent="0.25">
      <c r="A543" t="s">
        <v>10</v>
      </c>
      <c r="B543" t="s">
        <v>19</v>
      </c>
      <c r="C543" t="s">
        <v>18</v>
      </c>
      <c r="D543" t="s">
        <v>16</v>
      </c>
      <c r="E543">
        <v>0</v>
      </c>
      <c r="F543">
        <v>0.75</v>
      </c>
      <c r="G543">
        <v>9.6904993057250893E-2</v>
      </c>
      <c r="H543">
        <v>0</v>
      </c>
      <c r="I543">
        <v>0</v>
      </c>
      <c r="J543">
        <v>30</v>
      </c>
    </row>
    <row r="544" spans="1:10" x14ac:dyDescent="0.25">
      <c r="A544" t="s">
        <v>10</v>
      </c>
      <c r="B544" t="s">
        <v>19</v>
      </c>
      <c r="C544" t="s">
        <v>18</v>
      </c>
      <c r="D544" t="s">
        <v>16</v>
      </c>
      <c r="E544">
        <v>0</v>
      </c>
      <c r="F544">
        <v>0.75</v>
      </c>
      <c r="G544">
        <v>0.102134704589843</v>
      </c>
      <c r="H544">
        <v>0</v>
      </c>
      <c r="I544">
        <v>0</v>
      </c>
      <c r="J544">
        <v>30</v>
      </c>
    </row>
    <row r="545" spans="1:10" x14ac:dyDescent="0.25">
      <c r="A545" t="s">
        <v>10</v>
      </c>
      <c r="B545" t="s">
        <v>19</v>
      </c>
      <c r="C545" t="s">
        <v>18</v>
      </c>
      <c r="D545" t="s">
        <v>16</v>
      </c>
      <c r="E545">
        <v>0</v>
      </c>
      <c r="F545">
        <v>0.75</v>
      </c>
      <c r="G545">
        <v>0.13312363624572701</v>
      </c>
      <c r="H545">
        <v>0</v>
      </c>
      <c r="I545">
        <v>0</v>
      </c>
      <c r="J545">
        <v>30</v>
      </c>
    </row>
    <row r="546" spans="1:10" x14ac:dyDescent="0.25">
      <c r="A546" t="s">
        <v>10</v>
      </c>
      <c r="B546" t="s">
        <v>19</v>
      </c>
      <c r="C546" t="s">
        <v>18</v>
      </c>
      <c r="D546" t="s">
        <v>16</v>
      </c>
      <c r="E546">
        <v>0</v>
      </c>
      <c r="F546">
        <v>0.75</v>
      </c>
      <c r="G546">
        <v>0.16376733779907199</v>
      </c>
      <c r="H546">
        <v>0</v>
      </c>
      <c r="I546">
        <v>0</v>
      </c>
      <c r="J546">
        <v>30</v>
      </c>
    </row>
    <row r="547" spans="1:10" x14ac:dyDescent="0.25">
      <c r="A547" t="s">
        <v>10</v>
      </c>
      <c r="B547" t="s">
        <v>19</v>
      </c>
      <c r="C547" t="s">
        <v>18</v>
      </c>
      <c r="D547" t="s">
        <v>16</v>
      </c>
      <c r="E547">
        <v>0</v>
      </c>
      <c r="F547">
        <v>0.75</v>
      </c>
      <c r="G547">
        <v>0.18831944465637199</v>
      </c>
      <c r="H547">
        <v>0</v>
      </c>
      <c r="I547">
        <v>0</v>
      </c>
      <c r="J547">
        <v>30</v>
      </c>
    </row>
    <row r="548" spans="1:10" x14ac:dyDescent="0.25">
      <c r="A548" t="s">
        <v>10</v>
      </c>
      <c r="B548" t="s">
        <v>19</v>
      </c>
      <c r="C548" t="s">
        <v>18</v>
      </c>
      <c r="D548" t="s">
        <v>16</v>
      </c>
      <c r="E548">
        <v>0</v>
      </c>
      <c r="F548">
        <v>0.75</v>
      </c>
      <c r="G548">
        <v>0.20998263359069799</v>
      </c>
      <c r="H548">
        <v>0</v>
      </c>
      <c r="I548">
        <v>0</v>
      </c>
      <c r="J548">
        <v>30</v>
      </c>
    </row>
    <row r="549" spans="1:10" x14ac:dyDescent="0.25">
      <c r="A549" t="s">
        <v>10</v>
      </c>
      <c r="B549" t="s">
        <v>19</v>
      </c>
      <c r="C549" t="s">
        <v>18</v>
      </c>
      <c r="D549" t="s">
        <v>16</v>
      </c>
      <c r="E549">
        <v>0</v>
      </c>
      <c r="F549">
        <v>0.75</v>
      </c>
      <c r="G549">
        <v>0.20998263359069799</v>
      </c>
      <c r="H549">
        <v>0</v>
      </c>
      <c r="I549">
        <v>0</v>
      </c>
      <c r="J549">
        <v>30</v>
      </c>
    </row>
    <row r="550" spans="1:10" x14ac:dyDescent="0.25">
      <c r="A550" t="s">
        <v>10</v>
      </c>
      <c r="B550" t="s">
        <v>19</v>
      </c>
      <c r="C550" t="s">
        <v>18</v>
      </c>
      <c r="D550" t="s">
        <v>16</v>
      </c>
      <c r="E550">
        <v>0</v>
      </c>
      <c r="F550">
        <v>0.75</v>
      </c>
      <c r="G550">
        <v>0.225281476974487</v>
      </c>
      <c r="H550">
        <v>0</v>
      </c>
      <c r="I550">
        <v>0</v>
      </c>
      <c r="J550">
        <v>30</v>
      </c>
    </row>
    <row r="551" spans="1:10" x14ac:dyDescent="0.25">
      <c r="A551" t="s">
        <v>10</v>
      </c>
      <c r="B551" t="s">
        <v>19</v>
      </c>
      <c r="C551" t="s">
        <v>18</v>
      </c>
      <c r="D551" t="s">
        <v>16</v>
      </c>
      <c r="E551">
        <v>0</v>
      </c>
      <c r="F551">
        <v>0.75</v>
      </c>
      <c r="G551">
        <v>0.21524953842163</v>
      </c>
      <c r="H551">
        <v>0</v>
      </c>
      <c r="I551">
        <v>0</v>
      </c>
      <c r="J551">
        <v>30</v>
      </c>
    </row>
    <row r="552" spans="1:10" x14ac:dyDescent="0.25">
      <c r="A552" t="s">
        <v>10</v>
      </c>
      <c r="B552" t="s">
        <v>19</v>
      </c>
      <c r="C552" t="s">
        <v>18</v>
      </c>
      <c r="D552" t="s">
        <v>16</v>
      </c>
      <c r="E552">
        <v>0</v>
      </c>
      <c r="F552">
        <v>0.75</v>
      </c>
      <c r="G552">
        <v>0.24092435836791901</v>
      </c>
      <c r="H552">
        <v>0</v>
      </c>
      <c r="I552">
        <v>0</v>
      </c>
      <c r="J552">
        <v>30</v>
      </c>
    </row>
    <row r="553" spans="1:10" x14ac:dyDescent="0.25">
      <c r="A553" t="s">
        <v>10</v>
      </c>
      <c r="B553" t="s">
        <v>19</v>
      </c>
      <c r="C553" t="s">
        <v>18</v>
      </c>
      <c r="D553" t="s">
        <v>16</v>
      </c>
      <c r="E553">
        <v>0</v>
      </c>
      <c r="F553">
        <v>0.75</v>
      </c>
      <c r="G553">
        <v>0.23593878746032701</v>
      </c>
      <c r="H553">
        <v>0</v>
      </c>
      <c r="I553">
        <v>0</v>
      </c>
      <c r="J553">
        <v>30</v>
      </c>
    </row>
    <row r="554" spans="1:10" x14ac:dyDescent="0.25">
      <c r="A554" t="s">
        <v>10</v>
      </c>
      <c r="B554" t="s">
        <v>19</v>
      </c>
      <c r="C554" t="s">
        <v>18</v>
      </c>
      <c r="D554" t="s">
        <v>16</v>
      </c>
      <c r="E554">
        <v>0</v>
      </c>
      <c r="F554">
        <v>0.75</v>
      </c>
      <c r="G554">
        <v>0.24605393409729001</v>
      </c>
      <c r="H554">
        <v>0</v>
      </c>
      <c r="I554">
        <v>0</v>
      </c>
      <c r="J554">
        <v>30</v>
      </c>
    </row>
    <row r="555" spans="1:10" x14ac:dyDescent="0.25">
      <c r="A555" t="s">
        <v>10</v>
      </c>
      <c r="B555" t="s">
        <v>19</v>
      </c>
      <c r="C555" t="s">
        <v>18</v>
      </c>
      <c r="D555" t="s">
        <v>16</v>
      </c>
      <c r="E555">
        <v>0</v>
      </c>
      <c r="F555">
        <v>0.75</v>
      </c>
      <c r="G555">
        <v>0.27169632911682101</v>
      </c>
      <c r="H555">
        <v>0</v>
      </c>
      <c r="I555">
        <v>0</v>
      </c>
      <c r="J555">
        <v>30</v>
      </c>
    </row>
    <row r="556" spans="1:10" x14ac:dyDescent="0.25">
      <c r="A556" t="s">
        <v>10</v>
      </c>
      <c r="B556" t="s">
        <v>19</v>
      </c>
      <c r="C556" t="s">
        <v>18</v>
      </c>
      <c r="D556" t="s">
        <v>16</v>
      </c>
      <c r="E556">
        <v>0</v>
      </c>
      <c r="F556">
        <v>0.75</v>
      </c>
      <c r="G556">
        <v>0.24605393409729001</v>
      </c>
      <c r="H556">
        <v>0</v>
      </c>
      <c r="I556">
        <v>0</v>
      </c>
      <c r="J556">
        <v>30</v>
      </c>
    </row>
    <row r="557" spans="1:10" x14ac:dyDescent="0.25">
      <c r="A557" t="s">
        <v>10</v>
      </c>
      <c r="B557" t="s">
        <v>19</v>
      </c>
      <c r="C557" t="s">
        <v>18</v>
      </c>
      <c r="D557" t="s">
        <v>16</v>
      </c>
      <c r="E557">
        <v>0</v>
      </c>
      <c r="F557">
        <v>0.75</v>
      </c>
      <c r="G557">
        <v>0.278337001800537</v>
      </c>
      <c r="H557">
        <v>0</v>
      </c>
      <c r="I557">
        <v>0</v>
      </c>
      <c r="J557">
        <v>30</v>
      </c>
    </row>
    <row r="558" spans="1:10" x14ac:dyDescent="0.25">
      <c r="A558" t="s">
        <v>10</v>
      </c>
      <c r="B558" t="s">
        <v>19</v>
      </c>
      <c r="C558" t="s">
        <v>18</v>
      </c>
      <c r="D558" t="s">
        <v>16</v>
      </c>
      <c r="E558">
        <v>0</v>
      </c>
      <c r="F558">
        <v>0.75</v>
      </c>
      <c r="G558">
        <v>0.27705955505370999</v>
      </c>
      <c r="H558">
        <v>0</v>
      </c>
      <c r="I558">
        <v>0</v>
      </c>
      <c r="J558">
        <v>30</v>
      </c>
    </row>
    <row r="559" spans="1:10" x14ac:dyDescent="0.25">
      <c r="A559" t="s">
        <v>10</v>
      </c>
      <c r="B559" t="s">
        <v>19</v>
      </c>
      <c r="C559" t="s">
        <v>18</v>
      </c>
      <c r="D559" t="s">
        <v>16</v>
      </c>
      <c r="E559">
        <v>0</v>
      </c>
      <c r="F559">
        <v>0.75</v>
      </c>
      <c r="G559">
        <v>0.29408288002014099</v>
      </c>
      <c r="H559">
        <v>0</v>
      </c>
      <c r="I559">
        <v>0</v>
      </c>
      <c r="J559">
        <v>30</v>
      </c>
    </row>
    <row r="560" spans="1:10" x14ac:dyDescent="0.25">
      <c r="A560" t="s">
        <v>10</v>
      </c>
      <c r="B560" t="s">
        <v>19</v>
      </c>
      <c r="C560" t="s">
        <v>18</v>
      </c>
      <c r="D560" t="s">
        <v>16</v>
      </c>
      <c r="E560">
        <v>0</v>
      </c>
      <c r="F560">
        <v>0.75</v>
      </c>
      <c r="G560">
        <v>0.297565698623657</v>
      </c>
      <c r="H560">
        <v>0</v>
      </c>
      <c r="I560">
        <v>0</v>
      </c>
      <c r="J560">
        <v>30</v>
      </c>
    </row>
    <row r="561" spans="1:10" x14ac:dyDescent="0.25">
      <c r="A561" t="s">
        <v>10</v>
      </c>
      <c r="B561" t="s">
        <v>19</v>
      </c>
      <c r="C561" t="s">
        <v>18</v>
      </c>
      <c r="D561" t="s">
        <v>16</v>
      </c>
      <c r="E561">
        <v>0</v>
      </c>
      <c r="F561">
        <v>0.75</v>
      </c>
      <c r="G561">
        <v>0.31163287162780701</v>
      </c>
      <c r="H561">
        <v>0</v>
      </c>
      <c r="I561">
        <v>0</v>
      </c>
      <c r="J561">
        <v>30</v>
      </c>
    </row>
    <row r="562" spans="1:10" x14ac:dyDescent="0.25">
      <c r="A562" t="s">
        <v>10</v>
      </c>
      <c r="B562" t="s">
        <v>19</v>
      </c>
      <c r="C562" t="s">
        <v>18</v>
      </c>
      <c r="D562" t="s">
        <v>16</v>
      </c>
      <c r="E562">
        <v>0</v>
      </c>
      <c r="F562">
        <v>0.75</v>
      </c>
      <c r="G562">
        <v>0.32322096824645902</v>
      </c>
      <c r="H562">
        <v>0</v>
      </c>
      <c r="I562">
        <v>0</v>
      </c>
      <c r="J562">
        <v>30</v>
      </c>
    </row>
    <row r="563" spans="1:10" x14ac:dyDescent="0.25">
      <c r="A563" t="s">
        <v>10</v>
      </c>
      <c r="B563" t="s">
        <v>19</v>
      </c>
      <c r="C563" t="s">
        <v>18</v>
      </c>
      <c r="D563" t="s">
        <v>16</v>
      </c>
      <c r="E563">
        <v>0</v>
      </c>
      <c r="F563">
        <v>0.75</v>
      </c>
      <c r="G563">
        <v>0.32322096824645902</v>
      </c>
      <c r="H563">
        <v>0</v>
      </c>
      <c r="I563">
        <v>0</v>
      </c>
      <c r="J563">
        <v>30</v>
      </c>
    </row>
    <row r="564" spans="1:10" x14ac:dyDescent="0.25">
      <c r="A564" t="s">
        <v>10</v>
      </c>
      <c r="B564" t="s">
        <v>19</v>
      </c>
      <c r="C564" t="s">
        <v>18</v>
      </c>
      <c r="D564" t="s">
        <v>16</v>
      </c>
      <c r="E564">
        <v>0</v>
      </c>
      <c r="F564">
        <v>0.75</v>
      </c>
      <c r="G564">
        <v>0.32829213142394997</v>
      </c>
      <c r="H564">
        <v>0</v>
      </c>
      <c r="I564">
        <v>0</v>
      </c>
      <c r="J564">
        <v>30</v>
      </c>
    </row>
    <row r="565" spans="1:10" x14ac:dyDescent="0.25">
      <c r="A565" t="s">
        <v>10</v>
      </c>
      <c r="B565" t="s">
        <v>19</v>
      </c>
      <c r="C565" t="s">
        <v>18</v>
      </c>
      <c r="D565" t="s">
        <v>16</v>
      </c>
      <c r="E565">
        <v>0</v>
      </c>
      <c r="F565">
        <v>0.75</v>
      </c>
      <c r="G565">
        <v>0.34412980079650801</v>
      </c>
      <c r="H565">
        <v>0</v>
      </c>
      <c r="I565">
        <v>0</v>
      </c>
      <c r="J565">
        <v>30</v>
      </c>
    </row>
    <row r="566" spans="1:10" x14ac:dyDescent="0.25">
      <c r="A566" t="s">
        <v>10</v>
      </c>
      <c r="B566" t="s">
        <v>19</v>
      </c>
      <c r="C566" t="s">
        <v>18</v>
      </c>
      <c r="D566" t="s">
        <v>16</v>
      </c>
      <c r="E566">
        <v>0</v>
      </c>
      <c r="F566">
        <v>0.75</v>
      </c>
      <c r="G566">
        <v>0.349957466125488</v>
      </c>
      <c r="H566">
        <v>0</v>
      </c>
      <c r="I566">
        <v>0</v>
      </c>
      <c r="J566">
        <v>30</v>
      </c>
    </row>
    <row r="567" spans="1:10" x14ac:dyDescent="0.25">
      <c r="A567" t="s">
        <v>10</v>
      </c>
      <c r="B567" t="s">
        <v>19</v>
      </c>
      <c r="C567" t="s">
        <v>18</v>
      </c>
      <c r="D567" t="s">
        <v>16</v>
      </c>
      <c r="E567">
        <v>0</v>
      </c>
      <c r="F567">
        <v>0.75</v>
      </c>
      <c r="G567">
        <v>0.34864902496337802</v>
      </c>
      <c r="H567">
        <v>0</v>
      </c>
      <c r="I567">
        <v>0</v>
      </c>
      <c r="J567">
        <v>30</v>
      </c>
    </row>
    <row r="568" spans="1:10" x14ac:dyDescent="0.25">
      <c r="A568" t="s">
        <v>10</v>
      </c>
      <c r="B568" t="s">
        <v>19</v>
      </c>
      <c r="C568" t="s">
        <v>18</v>
      </c>
      <c r="D568" t="s">
        <v>16</v>
      </c>
      <c r="E568">
        <v>0</v>
      </c>
      <c r="F568">
        <v>0.75</v>
      </c>
      <c r="G568">
        <v>0.35424470901489202</v>
      </c>
      <c r="H568">
        <v>0</v>
      </c>
      <c r="I568">
        <v>0</v>
      </c>
      <c r="J568">
        <v>30</v>
      </c>
    </row>
    <row r="569" spans="1:10" x14ac:dyDescent="0.25">
      <c r="A569" t="s">
        <v>10</v>
      </c>
      <c r="B569" t="s">
        <v>19</v>
      </c>
      <c r="C569" t="s">
        <v>18</v>
      </c>
      <c r="D569" t="s">
        <v>16</v>
      </c>
      <c r="E569">
        <v>0</v>
      </c>
      <c r="F569">
        <v>0.75</v>
      </c>
      <c r="G569">
        <v>0.34497189521789501</v>
      </c>
      <c r="H569">
        <v>0</v>
      </c>
      <c r="I569">
        <v>0</v>
      </c>
      <c r="J569">
        <v>30</v>
      </c>
    </row>
    <row r="570" spans="1:10" x14ac:dyDescent="0.25">
      <c r="A570" t="s">
        <v>10</v>
      </c>
      <c r="B570" t="s">
        <v>19</v>
      </c>
      <c r="C570" t="s">
        <v>18</v>
      </c>
      <c r="D570" t="s">
        <v>16</v>
      </c>
      <c r="E570">
        <v>0</v>
      </c>
      <c r="F570">
        <v>0.75</v>
      </c>
      <c r="G570">
        <v>0.34346532821655201</v>
      </c>
      <c r="H570">
        <v>0</v>
      </c>
      <c r="I570">
        <v>0</v>
      </c>
      <c r="J570">
        <v>30</v>
      </c>
    </row>
    <row r="571" spans="1:10" x14ac:dyDescent="0.25">
      <c r="A571" t="s">
        <v>10</v>
      </c>
      <c r="B571" t="s">
        <v>19</v>
      </c>
      <c r="C571" t="s">
        <v>18</v>
      </c>
      <c r="D571" t="s">
        <v>16</v>
      </c>
      <c r="E571">
        <v>0</v>
      </c>
      <c r="F571">
        <v>0.75</v>
      </c>
      <c r="G571">
        <v>0.33847975730895902</v>
      </c>
      <c r="H571">
        <v>0</v>
      </c>
      <c r="I571">
        <v>0</v>
      </c>
      <c r="J571">
        <v>30</v>
      </c>
    </row>
    <row r="572" spans="1:10" x14ac:dyDescent="0.25">
      <c r="A572" t="s">
        <v>10</v>
      </c>
      <c r="B572" t="s">
        <v>19</v>
      </c>
      <c r="C572" t="s">
        <v>18</v>
      </c>
      <c r="D572" t="s">
        <v>17</v>
      </c>
      <c r="E572">
        <v>0.38888888888888801</v>
      </c>
      <c r="F572">
        <v>0.76573392378888805</v>
      </c>
      <c r="G572">
        <v>16.5450022220611</v>
      </c>
      <c r="H572">
        <v>33</v>
      </c>
      <c r="I572">
        <v>35</v>
      </c>
      <c r="J572">
        <v>30</v>
      </c>
    </row>
    <row r="573" spans="1:10" x14ac:dyDescent="0.25">
      <c r="A573" t="s">
        <v>10</v>
      </c>
      <c r="B573" t="s">
        <v>19</v>
      </c>
      <c r="C573" t="s">
        <v>18</v>
      </c>
      <c r="D573" t="s">
        <v>17</v>
      </c>
      <c r="E573">
        <v>0.66666666666666596</v>
      </c>
      <c r="F573">
        <v>0.80189033918333297</v>
      </c>
      <c r="G573">
        <v>17.8160963058471</v>
      </c>
      <c r="H573">
        <v>47</v>
      </c>
      <c r="I573">
        <v>50</v>
      </c>
      <c r="J573">
        <v>30</v>
      </c>
    </row>
    <row r="574" spans="1:10" x14ac:dyDescent="0.25">
      <c r="A574" t="s">
        <v>10</v>
      </c>
      <c r="B574" t="s">
        <v>19</v>
      </c>
      <c r="C574" t="s">
        <v>18</v>
      </c>
      <c r="D574" t="s">
        <v>17</v>
      </c>
      <c r="E574">
        <v>0.58333333333333304</v>
      </c>
      <c r="F574">
        <v>0.76521290943611098</v>
      </c>
      <c r="G574">
        <v>17.832684993743801</v>
      </c>
      <c r="H574">
        <v>47</v>
      </c>
      <c r="I574">
        <v>50</v>
      </c>
      <c r="J574">
        <v>30</v>
      </c>
    </row>
    <row r="575" spans="1:10" x14ac:dyDescent="0.25">
      <c r="A575" t="s">
        <v>10</v>
      </c>
      <c r="B575" t="s">
        <v>19</v>
      </c>
      <c r="C575" t="s">
        <v>18</v>
      </c>
      <c r="D575" t="s">
        <v>17</v>
      </c>
      <c r="E575">
        <v>0.63888888888888795</v>
      </c>
      <c r="F575">
        <v>0.769473325125</v>
      </c>
      <c r="G575">
        <v>20.026363372802699</v>
      </c>
      <c r="H575">
        <v>49</v>
      </c>
      <c r="I575">
        <v>46</v>
      </c>
      <c r="J575">
        <v>30</v>
      </c>
    </row>
    <row r="576" spans="1:10" x14ac:dyDescent="0.25">
      <c r="A576" t="s">
        <v>10</v>
      </c>
      <c r="B576" t="s">
        <v>19</v>
      </c>
      <c r="C576" t="s">
        <v>18</v>
      </c>
      <c r="D576" t="s">
        <v>17</v>
      </c>
      <c r="E576">
        <v>0.52777777777777701</v>
      </c>
      <c r="F576">
        <v>0.74446594104722197</v>
      </c>
      <c r="G576">
        <v>20.044085502624501</v>
      </c>
      <c r="H576">
        <v>59</v>
      </c>
      <c r="I576">
        <v>60</v>
      </c>
      <c r="J576">
        <v>30</v>
      </c>
    </row>
    <row r="577" spans="1:10" x14ac:dyDescent="0.25">
      <c r="A577" t="s">
        <v>10</v>
      </c>
      <c r="B577" t="s">
        <v>19</v>
      </c>
      <c r="C577" t="s">
        <v>18</v>
      </c>
      <c r="D577" t="s">
        <v>17</v>
      </c>
      <c r="E577">
        <v>0.61111111111111105</v>
      </c>
      <c r="F577">
        <v>0.78333555367222196</v>
      </c>
      <c r="G577">
        <v>20.249207019805901</v>
      </c>
      <c r="H577">
        <v>58</v>
      </c>
      <c r="I577">
        <v>59</v>
      </c>
      <c r="J577">
        <v>30</v>
      </c>
    </row>
    <row r="578" spans="1:10" x14ac:dyDescent="0.25">
      <c r="A578" t="s">
        <v>10</v>
      </c>
      <c r="B578" t="s">
        <v>19</v>
      </c>
      <c r="C578" t="s">
        <v>18</v>
      </c>
      <c r="D578" t="s">
        <v>17</v>
      </c>
      <c r="E578">
        <v>0.75</v>
      </c>
      <c r="F578">
        <v>0.79711851209166595</v>
      </c>
      <c r="G578">
        <v>20.993160009384098</v>
      </c>
      <c r="H578">
        <v>56</v>
      </c>
      <c r="I578">
        <v>55</v>
      </c>
      <c r="J578">
        <v>30</v>
      </c>
    </row>
    <row r="579" spans="1:10" x14ac:dyDescent="0.25">
      <c r="A579" t="s">
        <v>10</v>
      </c>
      <c r="B579" t="s">
        <v>19</v>
      </c>
      <c r="C579" t="s">
        <v>18</v>
      </c>
      <c r="D579" t="s">
        <v>17</v>
      </c>
      <c r="E579">
        <v>0.77777777777777701</v>
      </c>
      <c r="F579">
        <v>0.80182793015555498</v>
      </c>
      <c r="G579">
        <v>21.139449596405001</v>
      </c>
      <c r="H579">
        <v>60</v>
      </c>
      <c r="I579">
        <v>60</v>
      </c>
      <c r="J579">
        <v>30</v>
      </c>
    </row>
    <row r="580" spans="1:10" x14ac:dyDescent="0.25">
      <c r="A580" t="s">
        <v>10</v>
      </c>
      <c r="B580" t="s">
        <v>19</v>
      </c>
      <c r="C580" t="s">
        <v>18</v>
      </c>
      <c r="D580" t="s">
        <v>17</v>
      </c>
      <c r="E580">
        <v>0.72222222222222199</v>
      </c>
      <c r="F580">
        <v>0.80887327730000003</v>
      </c>
      <c r="G580">
        <v>21.323215961456299</v>
      </c>
      <c r="H580">
        <v>60</v>
      </c>
      <c r="I580">
        <v>63</v>
      </c>
      <c r="J580">
        <v>30</v>
      </c>
    </row>
    <row r="581" spans="1:10" x14ac:dyDescent="0.25">
      <c r="A581" t="s">
        <v>10</v>
      </c>
      <c r="B581" t="s">
        <v>19</v>
      </c>
      <c r="C581" t="s">
        <v>18</v>
      </c>
      <c r="D581" t="s">
        <v>17</v>
      </c>
      <c r="E581">
        <v>0.58333333333333304</v>
      </c>
      <c r="F581">
        <v>0.76292844133611104</v>
      </c>
      <c r="G581">
        <v>21.544281482696501</v>
      </c>
      <c r="H581">
        <v>54</v>
      </c>
      <c r="I581">
        <v>58</v>
      </c>
      <c r="J581">
        <v>30</v>
      </c>
    </row>
    <row r="582" spans="1:10" x14ac:dyDescent="0.25">
      <c r="A582" t="s">
        <v>10</v>
      </c>
      <c r="B582" t="s">
        <v>19</v>
      </c>
      <c r="C582" t="s">
        <v>18</v>
      </c>
      <c r="D582" t="s">
        <v>17</v>
      </c>
      <c r="E582">
        <v>0.72222222222222199</v>
      </c>
      <c r="F582">
        <v>0.79877620997499998</v>
      </c>
      <c r="G582">
        <v>21.611831188201901</v>
      </c>
      <c r="H582">
        <v>59</v>
      </c>
      <c r="I582">
        <v>61</v>
      </c>
      <c r="J582">
        <v>30</v>
      </c>
    </row>
    <row r="583" spans="1:10" x14ac:dyDescent="0.25">
      <c r="A583" t="s">
        <v>10</v>
      </c>
      <c r="B583" t="s">
        <v>19</v>
      </c>
      <c r="C583" t="s">
        <v>18</v>
      </c>
      <c r="D583" t="s">
        <v>17</v>
      </c>
      <c r="E583">
        <v>0.55555555555555503</v>
      </c>
      <c r="F583">
        <v>0.74441204571111097</v>
      </c>
      <c r="G583">
        <v>21.6324653625488</v>
      </c>
      <c r="H583">
        <v>57</v>
      </c>
      <c r="I583">
        <v>56</v>
      </c>
      <c r="J583">
        <v>30</v>
      </c>
    </row>
    <row r="584" spans="1:10" x14ac:dyDescent="0.25">
      <c r="A584" t="s">
        <v>10</v>
      </c>
      <c r="B584" t="s">
        <v>19</v>
      </c>
      <c r="C584" t="s">
        <v>18</v>
      </c>
      <c r="D584" t="s">
        <v>17</v>
      </c>
      <c r="E584">
        <v>0.77777777777777701</v>
      </c>
      <c r="F584">
        <v>0.80593260421944402</v>
      </c>
      <c r="G584">
        <v>21.7689869403839</v>
      </c>
      <c r="H584">
        <v>61</v>
      </c>
      <c r="I584">
        <v>65</v>
      </c>
      <c r="J584">
        <v>30</v>
      </c>
    </row>
    <row r="585" spans="1:10" x14ac:dyDescent="0.25">
      <c r="A585" t="s">
        <v>10</v>
      </c>
      <c r="B585" t="s">
        <v>19</v>
      </c>
      <c r="C585" t="s">
        <v>18</v>
      </c>
      <c r="D585" t="s">
        <v>17</v>
      </c>
      <c r="E585">
        <v>0.69444444444444398</v>
      </c>
      <c r="F585">
        <v>0.79200773061944396</v>
      </c>
      <c r="G585">
        <v>21.810992240905701</v>
      </c>
      <c r="H585">
        <v>57</v>
      </c>
      <c r="I585">
        <v>51</v>
      </c>
      <c r="J585">
        <v>30</v>
      </c>
    </row>
    <row r="586" spans="1:10" x14ac:dyDescent="0.25">
      <c r="A586" t="s">
        <v>10</v>
      </c>
      <c r="B586" t="s">
        <v>19</v>
      </c>
      <c r="C586" t="s">
        <v>18</v>
      </c>
      <c r="D586" t="s">
        <v>17</v>
      </c>
      <c r="E586">
        <v>0.75</v>
      </c>
      <c r="F586">
        <v>0.79557964789166602</v>
      </c>
      <c r="G586">
        <v>21.924957752227701</v>
      </c>
      <c r="H586">
        <v>59</v>
      </c>
      <c r="I586">
        <v>65</v>
      </c>
      <c r="J586">
        <v>30</v>
      </c>
    </row>
    <row r="587" spans="1:10" x14ac:dyDescent="0.25">
      <c r="A587" t="s">
        <v>10</v>
      </c>
      <c r="B587" t="s">
        <v>19</v>
      </c>
      <c r="C587" t="s">
        <v>18</v>
      </c>
      <c r="D587" t="s">
        <v>17</v>
      </c>
      <c r="E587">
        <v>0.66666666666666596</v>
      </c>
      <c r="F587">
        <v>0.77791105140833305</v>
      </c>
      <c r="G587">
        <v>21.932234048843299</v>
      </c>
      <c r="H587">
        <v>61</v>
      </c>
      <c r="I587">
        <v>58</v>
      </c>
      <c r="J587">
        <v>30</v>
      </c>
    </row>
    <row r="588" spans="1:10" x14ac:dyDescent="0.25">
      <c r="A588" t="s">
        <v>10</v>
      </c>
      <c r="B588" t="s">
        <v>19</v>
      </c>
      <c r="C588" t="s">
        <v>18</v>
      </c>
      <c r="D588" t="s">
        <v>17</v>
      </c>
      <c r="E588">
        <v>0.63888888888888795</v>
      </c>
      <c r="F588">
        <v>0.77378619182222197</v>
      </c>
      <c r="G588">
        <v>22.072021961212101</v>
      </c>
      <c r="H588">
        <v>56</v>
      </c>
      <c r="I588">
        <v>57</v>
      </c>
      <c r="J588">
        <v>30</v>
      </c>
    </row>
    <row r="589" spans="1:10" x14ac:dyDescent="0.25">
      <c r="A589" t="s">
        <v>10</v>
      </c>
      <c r="B589" t="s">
        <v>19</v>
      </c>
      <c r="C589" t="s">
        <v>18</v>
      </c>
      <c r="D589" t="s">
        <v>17</v>
      </c>
      <c r="E589">
        <v>0.69444444444444398</v>
      </c>
      <c r="F589">
        <v>0.77426148220555502</v>
      </c>
      <c r="G589">
        <v>22.0511920452117</v>
      </c>
      <c r="H589">
        <v>57</v>
      </c>
      <c r="I589">
        <v>55</v>
      </c>
      <c r="J589">
        <v>30</v>
      </c>
    </row>
    <row r="590" spans="1:10" x14ac:dyDescent="0.25">
      <c r="A590" t="s">
        <v>10</v>
      </c>
      <c r="B590" t="s">
        <v>19</v>
      </c>
      <c r="C590" t="s">
        <v>18</v>
      </c>
      <c r="D590" t="s">
        <v>17</v>
      </c>
      <c r="E590">
        <v>0.61111111111111105</v>
      </c>
      <c r="F590">
        <v>0.773406466488888</v>
      </c>
      <c r="G590">
        <v>22.162558794021599</v>
      </c>
      <c r="H590">
        <v>49</v>
      </c>
      <c r="I590">
        <v>47</v>
      </c>
      <c r="J590">
        <v>30</v>
      </c>
    </row>
    <row r="591" spans="1:10" x14ac:dyDescent="0.25">
      <c r="A591" t="s">
        <v>10</v>
      </c>
      <c r="B591" t="s">
        <v>19</v>
      </c>
      <c r="C591" t="s">
        <v>18</v>
      </c>
      <c r="D591" t="s">
        <v>17</v>
      </c>
      <c r="E591">
        <v>0.61111111111111105</v>
      </c>
      <c r="F591">
        <v>0.76810750381666604</v>
      </c>
      <c r="G591">
        <v>22.2783331871032</v>
      </c>
      <c r="H591">
        <v>65</v>
      </c>
      <c r="I591">
        <v>61</v>
      </c>
      <c r="J591">
        <v>30</v>
      </c>
    </row>
    <row r="592" spans="1:10" x14ac:dyDescent="0.25">
      <c r="A592" t="s">
        <v>10</v>
      </c>
      <c r="B592" t="s">
        <v>19</v>
      </c>
      <c r="C592" t="s">
        <v>18</v>
      </c>
      <c r="D592" t="s">
        <v>17</v>
      </c>
      <c r="E592">
        <v>0.58333333333333304</v>
      </c>
      <c r="F592">
        <v>0.75835375238611102</v>
      </c>
      <c r="G592">
        <v>22.299294233322101</v>
      </c>
      <c r="H592">
        <v>58</v>
      </c>
      <c r="I592">
        <v>58</v>
      </c>
      <c r="J592">
        <v>30</v>
      </c>
    </row>
    <row r="593" spans="1:10" x14ac:dyDescent="0.25">
      <c r="A593" t="s">
        <v>10</v>
      </c>
      <c r="B593" t="s">
        <v>19</v>
      </c>
      <c r="C593" t="s">
        <v>18</v>
      </c>
      <c r="D593" t="s">
        <v>17</v>
      </c>
      <c r="E593">
        <v>0.83333333333333304</v>
      </c>
      <c r="F593">
        <v>0.80759150027222204</v>
      </c>
      <c r="G593">
        <v>22.315955162048301</v>
      </c>
      <c r="H593">
        <v>60</v>
      </c>
      <c r="I593">
        <v>64</v>
      </c>
      <c r="J593">
        <v>30</v>
      </c>
    </row>
    <row r="594" spans="1:10" x14ac:dyDescent="0.25">
      <c r="A594" t="s">
        <v>10</v>
      </c>
      <c r="B594" t="s">
        <v>19</v>
      </c>
      <c r="C594" t="s">
        <v>18</v>
      </c>
      <c r="D594" t="s">
        <v>17</v>
      </c>
      <c r="E594">
        <v>0.63888888888888795</v>
      </c>
      <c r="F594">
        <v>0.76807465292777699</v>
      </c>
      <c r="G594">
        <v>22.3569123744964</v>
      </c>
      <c r="H594">
        <v>48</v>
      </c>
      <c r="I594">
        <v>48</v>
      </c>
      <c r="J594">
        <v>30</v>
      </c>
    </row>
    <row r="595" spans="1:10" x14ac:dyDescent="0.25">
      <c r="A595" t="s">
        <v>10</v>
      </c>
      <c r="B595" t="s">
        <v>19</v>
      </c>
      <c r="C595" t="s">
        <v>18</v>
      </c>
      <c r="D595" t="s">
        <v>17</v>
      </c>
      <c r="E595">
        <v>0.66666666666666596</v>
      </c>
      <c r="F595">
        <v>0.78633277089722198</v>
      </c>
      <c r="G595">
        <v>22.370032310485801</v>
      </c>
      <c r="H595">
        <v>62</v>
      </c>
      <c r="I595">
        <v>63</v>
      </c>
      <c r="J595">
        <v>30</v>
      </c>
    </row>
    <row r="596" spans="1:10" x14ac:dyDescent="0.25">
      <c r="A596" t="s">
        <v>10</v>
      </c>
      <c r="B596" t="s">
        <v>19</v>
      </c>
      <c r="C596" t="s">
        <v>18</v>
      </c>
      <c r="D596" t="s">
        <v>17</v>
      </c>
      <c r="E596">
        <v>0.61111111111111105</v>
      </c>
      <c r="F596">
        <v>0.77017179882777698</v>
      </c>
      <c r="G596">
        <v>22.392872095108</v>
      </c>
      <c r="H596">
        <v>58</v>
      </c>
      <c r="I596">
        <v>58</v>
      </c>
      <c r="J596">
        <v>30</v>
      </c>
    </row>
    <row r="597" spans="1:10" x14ac:dyDescent="0.25">
      <c r="A597" t="s">
        <v>10</v>
      </c>
      <c r="B597" t="s">
        <v>19</v>
      </c>
      <c r="C597" t="s">
        <v>18</v>
      </c>
      <c r="D597" t="s">
        <v>17</v>
      </c>
      <c r="E597">
        <v>0.66666666666666596</v>
      </c>
      <c r="F597">
        <v>0.779067662105555</v>
      </c>
      <c r="G597">
        <v>22.458117723464898</v>
      </c>
      <c r="H597">
        <v>58</v>
      </c>
      <c r="I597">
        <v>56</v>
      </c>
      <c r="J597">
        <v>30</v>
      </c>
    </row>
    <row r="598" spans="1:10" x14ac:dyDescent="0.25">
      <c r="A598" t="s">
        <v>10</v>
      </c>
      <c r="B598" t="s">
        <v>19</v>
      </c>
      <c r="C598" t="s">
        <v>18</v>
      </c>
      <c r="D598" t="s">
        <v>17</v>
      </c>
      <c r="E598">
        <v>0.5</v>
      </c>
      <c r="F598">
        <v>0.74255535208888801</v>
      </c>
      <c r="G598">
        <v>22.5325572490692</v>
      </c>
      <c r="H598">
        <v>61</v>
      </c>
      <c r="I598">
        <v>61</v>
      </c>
      <c r="J598">
        <v>30</v>
      </c>
    </row>
    <row r="599" spans="1:10" x14ac:dyDescent="0.25">
      <c r="A599" t="s">
        <v>10</v>
      </c>
      <c r="B599" t="s">
        <v>19</v>
      </c>
      <c r="C599" t="s">
        <v>18</v>
      </c>
      <c r="D599" t="s">
        <v>17</v>
      </c>
      <c r="E599">
        <v>0.63888888888888795</v>
      </c>
      <c r="F599">
        <v>0.770309555233333</v>
      </c>
      <c r="G599">
        <v>22.5424547195434</v>
      </c>
      <c r="H599">
        <v>60</v>
      </c>
      <c r="I599">
        <v>60</v>
      </c>
      <c r="J599">
        <v>30</v>
      </c>
    </row>
    <row r="600" spans="1:10" x14ac:dyDescent="0.25">
      <c r="A600" t="s">
        <v>10</v>
      </c>
      <c r="B600" t="s">
        <v>19</v>
      </c>
      <c r="C600" t="s">
        <v>18</v>
      </c>
      <c r="D600" t="s">
        <v>17</v>
      </c>
      <c r="E600">
        <v>0.75</v>
      </c>
      <c r="F600">
        <v>0.795974662038888</v>
      </c>
      <c r="G600">
        <v>22.558751344680701</v>
      </c>
      <c r="H600">
        <v>57</v>
      </c>
      <c r="I600">
        <v>61</v>
      </c>
      <c r="J600">
        <v>30</v>
      </c>
    </row>
    <row r="601" spans="1:10" x14ac:dyDescent="0.25">
      <c r="A601" t="s">
        <v>10</v>
      </c>
      <c r="B601" t="s">
        <v>19</v>
      </c>
      <c r="C601" t="s">
        <v>18</v>
      </c>
      <c r="D601" t="s">
        <v>17</v>
      </c>
      <c r="E601">
        <v>0.72222222222222199</v>
      </c>
      <c r="F601">
        <v>0.78729481088333297</v>
      </c>
      <c r="G601">
        <v>22.610768318176198</v>
      </c>
      <c r="H601">
        <v>62</v>
      </c>
      <c r="I601">
        <v>63</v>
      </c>
      <c r="J601">
        <v>30</v>
      </c>
    </row>
    <row r="602" spans="1:10" x14ac:dyDescent="0.25">
      <c r="A602" t="s">
        <v>10</v>
      </c>
      <c r="B602" t="s">
        <v>20</v>
      </c>
      <c r="C602" t="s">
        <v>12</v>
      </c>
      <c r="D602" t="s">
        <v>13</v>
      </c>
      <c r="E602">
        <v>0.91666666666666596</v>
      </c>
      <c r="F602">
        <v>0.92266353102499998</v>
      </c>
      <c r="G602">
        <v>4.2904129028320304</v>
      </c>
      <c r="H602">
        <v>6</v>
      </c>
      <c r="I602">
        <v>6</v>
      </c>
      <c r="J602">
        <v>30</v>
      </c>
    </row>
    <row r="603" spans="1:10" x14ac:dyDescent="0.25">
      <c r="A603" t="s">
        <v>10</v>
      </c>
      <c r="B603" t="s">
        <v>20</v>
      </c>
      <c r="C603" t="s">
        <v>12</v>
      </c>
      <c r="D603" t="s">
        <v>13</v>
      </c>
      <c r="E603">
        <v>0.97222222222222199</v>
      </c>
      <c r="F603">
        <v>0.96533906756388799</v>
      </c>
      <c r="G603">
        <v>4.3290088176727197</v>
      </c>
      <c r="H603">
        <v>7</v>
      </c>
      <c r="I603">
        <v>8</v>
      </c>
      <c r="J603">
        <v>30</v>
      </c>
    </row>
    <row r="604" spans="1:10" x14ac:dyDescent="0.25">
      <c r="A604" t="s">
        <v>10</v>
      </c>
      <c r="B604" t="s">
        <v>20</v>
      </c>
      <c r="C604" t="s">
        <v>12</v>
      </c>
      <c r="D604" t="s">
        <v>13</v>
      </c>
      <c r="E604">
        <v>0.91666666666666596</v>
      </c>
      <c r="F604">
        <v>0.90891138724999998</v>
      </c>
      <c r="G604">
        <v>4.52532529830932</v>
      </c>
      <c r="H604">
        <v>7</v>
      </c>
      <c r="I604">
        <v>7</v>
      </c>
      <c r="J604">
        <v>30</v>
      </c>
    </row>
    <row r="605" spans="1:10" x14ac:dyDescent="0.25">
      <c r="A605" t="s">
        <v>10</v>
      </c>
      <c r="B605" t="s">
        <v>20</v>
      </c>
      <c r="C605" t="s">
        <v>12</v>
      </c>
      <c r="D605" t="s">
        <v>13</v>
      </c>
      <c r="E605">
        <v>0.88888888888888795</v>
      </c>
      <c r="F605">
        <v>0.90741336483611101</v>
      </c>
      <c r="G605">
        <v>4.9102404117584202</v>
      </c>
      <c r="H605">
        <v>8</v>
      </c>
      <c r="I605">
        <v>8</v>
      </c>
      <c r="J605">
        <v>30</v>
      </c>
    </row>
    <row r="606" spans="1:10" x14ac:dyDescent="0.25">
      <c r="A606" t="s">
        <v>10</v>
      </c>
      <c r="B606" t="s">
        <v>20</v>
      </c>
      <c r="C606" t="s">
        <v>12</v>
      </c>
      <c r="D606" t="s">
        <v>13</v>
      </c>
      <c r="E606">
        <v>0.88888888888888795</v>
      </c>
      <c r="F606">
        <v>0.90399308117499999</v>
      </c>
      <c r="G606">
        <v>4.9321999549865696</v>
      </c>
      <c r="H606">
        <v>7</v>
      </c>
      <c r="I606">
        <v>7</v>
      </c>
      <c r="J606">
        <v>30</v>
      </c>
    </row>
    <row r="607" spans="1:10" x14ac:dyDescent="0.25">
      <c r="A607" t="s">
        <v>10</v>
      </c>
      <c r="B607" t="s">
        <v>20</v>
      </c>
      <c r="C607" t="s">
        <v>12</v>
      </c>
      <c r="D607" t="s">
        <v>13</v>
      </c>
      <c r="E607">
        <v>0.94444444444444398</v>
      </c>
      <c r="F607">
        <v>0.94493547105555498</v>
      </c>
      <c r="G607">
        <v>5.0602419376373202</v>
      </c>
      <c r="H607">
        <v>9</v>
      </c>
      <c r="I607">
        <v>9</v>
      </c>
      <c r="J607">
        <v>30</v>
      </c>
    </row>
    <row r="608" spans="1:10" x14ac:dyDescent="0.25">
      <c r="A608" t="s">
        <v>10</v>
      </c>
      <c r="B608" t="s">
        <v>20</v>
      </c>
      <c r="C608" t="s">
        <v>12</v>
      </c>
      <c r="D608" t="s">
        <v>13</v>
      </c>
      <c r="E608">
        <v>0.94444444444444398</v>
      </c>
      <c r="F608">
        <v>0.93701630032222205</v>
      </c>
      <c r="G608">
        <v>5.13256382942199</v>
      </c>
      <c r="H608">
        <v>8</v>
      </c>
      <c r="I608">
        <v>9</v>
      </c>
      <c r="J608">
        <v>30</v>
      </c>
    </row>
    <row r="609" spans="1:10" x14ac:dyDescent="0.25">
      <c r="A609" t="s">
        <v>10</v>
      </c>
      <c r="B609" t="s">
        <v>20</v>
      </c>
      <c r="C609" t="s">
        <v>12</v>
      </c>
      <c r="D609" t="s">
        <v>13</v>
      </c>
      <c r="E609">
        <v>0.97222222222222199</v>
      </c>
      <c r="F609">
        <v>0.96555357925555496</v>
      </c>
      <c r="G609">
        <v>5.2212023735046298</v>
      </c>
      <c r="H609">
        <v>8</v>
      </c>
      <c r="I609">
        <v>9</v>
      </c>
      <c r="J609">
        <v>30</v>
      </c>
    </row>
    <row r="610" spans="1:10" x14ac:dyDescent="0.25">
      <c r="A610" t="s">
        <v>10</v>
      </c>
      <c r="B610" t="s">
        <v>20</v>
      </c>
      <c r="C610" t="s">
        <v>12</v>
      </c>
      <c r="D610" t="s">
        <v>13</v>
      </c>
      <c r="E610">
        <v>0.97222222222222199</v>
      </c>
      <c r="F610">
        <v>0.97000823834444405</v>
      </c>
      <c r="G610">
        <v>5.3676896095275799</v>
      </c>
      <c r="H610">
        <v>8</v>
      </c>
      <c r="I610">
        <v>9</v>
      </c>
      <c r="J610">
        <v>30</v>
      </c>
    </row>
    <row r="611" spans="1:10" x14ac:dyDescent="0.25">
      <c r="A611" t="s">
        <v>10</v>
      </c>
      <c r="B611" t="s">
        <v>20</v>
      </c>
      <c r="C611" t="s">
        <v>12</v>
      </c>
      <c r="D611" t="s">
        <v>13</v>
      </c>
      <c r="E611">
        <v>0.88888888888888795</v>
      </c>
      <c r="F611">
        <v>0.89685166049999998</v>
      </c>
      <c r="G611">
        <v>5.3672704696655202</v>
      </c>
      <c r="H611">
        <v>7</v>
      </c>
      <c r="I611">
        <v>8</v>
      </c>
      <c r="J611">
        <v>30</v>
      </c>
    </row>
    <row r="612" spans="1:10" x14ac:dyDescent="0.25">
      <c r="A612" t="s">
        <v>10</v>
      </c>
      <c r="B612" t="s">
        <v>20</v>
      </c>
      <c r="C612" t="s">
        <v>12</v>
      </c>
      <c r="D612" t="s">
        <v>13</v>
      </c>
      <c r="E612">
        <v>0.86111111111111105</v>
      </c>
      <c r="F612">
        <v>0.87102481875555504</v>
      </c>
      <c r="G612">
        <v>5.4162492752075098</v>
      </c>
      <c r="H612">
        <v>8</v>
      </c>
      <c r="I612">
        <v>8</v>
      </c>
      <c r="J612">
        <v>30</v>
      </c>
    </row>
    <row r="613" spans="1:10" x14ac:dyDescent="0.25">
      <c r="A613" t="s">
        <v>10</v>
      </c>
      <c r="B613" t="s">
        <v>20</v>
      </c>
      <c r="C613" t="s">
        <v>12</v>
      </c>
      <c r="D613" t="s">
        <v>13</v>
      </c>
      <c r="E613">
        <v>0.97222222222222199</v>
      </c>
      <c r="F613">
        <v>0.95322996257777703</v>
      </c>
      <c r="G613">
        <v>5.6667554378509504</v>
      </c>
      <c r="H613">
        <v>8</v>
      </c>
      <c r="I613">
        <v>8</v>
      </c>
      <c r="J613">
        <v>30</v>
      </c>
    </row>
    <row r="614" spans="1:10" x14ac:dyDescent="0.25">
      <c r="A614" t="s">
        <v>10</v>
      </c>
      <c r="B614" t="s">
        <v>20</v>
      </c>
      <c r="C614" t="s">
        <v>12</v>
      </c>
      <c r="D614" t="s">
        <v>13</v>
      </c>
      <c r="E614">
        <v>0.91666666666666596</v>
      </c>
      <c r="F614">
        <v>0.92377935027777702</v>
      </c>
      <c r="G614">
        <v>5.6707589626312203</v>
      </c>
      <c r="H614">
        <v>6</v>
      </c>
      <c r="I614">
        <v>6</v>
      </c>
      <c r="J614">
        <v>30</v>
      </c>
    </row>
    <row r="615" spans="1:10" x14ac:dyDescent="0.25">
      <c r="A615" t="s">
        <v>10</v>
      </c>
      <c r="B615" t="s">
        <v>20</v>
      </c>
      <c r="C615" t="s">
        <v>12</v>
      </c>
      <c r="D615" t="s">
        <v>13</v>
      </c>
      <c r="E615">
        <v>0.91666666666666596</v>
      </c>
      <c r="F615">
        <v>0.93859867385555495</v>
      </c>
      <c r="G615">
        <v>5.6782877445220903</v>
      </c>
      <c r="H615">
        <v>7</v>
      </c>
      <c r="I615">
        <v>7</v>
      </c>
      <c r="J615">
        <v>30</v>
      </c>
    </row>
    <row r="616" spans="1:10" x14ac:dyDescent="0.25">
      <c r="A616" t="s">
        <v>10</v>
      </c>
      <c r="B616" t="s">
        <v>20</v>
      </c>
      <c r="C616" t="s">
        <v>12</v>
      </c>
      <c r="D616" t="s">
        <v>13</v>
      </c>
      <c r="E616">
        <v>0.94444444444444398</v>
      </c>
      <c r="F616">
        <v>0.94350123388888796</v>
      </c>
      <c r="G616">
        <v>5.8206369876861501</v>
      </c>
      <c r="H616">
        <v>9</v>
      </c>
      <c r="I616">
        <v>9</v>
      </c>
      <c r="J616">
        <v>30</v>
      </c>
    </row>
    <row r="617" spans="1:10" x14ac:dyDescent="0.25">
      <c r="A617" t="s">
        <v>10</v>
      </c>
      <c r="B617" t="s">
        <v>20</v>
      </c>
      <c r="C617" t="s">
        <v>12</v>
      </c>
      <c r="D617" t="s">
        <v>13</v>
      </c>
      <c r="E617">
        <v>0.97222222222222199</v>
      </c>
      <c r="F617">
        <v>0.96941543720000001</v>
      </c>
      <c r="G617">
        <v>6.0102450847625697</v>
      </c>
      <c r="H617">
        <v>8</v>
      </c>
      <c r="I617">
        <v>9</v>
      </c>
      <c r="J617">
        <v>30</v>
      </c>
    </row>
    <row r="618" spans="1:10" x14ac:dyDescent="0.25">
      <c r="A618" t="s">
        <v>10</v>
      </c>
      <c r="B618" t="s">
        <v>20</v>
      </c>
      <c r="C618" t="s">
        <v>12</v>
      </c>
      <c r="D618" t="s">
        <v>13</v>
      </c>
      <c r="E618">
        <v>0.88888888888888795</v>
      </c>
      <c r="F618">
        <v>0.91003560947777695</v>
      </c>
      <c r="G618">
        <v>6.0630838871002197</v>
      </c>
      <c r="H618">
        <v>8</v>
      </c>
      <c r="I618">
        <v>10</v>
      </c>
      <c r="J618">
        <v>30</v>
      </c>
    </row>
    <row r="619" spans="1:10" x14ac:dyDescent="0.25">
      <c r="A619" t="s">
        <v>10</v>
      </c>
      <c r="B619" t="s">
        <v>20</v>
      </c>
      <c r="C619" t="s">
        <v>12</v>
      </c>
      <c r="D619" t="s">
        <v>13</v>
      </c>
      <c r="E619">
        <v>0.88888888888888795</v>
      </c>
      <c r="F619">
        <v>0.900678294144444</v>
      </c>
      <c r="G619">
        <v>6.0610277652740399</v>
      </c>
      <c r="H619">
        <v>7</v>
      </c>
      <c r="I619">
        <v>8</v>
      </c>
      <c r="J619">
        <v>30</v>
      </c>
    </row>
    <row r="620" spans="1:10" x14ac:dyDescent="0.25">
      <c r="A620" t="s">
        <v>10</v>
      </c>
      <c r="B620" t="s">
        <v>20</v>
      </c>
      <c r="C620" t="s">
        <v>12</v>
      </c>
      <c r="D620" t="s">
        <v>13</v>
      </c>
      <c r="E620">
        <v>0.94444444444444398</v>
      </c>
      <c r="F620">
        <v>0.93879921417777701</v>
      </c>
      <c r="G620">
        <v>6.0993626117706299</v>
      </c>
      <c r="H620">
        <v>9</v>
      </c>
      <c r="I620">
        <v>9</v>
      </c>
      <c r="J620">
        <v>30</v>
      </c>
    </row>
    <row r="621" spans="1:10" x14ac:dyDescent="0.25">
      <c r="A621" t="s">
        <v>10</v>
      </c>
      <c r="B621" t="s">
        <v>20</v>
      </c>
      <c r="C621" t="s">
        <v>12</v>
      </c>
      <c r="D621" t="s">
        <v>13</v>
      </c>
      <c r="E621">
        <v>0.94444444444444398</v>
      </c>
      <c r="F621">
        <v>0.94159145595555505</v>
      </c>
      <c r="G621">
        <v>6.1038658618927002</v>
      </c>
      <c r="H621">
        <v>9</v>
      </c>
      <c r="I621">
        <v>9</v>
      </c>
      <c r="J621">
        <v>30</v>
      </c>
    </row>
    <row r="622" spans="1:10" x14ac:dyDescent="0.25">
      <c r="A622" t="s">
        <v>10</v>
      </c>
      <c r="B622" t="s">
        <v>20</v>
      </c>
      <c r="C622" t="s">
        <v>12</v>
      </c>
      <c r="D622" t="s">
        <v>13</v>
      </c>
      <c r="E622">
        <v>1</v>
      </c>
      <c r="F622">
        <v>0.99128359287500001</v>
      </c>
      <c r="G622">
        <v>6.2174429893493599</v>
      </c>
      <c r="H622">
        <v>8</v>
      </c>
      <c r="I622">
        <v>9</v>
      </c>
      <c r="J622">
        <v>30</v>
      </c>
    </row>
    <row r="623" spans="1:10" x14ac:dyDescent="0.25">
      <c r="A623" t="s">
        <v>10</v>
      </c>
      <c r="B623" t="s">
        <v>20</v>
      </c>
      <c r="C623" t="s">
        <v>12</v>
      </c>
      <c r="D623" t="s">
        <v>13</v>
      </c>
      <c r="E623">
        <v>0.94444444444444398</v>
      </c>
      <c r="F623">
        <v>0.94196593812499996</v>
      </c>
      <c r="G623">
        <v>6.2296967506408603</v>
      </c>
      <c r="H623">
        <v>10</v>
      </c>
      <c r="I623">
        <v>11</v>
      </c>
      <c r="J623">
        <v>30</v>
      </c>
    </row>
    <row r="624" spans="1:10" x14ac:dyDescent="0.25">
      <c r="A624" t="s">
        <v>10</v>
      </c>
      <c r="B624" t="s">
        <v>20</v>
      </c>
      <c r="C624" t="s">
        <v>12</v>
      </c>
      <c r="D624" t="s">
        <v>13</v>
      </c>
      <c r="E624">
        <v>0.94444444444444398</v>
      </c>
      <c r="F624">
        <v>0.94848493955555502</v>
      </c>
      <c r="G624">
        <v>6.2677116394042898</v>
      </c>
      <c r="H624">
        <v>10</v>
      </c>
      <c r="I624">
        <v>10</v>
      </c>
      <c r="J624">
        <v>30</v>
      </c>
    </row>
    <row r="625" spans="1:10" x14ac:dyDescent="0.25">
      <c r="A625" t="s">
        <v>10</v>
      </c>
      <c r="B625" t="s">
        <v>20</v>
      </c>
      <c r="C625" t="s">
        <v>12</v>
      </c>
      <c r="D625" t="s">
        <v>13</v>
      </c>
      <c r="E625">
        <v>0.94444444444444398</v>
      </c>
      <c r="F625">
        <v>0.94696660767499996</v>
      </c>
      <c r="G625">
        <v>6.38614630699157</v>
      </c>
      <c r="H625">
        <v>7</v>
      </c>
      <c r="I625">
        <v>8</v>
      </c>
      <c r="J625">
        <v>30</v>
      </c>
    </row>
    <row r="626" spans="1:10" x14ac:dyDescent="0.25">
      <c r="A626" t="s">
        <v>10</v>
      </c>
      <c r="B626" t="s">
        <v>20</v>
      </c>
      <c r="C626" t="s">
        <v>12</v>
      </c>
      <c r="D626" t="s">
        <v>13</v>
      </c>
      <c r="E626">
        <v>0.94444444444444398</v>
      </c>
      <c r="F626">
        <v>0.94685510009444396</v>
      </c>
      <c r="G626">
        <v>6.3872885704040501</v>
      </c>
      <c r="H626">
        <v>8</v>
      </c>
      <c r="I626">
        <v>9</v>
      </c>
      <c r="J626">
        <v>30</v>
      </c>
    </row>
    <row r="627" spans="1:10" x14ac:dyDescent="0.25">
      <c r="A627" t="s">
        <v>10</v>
      </c>
      <c r="B627" t="s">
        <v>20</v>
      </c>
      <c r="C627" t="s">
        <v>12</v>
      </c>
      <c r="D627" t="s">
        <v>13</v>
      </c>
      <c r="E627">
        <v>0.83333333333333304</v>
      </c>
      <c r="F627">
        <v>0.88117408369999894</v>
      </c>
      <c r="G627">
        <v>6.4311068058013898</v>
      </c>
      <c r="H627">
        <v>8</v>
      </c>
      <c r="I627">
        <v>8</v>
      </c>
      <c r="J627">
        <v>30</v>
      </c>
    </row>
    <row r="628" spans="1:10" x14ac:dyDescent="0.25">
      <c r="A628" t="s">
        <v>10</v>
      </c>
      <c r="B628" t="s">
        <v>20</v>
      </c>
      <c r="C628" t="s">
        <v>12</v>
      </c>
      <c r="D628" t="s">
        <v>13</v>
      </c>
      <c r="E628">
        <v>0.86111111111111105</v>
      </c>
      <c r="F628">
        <v>0.86569062291944399</v>
      </c>
      <c r="G628">
        <v>6.4499664306640598</v>
      </c>
      <c r="H628">
        <v>8</v>
      </c>
      <c r="I628">
        <v>9</v>
      </c>
      <c r="J628">
        <v>30</v>
      </c>
    </row>
    <row r="629" spans="1:10" x14ac:dyDescent="0.25">
      <c r="A629" t="s">
        <v>10</v>
      </c>
      <c r="B629" t="s">
        <v>20</v>
      </c>
      <c r="C629" t="s">
        <v>12</v>
      </c>
      <c r="D629" t="s">
        <v>13</v>
      </c>
      <c r="E629">
        <v>0.86111111111111105</v>
      </c>
      <c r="F629">
        <v>0.87601585772222201</v>
      </c>
      <c r="G629">
        <v>6.4938313961028999</v>
      </c>
      <c r="H629">
        <v>8</v>
      </c>
      <c r="I629">
        <v>9</v>
      </c>
      <c r="J629">
        <v>30</v>
      </c>
    </row>
    <row r="630" spans="1:10" x14ac:dyDescent="0.25">
      <c r="A630" t="s">
        <v>10</v>
      </c>
      <c r="B630" t="s">
        <v>20</v>
      </c>
      <c r="C630" t="s">
        <v>12</v>
      </c>
      <c r="D630" t="s">
        <v>13</v>
      </c>
      <c r="E630">
        <v>0.91666666666666596</v>
      </c>
      <c r="F630">
        <v>0.93417918285833301</v>
      </c>
      <c r="G630">
        <v>6.50359654426574</v>
      </c>
      <c r="H630">
        <v>9</v>
      </c>
      <c r="I630">
        <v>9</v>
      </c>
      <c r="J630">
        <v>30</v>
      </c>
    </row>
    <row r="631" spans="1:10" x14ac:dyDescent="0.25">
      <c r="A631" t="s">
        <v>10</v>
      </c>
      <c r="B631" t="s">
        <v>20</v>
      </c>
      <c r="C631" t="s">
        <v>12</v>
      </c>
      <c r="D631" t="s">
        <v>13</v>
      </c>
      <c r="E631">
        <v>0.97222222222222199</v>
      </c>
      <c r="F631">
        <v>0.96532994505555503</v>
      </c>
      <c r="G631">
        <v>6.5277523994445801</v>
      </c>
      <c r="H631">
        <v>9</v>
      </c>
      <c r="I631">
        <v>10</v>
      </c>
      <c r="J631">
        <v>30</v>
      </c>
    </row>
    <row r="632" spans="1:10" x14ac:dyDescent="0.25">
      <c r="A632" t="s">
        <v>10</v>
      </c>
      <c r="B632" t="s">
        <v>20</v>
      </c>
      <c r="C632" t="s">
        <v>12</v>
      </c>
      <c r="D632" t="s">
        <v>14</v>
      </c>
      <c r="E632">
        <v>0.22222222222222199</v>
      </c>
      <c r="F632">
        <v>0.79661125104722197</v>
      </c>
      <c r="G632">
        <v>0.91015028953552202</v>
      </c>
      <c r="H632">
        <v>2</v>
      </c>
      <c r="I632">
        <v>2</v>
      </c>
      <c r="J632">
        <v>30</v>
      </c>
    </row>
    <row r="633" spans="1:10" x14ac:dyDescent="0.25">
      <c r="A633" t="s">
        <v>10</v>
      </c>
      <c r="B633" t="s">
        <v>20</v>
      </c>
      <c r="C633" t="s">
        <v>12</v>
      </c>
      <c r="D633" t="s">
        <v>14</v>
      </c>
      <c r="E633">
        <v>0.30555555555555503</v>
      </c>
      <c r="F633">
        <v>0.72550092469999905</v>
      </c>
      <c r="G633">
        <v>1.2913908958435001</v>
      </c>
      <c r="H633">
        <v>2</v>
      </c>
      <c r="I633">
        <v>2</v>
      </c>
      <c r="J633">
        <v>30</v>
      </c>
    </row>
    <row r="634" spans="1:10" x14ac:dyDescent="0.25">
      <c r="A634" t="s">
        <v>10</v>
      </c>
      <c r="B634" t="s">
        <v>20</v>
      </c>
      <c r="C634" t="s">
        <v>12</v>
      </c>
      <c r="D634" t="s">
        <v>14</v>
      </c>
      <c r="E634">
        <v>0.25</v>
      </c>
      <c r="F634">
        <v>0.80988521177499995</v>
      </c>
      <c r="G634">
        <v>1.5954899787902801</v>
      </c>
      <c r="H634">
        <v>1</v>
      </c>
      <c r="I634">
        <v>1</v>
      </c>
      <c r="J634">
        <v>30</v>
      </c>
    </row>
    <row r="635" spans="1:10" x14ac:dyDescent="0.25">
      <c r="A635" t="s">
        <v>10</v>
      </c>
      <c r="B635" t="s">
        <v>20</v>
      </c>
      <c r="C635" t="s">
        <v>12</v>
      </c>
      <c r="D635" t="s">
        <v>14</v>
      </c>
      <c r="E635">
        <v>0.194444444444444</v>
      </c>
      <c r="F635">
        <v>0.79145841984444398</v>
      </c>
      <c r="G635">
        <v>1.6612794399261399</v>
      </c>
      <c r="H635">
        <v>2</v>
      </c>
      <c r="I635">
        <v>2</v>
      </c>
      <c r="J635">
        <v>30</v>
      </c>
    </row>
    <row r="636" spans="1:10" x14ac:dyDescent="0.25">
      <c r="A636" t="s">
        <v>10</v>
      </c>
      <c r="B636" t="s">
        <v>20</v>
      </c>
      <c r="C636" t="s">
        <v>12</v>
      </c>
      <c r="D636" t="s">
        <v>14</v>
      </c>
      <c r="E636">
        <v>0.13888888888888801</v>
      </c>
      <c r="F636">
        <v>0.78350151909722199</v>
      </c>
      <c r="G636">
        <v>1.69374823570251</v>
      </c>
      <c r="H636">
        <v>1</v>
      </c>
      <c r="I636">
        <v>1</v>
      </c>
      <c r="J636">
        <v>30</v>
      </c>
    </row>
    <row r="637" spans="1:10" x14ac:dyDescent="0.25">
      <c r="A637" t="s">
        <v>10</v>
      </c>
      <c r="B637" t="s">
        <v>20</v>
      </c>
      <c r="C637" t="s">
        <v>12</v>
      </c>
      <c r="D637" t="s">
        <v>14</v>
      </c>
      <c r="E637">
        <v>0.22222222222222199</v>
      </c>
      <c r="F637">
        <v>0.79806958438055497</v>
      </c>
      <c r="G637">
        <v>1.70812368392944</v>
      </c>
      <c r="H637">
        <v>2</v>
      </c>
      <c r="I637">
        <v>2</v>
      </c>
      <c r="J637">
        <v>30</v>
      </c>
    </row>
    <row r="638" spans="1:10" x14ac:dyDescent="0.25">
      <c r="A638" t="s">
        <v>10</v>
      </c>
      <c r="B638" t="s">
        <v>20</v>
      </c>
      <c r="C638" t="s">
        <v>12</v>
      </c>
      <c r="D638" t="s">
        <v>14</v>
      </c>
      <c r="E638">
        <v>0.22222222222222199</v>
      </c>
      <c r="F638">
        <v>0.80333333333333301</v>
      </c>
      <c r="G638">
        <v>1.7381274700164699</v>
      </c>
      <c r="H638">
        <v>2</v>
      </c>
      <c r="I638">
        <v>2</v>
      </c>
      <c r="J638">
        <v>30</v>
      </c>
    </row>
    <row r="639" spans="1:10" x14ac:dyDescent="0.25">
      <c r="A639" t="s">
        <v>10</v>
      </c>
      <c r="B639" t="s">
        <v>20</v>
      </c>
      <c r="C639" t="s">
        <v>12</v>
      </c>
      <c r="D639" t="s">
        <v>14</v>
      </c>
      <c r="E639">
        <v>0.41666666666666602</v>
      </c>
      <c r="F639">
        <v>0.73540537232777703</v>
      </c>
      <c r="G639">
        <v>1.74112772941589</v>
      </c>
      <c r="H639">
        <v>5</v>
      </c>
      <c r="I639">
        <v>5</v>
      </c>
      <c r="J639">
        <v>30</v>
      </c>
    </row>
    <row r="640" spans="1:10" x14ac:dyDescent="0.25">
      <c r="A640" t="s">
        <v>10</v>
      </c>
      <c r="B640" t="s">
        <v>20</v>
      </c>
      <c r="C640" t="s">
        <v>12</v>
      </c>
      <c r="D640" t="s">
        <v>14</v>
      </c>
      <c r="E640">
        <v>0.22222222222222199</v>
      </c>
      <c r="F640">
        <v>0.80333333333333301</v>
      </c>
      <c r="G640">
        <v>1.76666212081909</v>
      </c>
      <c r="H640">
        <v>2</v>
      </c>
      <c r="I640">
        <v>2</v>
      </c>
      <c r="J640">
        <v>30</v>
      </c>
    </row>
    <row r="641" spans="1:10" x14ac:dyDescent="0.25">
      <c r="A641" t="s">
        <v>10</v>
      </c>
      <c r="B641" t="s">
        <v>20</v>
      </c>
      <c r="C641" t="s">
        <v>12</v>
      </c>
      <c r="D641" t="s">
        <v>14</v>
      </c>
      <c r="E641">
        <v>0.91666666666666596</v>
      </c>
      <c r="F641">
        <v>0.92066416637499904</v>
      </c>
      <c r="G641">
        <v>1.76628446578979</v>
      </c>
      <c r="H641">
        <v>8</v>
      </c>
      <c r="I641">
        <v>8</v>
      </c>
      <c r="J641">
        <v>30</v>
      </c>
    </row>
    <row r="642" spans="1:10" x14ac:dyDescent="0.25">
      <c r="A642" t="s">
        <v>10</v>
      </c>
      <c r="B642" t="s">
        <v>20</v>
      </c>
      <c r="C642" t="s">
        <v>12</v>
      </c>
      <c r="D642" t="s">
        <v>14</v>
      </c>
      <c r="E642">
        <v>0.30555555555555503</v>
      </c>
      <c r="F642">
        <v>0.80353765380833297</v>
      </c>
      <c r="G642">
        <v>1.8063054084777801</v>
      </c>
      <c r="H642">
        <v>4</v>
      </c>
      <c r="I642">
        <v>4</v>
      </c>
      <c r="J642">
        <v>30</v>
      </c>
    </row>
    <row r="643" spans="1:10" x14ac:dyDescent="0.25">
      <c r="A643" t="s">
        <v>10</v>
      </c>
      <c r="B643" t="s">
        <v>20</v>
      </c>
      <c r="C643" t="s">
        <v>12</v>
      </c>
      <c r="D643" t="s">
        <v>14</v>
      </c>
      <c r="E643">
        <v>0.33333333333333298</v>
      </c>
      <c r="F643">
        <v>0.82931758079999995</v>
      </c>
      <c r="G643">
        <v>1.82083392143249</v>
      </c>
      <c r="H643">
        <v>2</v>
      </c>
      <c r="I643">
        <v>2</v>
      </c>
      <c r="J643">
        <v>30</v>
      </c>
    </row>
    <row r="644" spans="1:10" x14ac:dyDescent="0.25">
      <c r="A644" t="s">
        <v>10</v>
      </c>
      <c r="B644" t="s">
        <v>20</v>
      </c>
      <c r="C644" t="s">
        <v>12</v>
      </c>
      <c r="D644" t="s">
        <v>14</v>
      </c>
      <c r="E644">
        <v>0.5</v>
      </c>
      <c r="F644">
        <v>0.85311674823333306</v>
      </c>
      <c r="G644">
        <v>1.8508896827697701</v>
      </c>
      <c r="H644">
        <v>2</v>
      </c>
      <c r="I644">
        <v>2</v>
      </c>
      <c r="J644">
        <v>30</v>
      </c>
    </row>
    <row r="645" spans="1:10" x14ac:dyDescent="0.25">
      <c r="A645" t="s">
        <v>10</v>
      </c>
      <c r="B645" t="s">
        <v>20</v>
      </c>
      <c r="C645" t="s">
        <v>12</v>
      </c>
      <c r="D645" t="s">
        <v>14</v>
      </c>
      <c r="E645">
        <v>0.33333333333333298</v>
      </c>
      <c r="F645">
        <v>0.82931758079999995</v>
      </c>
      <c r="G645">
        <v>1.86940693855285</v>
      </c>
      <c r="H645">
        <v>2</v>
      </c>
      <c r="I645">
        <v>2</v>
      </c>
      <c r="J645">
        <v>30</v>
      </c>
    </row>
    <row r="646" spans="1:10" x14ac:dyDescent="0.25">
      <c r="A646" t="s">
        <v>10</v>
      </c>
      <c r="B646" t="s">
        <v>20</v>
      </c>
      <c r="C646" t="s">
        <v>12</v>
      </c>
      <c r="D646" t="s">
        <v>14</v>
      </c>
      <c r="E646">
        <v>0.33333333333333298</v>
      </c>
      <c r="F646">
        <v>0.81435913631944401</v>
      </c>
      <c r="G646">
        <v>1.88897252082824</v>
      </c>
      <c r="H646">
        <v>2</v>
      </c>
      <c r="I646">
        <v>2</v>
      </c>
      <c r="J646">
        <v>30</v>
      </c>
    </row>
    <row r="647" spans="1:10" x14ac:dyDescent="0.25">
      <c r="A647" t="s">
        <v>10</v>
      </c>
      <c r="B647" t="s">
        <v>20</v>
      </c>
      <c r="C647" t="s">
        <v>12</v>
      </c>
      <c r="D647" t="s">
        <v>14</v>
      </c>
      <c r="E647">
        <v>0.33333333333333298</v>
      </c>
      <c r="F647">
        <v>0.81435913631944401</v>
      </c>
      <c r="G647">
        <v>1.9199573993682799</v>
      </c>
      <c r="H647">
        <v>2</v>
      </c>
      <c r="I647">
        <v>2</v>
      </c>
      <c r="J647">
        <v>30</v>
      </c>
    </row>
    <row r="648" spans="1:10" x14ac:dyDescent="0.25">
      <c r="A648" t="s">
        <v>10</v>
      </c>
      <c r="B648" t="s">
        <v>20</v>
      </c>
      <c r="C648" t="s">
        <v>12</v>
      </c>
      <c r="D648" t="s">
        <v>14</v>
      </c>
      <c r="E648">
        <v>0.33333333333333298</v>
      </c>
      <c r="F648">
        <v>0.81998768323055504</v>
      </c>
      <c r="G648">
        <v>1.9627552032470701</v>
      </c>
      <c r="H648">
        <v>3</v>
      </c>
      <c r="I648">
        <v>3</v>
      </c>
      <c r="J648">
        <v>30</v>
      </c>
    </row>
    <row r="649" spans="1:10" x14ac:dyDescent="0.25">
      <c r="A649" t="s">
        <v>10</v>
      </c>
      <c r="B649" t="s">
        <v>20</v>
      </c>
      <c r="C649" t="s">
        <v>12</v>
      </c>
      <c r="D649" t="s">
        <v>14</v>
      </c>
      <c r="E649">
        <v>0.88888888888888795</v>
      </c>
      <c r="F649">
        <v>0.88449971774999903</v>
      </c>
      <c r="G649">
        <v>1.9832634925842201</v>
      </c>
      <c r="H649">
        <v>7</v>
      </c>
      <c r="I649">
        <v>7</v>
      </c>
      <c r="J649">
        <v>30</v>
      </c>
    </row>
    <row r="650" spans="1:10" x14ac:dyDescent="0.25">
      <c r="A650" t="s">
        <v>10</v>
      </c>
      <c r="B650" t="s">
        <v>20</v>
      </c>
      <c r="C650" t="s">
        <v>12</v>
      </c>
      <c r="D650" t="s">
        <v>14</v>
      </c>
      <c r="E650">
        <v>0.94444444444444398</v>
      </c>
      <c r="F650">
        <v>0.92322407692777697</v>
      </c>
      <c r="G650">
        <v>2.01001548767089</v>
      </c>
      <c r="H650">
        <v>8</v>
      </c>
      <c r="I650">
        <v>8</v>
      </c>
      <c r="J650">
        <v>30</v>
      </c>
    </row>
    <row r="651" spans="1:10" x14ac:dyDescent="0.25">
      <c r="A651" t="s">
        <v>10</v>
      </c>
      <c r="B651" t="s">
        <v>20</v>
      </c>
      <c r="C651" t="s">
        <v>12</v>
      </c>
      <c r="D651" t="s">
        <v>14</v>
      </c>
      <c r="E651">
        <v>0.25</v>
      </c>
      <c r="F651">
        <v>0.80713036099444402</v>
      </c>
      <c r="G651">
        <v>2.0225191116332999</v>
      </c>
      <c r="H651">
        <v>3</v>
      </c>
      <c r="I651">
        <v>3</v>
      </c>
      <c r="J651">
        <v>30</v>
      </c>
    </row>
    <row r="652" spans="1:10" x14ac:dyDescent="0.25">
      <c r="A652" t="s">
        <v>10</v>
      </c>
      <c r="B652" t="s">
        <v>20</v>
      </c>
      <c r="C652" t="s">
        <v>12</v>
      </c>
      <c r="D652" t="s">
        <v>14</v>
      </c>
      <c r="E652">
        <v>0.86111111111111105</v>
      </c>
      <c r="F652">
        <v>0.87058392115277705</v>
      </c>
      <c r="G652">
        <v>2.0937795639038002</v>
      </c>
      <c r="H652">
        <v>8</v>
      </c>
      <c r="I652">
        <v>8</v>
      </c>
      <c r="J652">
        <v>30</v>
      </c>
    </row>
    <row r="653" spans="1:10" x14ac:dyDescent="0.25">
      <c r="A653" t="s">
        <v>10</v>
      </c>
      <c r="B653" t="s">
        <v>20</v>
      </c>
      <c r="C653" t="s">
        <v>12</v>
      </c>
      <c r="D653" t="s">
        <v>14</v>
      </c>
      <c r="E653">
        <v>0.38888888888888801</v>
      </c>
      <c r="F653">
        <v>0.83427205894166601</v>
      </c>
      <c r="G653">
        <v>2.0927953720092698</v>
      </c>
      <c r="H653">
        <v>3</v>
      </c>
      <c r="I653">
        <v>3</v>
      </c>
      <c r="J653">
        <v>30</v>
      </c>
    </row>
    <row r="654" spans="1:10" x14ac:dyDescent="0.25">
      <c r="A654" t="s">
        <v>10</v>
      </c>
      <c r="B654" t="s">
        <v>20</v>
      </c>
      <c r="C654" t="s">
        <v>12</v>
      </c>
      <c r="D654" t="s">
        <v>14</v>
      </c>
      <c r="E654">
        <v>0.86111111111111105</v>
      </c>
      <c r="F654">
        <v>0.89177416123333297</v>
      </c>
      <c r="G654">
        <v>2.16921067237854</v>
      </c>
      <c r="H654">
        <v>6</v>
      </c>
      <c r="I654">
        <v>6</v>
      </c>
      <c r="J654">
        <v>30</v>
      </c>
    </row>
    <row r="655" spans="1:10" x14ac:dyDescent="0.25">
      <c r="A655" t="s">
        <v>10</v>
      </c>
      <c r="B655" t="s">
        <v>20</v>
      </c>
      <c r="C655" t="s">
        <v>12</v>
      </c>
      <c r="D655" t="s">
        <v>14</v>
      </c>
      <c r="E655">
        <v>0.86111111111111105</v>
      </c>
      <c r="F655">
        <v>0.887372981611111</v>
      </c>
      <c r="G655">
        <v>2.1828327178954998</v>
      </c>
      <c r="H655">
        <v>6</v>
      </c>
      <c r="I655">
        <v>6</v>
      </c>
      <c r="J655">
        <v>30</v>
      </c>
    </row>
    <row r="656" spans="1:10" x14ac:dyDescent="0.25">
      <c r="A656" t="s">
        <v>10</v>
      </c>
      <c r="B656" t="s">
        <v>20</v>
      </c>
      <c r="C656" t="s">
        <v>12</v>
      </c>
      <c r="D656" t="s">
        <v>14</v>
      </c>
      <c r="E656">
        <v>0.25</v>
      </c>
      <c r="F656">
        <v>0.76403034013333304</v>
      </c>
      <c r="G656">
        <v>2.2182059288024898</v>
      </c>
      <c r="H656">
        <v>3</v>
      </c>
      <c r="I656">
        <v>3</v>
      </c>
      <c r="J656">
        <v>30</v>
      </c>
    </row>
    <row r="657" spans="1:10" x14ac:dyDescent="0.25">
      <c r="A657" t="s">
        <v>10</v>
      </c>
      <c r="B657" t="s">
        <v>20</v>
      </c>
      <c r="C657" t="s">
        <v>12</v>
      </c>
      <c r="D657" t="s">
        <v>14</v>
      </c>
      <c r="E657">
        <v>0.91666666666666596</v>
      </c>
      <c r="F657">
        <v>0.91110433395277701</v>
      </c>
      <c r="G657">
        <v>2.2391400337219198</v>
      </c>
      <c r="H657">
        <v>7</v>
      </c>
      <c r="I657">
        <v>7</v>
      </c>
      <c r="J657">
        <v>30</v>
      </c>
    </row>
    <row r="658" spans="1:10" x14ac:dyDescent="0.25">
      <c r="A658" t="s">
        <v>10</v>
      </c>
      <c r="B658" t="s">
        <v>20</v>
      </c>
      <c r="C658" t="s">
        <v>12</v>
      </c>
      <c r="D658" t="s">
        <v>14</v>
      </c>
      <c r="E658">
        <v>0.86111111111111105</v>
      </c>
      <c r="F658">
        <v>0.90500483564166601</v>
      </c>
      <c r="G658">
        <v>2.2331445217132502</v>
      </c>
      <c r="H658">
        <v>7</v>
      </c>
      <c r="I658">
        <v>7</v>
      </c>
      <c r="J658">
        <v>30</v>
      </c>
    </row>
    <row r="659" spans="1:10" x14ac:dyDescent="0.25">
      <c r="A659" t="s">
        <v>10</v>
      </c>
      <c r="B659" t="s">
        <v>20</v>
      </c>
      <c r="C659" t="s">
        <v>12</v>
      </c>
      <c r="D659" t="s">
        <v>14</v>
      </c>
      <c r="E659">
        <v>0.27777777777777701</v>
      </c>
      <c r="F659">
        <v>0.76103632653055497</v>
      </c>
      <c r="G659">
        <v>2.2943036556243799</v>
      </c>
      <c r="H659">
        <v>4</v>
      </c>
      <c r="I659">
        <v>4</v>
      </c>
      <c r="J659">
        <v>30</v>
      </c>
    </row>
    <row r="660" spans="1:10" x14ac:dyDescent="0.25">
      <c r="A660" t="s">
        <v>10</v>
      </c>
      <c r="B660" t="s">
        <v>20</v>
      </c>
      <c r="C660" t="s">
        <v>12</v>
      </c>
      <c r="D660" t="s">
        <v>14</v>
      </c>
      <c r="E660">
        <v>0.94444444444444398</v>
      </c>
      <c r="F660">
        <v>0.94260059026388798</v>
      </c>
      <c r="G660">
        <v>2.3201556205749498</v>
      </c>
      <c r="H660">
        <v>8</v>
      </c>
      <c r="I660">
        <v>8</v>
      </c>
      <c r="J660">
        <v>30</v>
      </c>
    </row>
    <row r="661" spans="1:10" x14ac:dyDescent="0.25">
      <c r="A661" t="s">
        <v>10</v>
      </c>
      <c r="B661" t="s">
        <v>20</v>
      </c>
      <c r="C661" t="s">
        <v>12</v>
      </c>
      <c r="D661" t="s">
        <v>14</v>
      </c>
      <c r="E661">
        <v>0.77777777777777701</v>
      </c>
      <c r="F661">
        <v>0.86859287862222201</v>
      </c>
      <c r="G661">
        <v>2.3526575565338099</v>
      </c>
      <c r="H661">
        <v>11</v>
      </c>
      <c r="I661">
        <v>11</v>
      </c>
      <c r="J661">
        <v>30</v>
      </c>
    </row>
    <row r="662" spans="1:10" x14ac:dyDescent="0.25">
      <c r="A662" t="s">
        <v>10</v>
      </c>
      <c r="B662" t="s">
        <v>20</v>
      </c>
      <c r="C662" t="s">
        <v>12</v>
      </c>
      <c r="D662" t="s">
        <v>15</v>
      </c>
      <c r="E662">
        <v>0</v>
      </c>
      <c r="F662">
        <v>0.75</v>
      </c>
      <c r="G662">
        <v>4.1659057140350297</v>
      </c>
      <c r="H662">
        <v>0</v>
      </c>
      <c r="I662">
        <v>0</v>
      </c>
      <c r="J662">
        <v>30</v>
      </c>
    </row>
    <row r="663" spans="1:10" x14ac:dyDescent="0.25">
      <c r="A663" t="s">
        <v>10</v>
      </c>
      <c r="B663" t="s">
        <v>20</v>
      </c>
      <c r="C663" t="s">
        <v>12</v>
      </c>
      <c r="D663" t="s">
        <v>15</v>
      </c>
      <c r="E663">
        <v>0</v>
      </c>
      <c r="F663">
        <v>0.75</v>
      </c>
      <c r="G663">
        <v>7.2757544517517001</v>
      </c>
      <c r="H663">
        <v>1</v>
      </c>
      <c r="I663">
        <v>4</v>
      </c>
      <c r="J663">
        <v>30</v>
      </c>
    </row>
    <row r="664" spans="1:10" x14ac:dyDescent="0.25">
      <c r="A664" t="s">
        <v>10</v>
      </c>
      <c r="B664" t="s">
        <v>20</v>
      </c>
      <c r="C664" t="s">
        <v>12</v>
      </c>
      <c r="D664" t="s">
        <v>15</v>
      </c>
      <c r="E664">
        <v>0</v>
      </c>
      <c r="F664">
        <v>0.75</v>
      </c>
      <c r="G664">
        <v>11.131401777267399</v>
      </c>
      <c r="H664">
        <v>2</v>
      </c>
      <c r="I664">
        <v>7</v>
      </c>
      <c r="J664">
        <v>30</v>
      </c>
    </row>
    <row r="665" spans="1:10" x14ac:dyDescent="0.25">
      <c r="A665" t="s">
        <v>10</v>
      </c>
      <c r="B665" t="s">
        <v>20</v>
      </c>
      <c r="C665" t="s">
        <v>12</v>
      </c>
      <c r="D665" t="s">
        <v>15</v>
      </c>
      <c r="E665">
        <v>0</v>
      </c>
      <c r="F665">
        <v>0.75</v>
      </c>
      <c r="G665">
        <v>11.248730659484799</v>
      </c>
      <c r="H665">
        <v>3</v>
      </c>
      <c r="I665">
        <v>9</v>
      </c>
      <c r="J665">
        <v>30</v>
      </c>
    </row>
    <row r="666" spans="1:10" x14ac:dyDescent="0.25">
      <c r="A666" t="s">
        <v>10</v>
      </c>
      <c r="B666" t="s">
        <v>20</v>
      </c>
      <c r="C666" t="s">
        <v>12</v>
      </c>
      <c r="D666" t="s">
        <v>15</v>
      </c>
      <c r="E666">
        <v>0</v>
      </c>
      <c r="F666">
        <v>0.75</v>
      </c>
      <c r="G666">
        <v>12.983858108520501</v>
      </c>
      <c r="H666">
        <v>3</v>
      </c>
      <c r="I666">
        <v>12</v>
      </c>
      <c r="J666">
        <v>30</v>
      </c>
    </row>
    <row r="667" spans="1:10" x14ac:dyDescent="0.25">
      <c r="A667" t="s">
        <v>10</v>
      </c>
      <c r="B667" t="s">
        <v>20</v>
      </c>
      <c r="C667" t="s">
        <v>12</v>
      </c>
      <c r="D667" t="s">
        <v>15</v>
      </c>
      <c r="E667">
        <v>0</v>
      </c>
      <c r="F667">
        <v>0.75</v>
      </c>
      <c r="G667">
        <v>13.534328699111899</v>
      </c>
      <c r="H667">
        <v>3</v>
      </c>
      <c r="I667">
        <v>10</v>
      </c>
      <c r="J667">
        <v>30</v>
      </c>
    </row>
    <row r="668" spans="1:10" x14ac:dyDescent="0.25">
      <c r="A668" t="s">
        <v>10</v>
      </c>
      <c r="B668" t="s">
        <v>20</v>
      </c>
      <c r="C668" t="s">
        <v>12</v>
      </c>
      <c r="D668" t="s">
        <v>15</v>
      </c>
      <c r="E668">
        <v>0</v>
      </c>
      <c r="F668">
        <v>0.75</v>
      </c>
      <c r="G668">
        <v>17.051607131958001</v>
      </c>
      <c r="H668">
        <v>3</v>
      </c>
      <c r="I668">
        <v>11</v>
      </c>
      <c r="J668">
        <v>30</v>
      </c>
    </row>
    <row r="669" spans="1:10" x14ac:dyDescent="0.25">
      <c r="A669" t="s">
        <v>10</v>
      </c>
      <c r="B669" t="s">
        <v>20</v>
      </c>
      <c r="C669" t="s">
        <v>12</v>
      </c>
      <c r="D669" t="s">
        <v>15</v>
      </c>
      <c r="E669">
        <v>0</v>
      </c>
      <c r="F669">
        <v>0.74708333333333299</v>
      </c>
      <c r="G669">
        <v>19.252764463424601</v>
      </c>
      <c r="H669">
        <v>5</v>
      </c>
      <c r="I669">
        <v>13</v>
      </c>
      <c r="J669">
        <v>30</v>
      </c>
    </row>
    <row r="670" spans="1:10" x14ac:dyDescent="0.25">
      <c r="A670" t="s">
        <v>10</v>
      </c>
      <c r="B670" t="s">
        <v>20</v>
      </c>
      <c r="C670" t="s">
        <v>12</v>
      </c>
      <c r="D670" t="s">
        <v>15</v>
      </c>
      <c r="E670">
        <v>2.77777777777777E-2</v>
      </c>
      <c r="F670">
        <v>0.75131944444444398</v>
      </c>
      <c r="G670">
        <v>20.526775836944498</v>
      </c>
      <c r="H670">
        <v>4</v>
      </c>
      <c r="I670">
        <v>17</v>
      </c>
      <c r="J670">
        <v>30</v>
      </c>
    </row>
    <row r="671" spans="1:10" x14ac:dyDescent="0.25">
      <c r="A671" t="s">
        <v>10</v>
      </c>
      <c r="B671" t="s">
        <v>20</v>
      </c>
      <c r="C671" t="s">
        <v>12</v>
      </c>
      <c r="D671" t="s">
        <v>15</v>
      </c>
      <c r="E671">
        <v>0</v>
      </c>
      <c r="F671">
        <v>0.75</v>
      </c>
      <c r="G671">
        <v>21.378670215606601</v>
      </c>
      <c r="H671">
        <v>6</v>
      </c>
      <c r="I671">
        <v>18</v>
      </c>
      <c r="J671">
        <v>30</v>
      </c>
    </row>
    <row r="672" spans="1:10" x14ac:dyDescent="0.25">
      <c r="A672" t="s">
        <v>10</v>
      </c>
      <c r="B672" t="s">
        <v>20</v>
      </c>
      <c r="C672" t="s">
        <v>12</v>
      </c>
      <c r="D672" t="s">
        <v>15</v>
      </c>
      <c r="E672">
        <v>5.5555555555555497E-2</v>
      </c>
      <c r="F672">
        <v>0.75263888888888797</v>
      </c>
      <c r="G672">
        <v>24.470691204070999</v>
      </c>
      <c r="H672">
        <v>5</v>
      </c>
      <c r="I672">
        <v>17</v>
      </c>
      <c r="J672">
        <v>30</v>
      </c>
    </row>
    <row r="673" spans="1:10" x14ac:dyDescent="0.25">
      <c r="A673" t="s">
        <v>10</v>
      </c>
      <c r="B673" t="s">
        <v>20</v>
      </c>
      <c r="C673" t="s">
        <v>12</v>
      </c>
      <c r="D673" t="s">
        <v>15</v>
      </c>
      <c r="E673">
        <v>5.5555555555555497E-2</v>
      </c>
      <c r="F673">
        <v>0.75118055555555496</v>
      </c>
      <c r="G673">
        <v>26.3559007644653</v>
      </c>
      <c r="H673">
        <v>7</v>
      </c>
      <c r="I673">
        <v>22</v>
      </c>
      <c r="J673">
        <v>30</v>
      </c>
    </row>
    <row r="674" spans="1:10" x14ac:dyDescent="0.25">
      <c r="A674" t="s">
        <v>10</v>
      </c>
      <c r="B674" t="s">
        <v>20</v>
      </c>
      <c r="C674" t="s">
        <v>12</v>
      </c>
      <c r="D674" t="s">
        <v>15</v>
      </c>
      <c r="E674">
        <v>2.77777777777777E-2</v>
      </c>
      <c r="F674">
        <v>0.75131944444444398</v>
      </c>
      <c r="G674">
        <v>28.234759569167998</v>
      </c>
      <c r="H674">
        <v>5</v>
      </c>
      <c r="I674">
        <v>14</v>
      </c>
      <c r="J674">
        <v>30</v>
      </c>
    </row>
    <row r="675" spans="1:10" x14ac:dyDescent="0.25">
      <c r="A675" t="s">
        <v>10</v>
      </c>
      <c r="B675" t="s">
        <v>20</v>
      </c>
      <c r="C675" t="s">
        <v>12</v>
      </c>
      <c r="D675" t="s">
        <v>15</v>
      </c>
      <c r="E675">
        <v>0</v>
      </c>
      <c r="F675">
        <v>0.75</v>
      </c>
      <c r="G675">
        <v>28.338140726089399</v>
      </c>
      <c r="H675">
        <v>6</v>
      </c>
      <c r="I675">
        <v>19</v>
      </c>
      <c r="J675">
        <v>30</v>
      </c>
    </row>
    <row r="676" spans="1:10" x14ac:dyDescent="0.25">
      <c r="A676" t="s">
        <v>10</v>
      </c>
      <c r="B676" t="s">
        <v>20</v>
      </c>
      <c r="C676" t="s">
        <v>12</v>
      </c>
      <c r="D676" t="s">
        <v>15</v>
      </c>
      <c r="E676">
        <v>2.77777777777777E-2</v>
      </c>
      <c r="F676">
        <v>0.75131944444444398</v>
      </c>
      <c r="G676">
        <v>29.2015392780303</v>
      </c>
      <c r="H676">
        <v>8</v>
      </c>
      <c r="I676">
        <v>27</v>
      </c>
      <c r="J676">
        <v>30</v>
      </c>
    </row>
    <row r="677" spans="1:10" x14ac:dyDescent="0.25">
      <c r="A677" t="s">
        <v>10</v>
      </c>
      <c r="B677" t="s">
        <v>20</v>
      </c>
      <c r="C677" t="s">
        <v>12</v>
      </c>
      <c r="D677" t="s">
        <v>15</v>
      </c>
      <c r="E677">
        <v>2.77777777777777E-2</v>
      </c>
      <c r="F677">
        <v>0.75131944444444398</v>
      </c>
      <c r="G677">
        <v>30.050261974334699</v>
      </c>
      <c r="H677">
        <v>10</v>
      </c>
      <c r="I677">
        <v>29</v>
      </c>
      <c r="J677">
        <v>30</v>
      </c>
    </row>
    <row r="678" spans="1:10" x14ac:dyDescent="0.25">
      <c r="A678" t="s">
        <v>10</v>
      </c>
      <c r="B678" t="s">
        <v>20</v>
      </c>
      <c r="C678" t="s">
        <v>12</v>
      </c>
      <c r="D678" t="s">
        <v>15</v>
      </c>
      <c r="E678">
        <v>2.77777777777777E-2</v>
      </c>
      <c r="F678">
        <v>0.75131944444444398</v>
      </c>
      <c r="G678">
        <v>30.094862222671502</v>
      </c>
      <c r="H678">
        <v>10</v>
      </c>
      <c r="I678">
        <v>29</v>
      </c>
      <c r="J678">
        <v>30</v>
      </c>
    </row>
    <row r="679" spans="1:10" x14ac:dyDescent="0.25">
      <c r="A679" t="s">
        <v>10</v>
      </c>
      <c r="B679" t="s">
        <v>20</v>
      </c>
      <c r="C679" t="s">
        <v>12</v>
      </c>
      <c r="D679" t="s">
        <v>15</v>
      </c>
      <c r="E679">
        <v>0.11111111111111099</v>
      </c>
      <c r="F679">
        <v>0.75527777777777705</v>
      </c>
      <c r="G679">
        <v>32.091943264007497</v>
      </c>
      <c r="H679">
        <v>10</v>
      </c>
      <c r="I679">
        <v>34</v>
      </c>
      <c r="J679">
        <v>30</v>
      </c>
    </row>
    <row r="680" spans="1:10" x14ac:dyDescent="0.25">
      <c r="A680" t="s">
        <v>10</v>
      </c>
      <c r="B680" t="s">
        <v>20</v>
      </c>
      <c r="C680" t="s">
        <v>12</v>
      </c>
      <c r="D680" t="s">
        <v>15</v>
      </c>
      <c r="E680">
        <v>0</v>
      </c>
      <c r="F680">
        <v>0.75</v>
      </c>
      <c r="G680">
        <v>32.748600721359203</v>
      </c>
      <c r="H680">
        <v>8</v>
      </c>
      <c r="I680">
        <v>30</v>
      </c>
      <c r="J680">
        <v>30</v>
      </c>
    </row>
    <row r="681" spans="1:10" x14ac:dyDescent="0.25">
      <c r="A681" t="s">
        <v>10</v>
      </c>
      <c r="B681" t="s">
        <v>20</v>
      </c>
      <c r="C681" t="s">
        <v>12</v>
      </c>
      <c r="D681" t="s">
        <v>15</v>
      </c>
      <c r="E681">
        <v>0</v>
      </c>
      <c r="F681">
        <v>0.75</v>
      </c>
      <c r="G681">
        <v>34.255505561828599</v>
      </c>
      <c r="H681">
        <v>9</v>
      </c>
      <c r="I681">
        <v>29</v>
      </c>
      <c r="J681">
        <v>30</v>
      </c>
    </row>
    <row r="682" spans="1:10" x14ac:dyDescent="0.25">
      <c r="A682" t="s">
        <v>10</v>
      </c>
      <c r="B682" t="s">
        <v>20</v>
      </c>
      <c r="C682" t="s">
        <v>12</v>
      </c>
      <c r="D682" t="s">
        <v>15</v>
      </c>
      <c r="E682">
        <v>0</v>
      </c>
      <c r="F682">
        <v>0.75</v>
      </c>
      <c r="G682">
        <v>34.393285751342702</v>
      </c>
      <c r="H682">
        <v>11</v>
      </c>
      <c r="I682">
        <v>33</v>
      </c>
      <c r="J682">
        <v>30</v>
      </c>
    </row>
    <row r="683" spans="1:10" x14ac:dyDescent="0.25">
      <c r="A683" t="s">
        <v>10</v>
      </c>
      <c r="B683" t="s">
        <v>20</v>
      </c>
      <c r="C683" t="s">
        <v>12</v>
      </c>
      <c r="D683" t="s">
        <v>15</v>
      </c>
      <c r="E683">
        <v>0</v>
      </c>
      <c r="F683">
        <v>0.75</v>
      </c>
      <c r="G683">
        <v>34.995645284652703</v>
      </c>
      <c r="H683">
        <v>10</v>
      </c>
      <c r="I683">
        <v>33</v>
      </c>
      <c r="J683">
        <v>30</v>
      </c>
    </row>
    <row r="684" spans="1:10" x14ac:dyDescent="0.25">
      <c r="A684" t="s">
        <v>10</v>
      </c>
      <c r="B684" t="s">
        <v>20</v>
      </c>
      <c r="C684" t="s">
        <v>12</v>
      </c>
      <c r="D684" t="s">
        <v>15</v>
      </c>
      <c r="E684">
        <v>0</v>
      </c>
      <c r="F684">
        <v>0.75</v>
      </c>
      <c r="G684">
        <v>35.641886472701998</v>
      </c>
      <c r="H684">
        <v>11</v>
      </c>
      <c r="I684">
        <v>37</v>
      </c>
      <c r="J684">
        <v>30</v>
      </c>
    </row>
    <row r="685" spans="1:10" x14ac:dyDescent="0.25">
      <c r="A685" t="s">
        <v>10</v>
      </c>
      <c r="B685" t="s">
        <v>20</v>
      </c>
      <c r="C685" t="s">
        <v>12</v>
      </c>
      <c r="D685" t="s">
        <v>15</v>
      </c>
      <c r="E685">
        <v>5.5555555555555497E-2</v>
      </c>
      <c r="F685">
        <v>0.75263888888888797</v>
      </c>
      <c r="G685">
        <v>36.436762809753397</v>
      </c>
      <c r="H685">
        <v>12</v>
      </c>
      <c r="I685">
        <v>37</v>
      </c>
      <c r="J685">
        <v>30</v>
      </c>
    </row>
    <row r="686" spans="1:10" x14ac:dyDescent="0.25">
      <c r="A686" t="s">
        <v>10</v>
      </c>
      <c r="B686" t="s">
        <v>20</v>
      </c>
      <c r="C686" t="s">
        <v>12</v>
      </c>
      <c r="D686" t="s">
        <v>15</v>
      </c>
      <c r="E686">
        <v>0</v>
      </c>
      <c r="F686">
        <v>0.75</v>
      </c>
      <c r="G686">
        <v>38.108588218688901</v>
      </c>
      <c r="H686">
        <v>13</v>
      </c>
      <c r="I686">
        <v>44</v>
      </c>
      <c r="J686">
        <v>30</v>
      </c>
    </row>
    <row r="687" spans="1:10" x14ac:dyDescent="0.25">
      <c r="A687" t="s">
        <v>10</v>
      </c>
      <c r="B687" t="s">
        <v>20</v>
      </c>
      <c r="C687" t="s">
        <v>12</v>
      </c>
      <c r="D687" t="s">
        <v>15</v>
      </c>
      <c r="E687">
        <v>8.3333333333333301E-2</v>
      </c>
      <c r="F687">
        <v>0.75395833333333295</v>
      </c>
      <c r="G687">
        <v>38.3033220767974</v>
      </c>
      <c r="H687">
        <v>12</v>
      </c>
      <c r="I687">
        <v>45</v>
      </c>
      <c r="J687">
        <v>30</v>
      </c>
    </row>
    <row r="688" spans="1:10" x14ac:dyDescent="0.25">
      <c r="A688" t="s">
        <v>10</v>
      </c>
      <c r="B688" t="s">
        <v>20</v>
      </c>
      <c r="C688" t="s">
        <v>12</v>
      </c>
      <c r="D688" t="s">
        <v>15</v>
      </c>
      <c r="E688">
        <v>8.3333333333333301E-2</v>
      </c>
      <c r="F688">
        <v>0.75395833333333295</v>
      </c>
      <c r="G688">
        <v>38.939753055572503</v>
      </c>
      <c r="H688">
        <v>17</v>
      </c>
      <c r="I688">
        <v>53</v>
      </c>
      <c r="J688">
        <v>30</v>
      </c>
    </row>
    <row r="689" spans="1:10" x14ac:dyDescent="0.25">
      <c r="A689" t="s">
        <v>10</v>
      </c>
      <c r="B689" t="s">
        <v>20</v>
      </c>
      <c r="C689" t="s">
        <v>12</v>
      </c>
      <c r="D689" t="s">
        <v>15</v>
      </c>
      <c r="E689">
        <v>0</v>
      </c>
      <c r="F689">
        <v>0.74854166666666599</v>
      </c>
      <c r="G689">
        <v>39.2618215084075</v>
      </c>
      <c r="H689">
        <v>13</v>
      </c>
      <c r="I689">
        <v>43</v>
      </c>
      <c r="J689">
        <v>30</v>
      </c>
    </row>
    <row r="690" spans="1:10" x14ac:dyDescent="0.25">
      <c r="A690" t="s">
        <v>10</v>
      </c>
      <c r="B690" t="s">
        <v>20</v>
      </c>
      <c r="C690" t="s">
        <v>12</v>
      </c>
      <c r="D690" t="s">
        <v>15</v>
      </c>
      <c r="E690">
        <v>0</v>
      </c>
      <c r="F690">
        <v>0.75</v>
      </c>
      <c r="G690">
        <v>39.947334289550703</v>
      </c>
      <c r="H690">
        <v>15</v>
      </c>
      <c r="I690">
        <v>52</v>
      </c>
      <c r="J690">
        <v>30</v>
      </c>
    </row>
    <row r="691" spans="1:10" x14ac:dyDescent="0.25">
      <c r="A691" t="s">
        <v>10</v>
      </c>
      <c r="B691" t="s">
        <v>20</v>
      </c>
      <c r="C691" t="s">
        <v>12</v>
      </c>
      <c r="D691" t="s">
        <v>15</v>
      </c>
      <c r="E691">
        <v>8.3333333333333301E-2</v>
      </c>
      <c r="F691">
        <v>0.75395833333333295</v>
      </c>
      <c r="G691">
        <v>40.492580413818303</v>
      </c>
      <c r="H691">
        <v>16</v>
      </c>
      <c r="I691">
        <v>60</v>
      </c>
      <c r="J691">
        <v>30</v>
      </c>
    </row>
    <row r="692" spans="1:10" x14ac:dyDescent="0.25">
      <c r="A692" t="s">
        <v>10</v>
      </c>
      <c r="B692" t="s">
        <v>20</v>
      </c>
      <c r="C692" t="s">
        <v>12</v>
      </c>
      <c r="D692" t="s">
        <v>16</v>
      </c>
      <c r="E692">
        <v>0</v>
      </c>
      <c r="F692">
        <v>0.75</v>
      </c>
      <c r="G692">
        <v>0.28472232818603499</v>
      </c>
      <c r="H692">
        <v>0</v>
      </c>
      <c r="I692">
        <v>0</v>
      </c>
      <c r="J692">
        <v>30</v>
      </c>
    </row>
    <row r="693" spans="1:10" x14ac:dyDescent="0.25">
      <c r="A693" t="s">
        <v>10</v>
      </c>
      <c r="B693" t="s">
        <v>20</v>
      </c>
      <c r="C693" t="s">
        <v>12</v>
      </c>
      <c r="D693" t="s">
        <v>16</v>
      </c>
      <c r="E693">
        <v>0</v>
      </c>
      <c r="F693">
        <v>0.75</v>
      </c>
      <c r="G693">
        <v>0.41074633598327598</v>
      </c>
      <c r="H693">
        <v>0</v>
      </c>
      <c r="I693">
        <v>0</v>
      </c>
      <c r="J693">
        <v>30</v>
      </c>
    </row>
    <row r="694" spans="1:10" x14ac:dyDescent="0.25">
      <c r="A694" t="s">
        <v>10</v>
      </c>
      <c r="B694" t="s">
        <v>20</v>
      </c>
      <c r="C694" t="s">
        <v>12</v>
      </c>
      <c r="D694" t="s">
        <v>16</v>
      </c>
      <c r="E694">
        <v>0</v>
      </c>
      <c r="F694">
        <v>0.75</v>
      </c>
      <c r="G694">
        <v>0.58896565437316895</v>
      </c>
      <c r="H694">
        <v>0</v>
      </c>
      <c r="I694">
        <v>0</v>
      </c>
      <c r="J694">
        <v>30</v>
      </c>
    </row>
    <row r="695" spans="1:10" x14ac:dyDescent="0.25">
      <c r="A695" t="s">
        <v>10</v>
      </c>
      <c r="B695" t="s">
        <v>20</v>
      </c>
      <c r="C695" t="s">
        <v>12</v>
      </c>
      <c r="D695" t="s">
        <v>16</v>
      </c>
      <c r="E695">
        <v>0</v>
      </c>
      <c r="F695">
        <v>0.75</v>
      </c>
      <c r="G695">
        <v>0.597991943359375</v>
      </c>
      <c r="H695">
        <v>0</v>
      </c>
      <c r="I695">
        <v>0</v>
      </c>
      <c r="J695">
        <v>30</v>
      </c>
    </row>
    <row r="696" spans="1:10" x14ac:dyDescent="0.25">
      <c r="A696" t="s">
        <v>10</v>
      </c>
      <c r="B696" t="s">
        <v>20</v>
      </c>
      <c r="C696" t="s">
        <v>12</v>
      </c>
      <c r="D696" t="s">
        <v>16</v>
      </c>
      <c r="E696">
        <v>0</v>
      </c>
      <c r="F696">
        <v>0.75</v>
      </c>
      <c r="G696">
        <v>0.61417913436889604</v>
      </c>
      <c r="H696">
        <v>0</v>
      </c>
      <c r="I696">
        <v>0</v>
      </c>
      <c r="J696">
        <v>30</v>
      </c>
    </row>
    <row r="697" spans="1:10" x14ac:dyDescent="0.25">
      <c r="A697" t="s">
        <v>10</v>
      </c>
      <c r="B697" t="s">
        <v>20</v>
      </c>
      <c r="C697" t="s">
        <v>12</v>
      </c>
      <c r="D697" t="s">
        <v>16</v>
      </c>
      <c r="E697">
        <v>0</v>
      </c>
      <c r="F697">
        <v>0.75</v>
      </c>
      <c r="G697">
        <v>0.653087377548217</v>
      </c>
      <c r="H697">
        <v>0</v>
      </c>
      <c r="I697">
        <v>0</v>
      </c>
      <c r="J697">
        <v>30</v>
      </c>
    </row>
    <row r="698" spans="1:10" x14ac:dyDescent="0.25">
      <c r="A698" t="s">
        <v>10</v>
      </c>
      <c r="B698" t="s">
        <v>20</v>
      </c>
      <c r="C698" t="s">
        <v>12</v>
      </c>
      <c r="D698" t="s">
        <v>16</v>
      </c>
      <c r="E698">
        <v>0</v>
      </c>
      <c r="F698">
        <v>0.75</v>
      </c>
      <c r="G698">
        <v>0.67747330665588301</v>
      </c>
      <c r="H698">
        <v>0</v>
      </c>
      <c r="I698">
        <v>0</v>
      </c>
      <c r="J698">
        <v>30</v>
      </c>
    </row>
    <row r="699" spans="1:10" x14ac:dyDescent="0.25">
      <c r="A699" t="s">
        <v>10</v>
      </c>
      <c r="B699" t="s">
        <v>20</v>
      </c>
      <c r="C699" t="s">
        <v>12</v>
      </c>
      <c r="D699" t="s">
        <v>16</v>
      </c>
      <c r="E699">
        <v>0</v>
      </c>
      <c r="F699">
        <v>0.75</v>
      </c>
      <c r="G699">
        <v>0.68506240844726496</v>
      </c>
      <c r="H699">
        <v>0</v>
      </c>
      <c r="I699">
        <v>0</v>
      </c>
      <c r="J699">
        <v>30</v>
      </c>
    </row>
    <row r="700" spans="1:10" x14ac:dyDescent="0.25">
      <c r="A700" t="s">
        <v>10</v>
      </c>
      <c r="B700" t="s">
        <v>20</v>
      </c>
      <c r="C700" t="s">
        <v>12</v>
      </c>
      <c r="D700" t="s">
        <v>16</v>
      </c>
      <c r="E700">
        <v>0</v>
      </c>
      <c r="F700">
        <v>0.75</v>
      </c>
      <c r="G700">
        <v>0.69779515266418402</v>
      </c>
      <c r="H700">
        <v>0</v>
      </c>
      <c r="I700">
        <v>0</v>
      </c>
      <c r="J700">
        <v>30</v>
      </c>
    </row>
    <row r="701" spans="1:10" x14ac:dyDescent="0.25">
      <c r="A701" t="s">
        <v>10</v>
      </c>
      <c r="B701" t="s">
        <v>20</v>
      </c>
      <c r="C701" t="s">
        <v>12</v>
      </c>
      <c r="D701" t="s">
        <v>16</v>
      </c>
      <c r="E701">
        <v>0</v>
      </c>
      <c r="F701">
        <v>0.75</v>
      </c>
      <c r="G701">
        <v>0.69879341125488204</v>
      </c>
      <c r="H701">
        <v>0</v>
      </c>
      <c r="I701">
        <v>0</v>
      </c>
      <c r="J701">
        <v>30</v>
      </c>
    </row>
    <row r="702" spans="1:10" x14ac:dyDescent="0.25">
      <c r="A702" t="s">
        <v>10</v>
      </c>
      <c r="B702" t="s">
        <v>20</v>
      </c>
      <c r="C702" t="s">
        <v>12</v>
      </c>
      <c r="D702" t="s">
        <v>16</v>
      </c>
      <c r="E702">
        <v>0</v>
      </c>
      <c r="F702">
        <v>0.75</v>
      </c>
      <c r="G702">
        <v>0.72171092033386197</v>
      </c>
      <c r="H702">
        <v>0</v>
      </c>
      <c r="I702">
        <v>0</v>
      </c>
      <c r="J702">
        <v>30</v>
      </c>
    </row>
    <row r="703" spans="1:10" x14ac:dyDescent="0.25">
      <c r="A703" t="s">
        <v>10</v>
      </c>
      <c r="B703" t="s">
        <v>20</v>
      </c>
      <c r="C703" t="s">
        <v>12</v>
      </c>
      <c r="D703" t="s">
        <v>16</v>
      </c>
      <c r="E703">
        <v>0</v>
      </c>
      <c r="F703">
        <v>0.75</v>
      </c>
      <c r="G703">
        <v>0.71909189224243097</v>
      </c>
      <c r="H703">
        <v>0</v>
      </c>
      <c r="I703">
        <v>0</v>
      </c>
      <c r="J703">
        <v>30</v>
      </c>
    </row>
    <row r="704" spans="1:10" x14ac:dyDescent="0.25">
      <c r="A704" t="s">
        <v>10</v>
      </c>
      <c r="B704" t="s">
        <v>20</v>
      </c>
      <c r="C704" t="s">
        <v>12</v>
      </c>
      <c r="D704" t="s">
        <v>16</v>
      </c>
      <c r="E704">
        <v>0</v>
      </c>
      <c r="F704">
        <v>0.75</v>
      </c>
      <c r="G704">
        <v>0.72392368316650302</v>
      </c>
      <c r="H704">
        <v>0</v>
      </c>
      <c r="I704">
        <v>0</v>
      </c>
      <c r="J704">
        <v>30</v>
      </c>
    </row>
    <row r="705" spans="1:10" x14ac:dyDescent="0.25">
      <c r="A705" t="s">
        <v>10</v>
      </c>
      <c r="B705" t="s">
        <v>20</v>
      </c>
      <c r="C705" t="s">
        <v>12</v>
      </c>
      <c r="D705" t="s">
        <v>16</v>
      </c>
      <c r="E705">
        <v>0</v>
      </c>
      <c r="F705">
        <v>0.75</v>
      </c>
      <c r="G705">
        <v>0.74779629707336404</v>
      </c>
      <c r="H705">
        <v>0</v>
      </c>
      <c r="I705">
        <v>0</v>
      </c>
      <c r="J705">
        <v>30</v>
      </c>
    </row>
    <row r="706" spans="1:10" x14ac:dyDescent="0.25">
      <c r="A706" t="s">
        <v>10</v>
      </c>
      <c r="B706" t="s">
        <v>20</v>
      </c>
      <c r="C706" t="s">
        <v>12</v>
      </c>
      <c r="D706" t="s">
        <v>16</v>
      </c>
      <c r="E706">
        <v>0</v>
      </c>
      <c r="F706">
        <v>0.75</v>
      </c>
      <c r="G706">
        <v>0.75406765937805098</v>
      </c>
      <c r="H706">
        <v>0</v>
      </c>
      <c r="I706">
        <v>0</v>
      </c>
      <c r="J706">
        <v>30</v>
      </c>
    </row>
    <row r="707" spans="1:10" x14ac:dyDescent="0.25">
      <c r="A707" t="s">
        <v>10</v>
      </c>
      <c r="B707" t="s">
        <v>20</v>
      </c>
      <c r="C707" t="s">
        <v>12</v>
      </c>
      <c r="D707" t="s">
        <v>16</v>
      </c>
      <c r="E707">
        <v>0</v>
      </c>
      <c r="F707">
        <v>0.75</v>
      </c>
      <c r="G707">
        <v>0.743796586990356</v>
      </c>
      <c r="H707">
        <v>0</v>
      </c>
      <c r="I707">
        <v>0</v>
      </c>
      <c r="J707">
        <v>30</v>
      </c>
    </row>
    <row r="708" spans="1:10" x14ac:dyDescent="0.25">
      <c r="A708" t="s">
        <v>10</v>
      </c>
      <c r="B708" t="s">
        <v>20</v>
      </c>
      <c r="C708" t="s">
        <v>12</v>
      </c>
      <c r="D708" t="s">
        <v>16</v>
      </c>
      <c r="E708">
        <v>0</v>
      </c>
      <c r="F708">
        <v>0.75</v>
      </c>
      <c r="G708">
        <v>0.76308703422546298</v>
      </c>
      <c r="H708">
        <v>0</v>
      </c>
      <c r="I708">
        <v>0</v>
      </c>
      <c r="J708">
        <v>30</v>
      </c>
    </row>
    <row r="709" spans="1:10" x14ac:dyDescent="0.25">
      <c r="A709" t="s">
        <v>10</v>
      </c>
      <c r="B709" t="s">
        <v>20</v>
      </c>
      <c r="C709" t="s">
        <v>12</v>
      </c>
      <c r="D709" t="s">
        <v>16</v>
      </c>
      <c r="E709">
        <v>0</v>
      </c>
      <c r="F709">
        <v>0.75</v>
      </c>
      <c r="G709">
        <v>0.76978826522827104</v>
      </c>
      <c r="H709">
        <v>0</v>
      </c>
      <c r="I709">
        <v>0</v>
      </c>
      <c r="J709">
        <v>30</v>
      </c>
    </row>
    <row r="710" spans="1:10" x14ac:dyDescent="0.25">
      <c r="A710" t="s">
        <v>10</v>
      </c>
      <c r="B710" t="s">
        <v>20</v>
      </c>
      <c r="C710" t="s">
        <v>12</v>
      </c>
      <c r="D710" t="s">
        <v>16</v>
      </c>
      <c r="E710">
        <v>0</v>
      </c>
      <c r="F710">
        <v>0.75</v>
      </c>
      <c r="G710">
        <v>0.77906680107116699</v>
      </c>
      <c r="H710">
        <v>0</v>
      </c>
      <c r="I710">
        <v>0</v>
      </c>
      <c r="J710">
        <v>30</v>
      </c>
    </row>
    <row r="711" spans="1:10" x14ac:dyDescent="0.25">
      <c r="A711" t="s">
        <v>10</v>
      </c>
      <c r="B711" t="s">
        <v>20</v>
      </c>
      <c r="C711" t="s">
        <v>12</v>
      </c>
      <c r="D711" t="s">
        <v>16</v>
      </c>
      <c r="E711">
        <v>0</v>
      </c>
      <c r="F711">
        <v>0.75</v>
      </c>
      <c r="G711">
        <v>0.77906680107116699</v>
      </c>
      <c r="H711">
        <v>0</v>
      </c>
      <c r="I711">
        <v>0</v>
      </c>
      <c r="J711">
        <v>30</v>
      </c>
    </row>
    <row r="712" spans="1:10" x14ac:dyDescent="0.25">
      <c r="A712" t="s">
        <v>10</v>
      </c>
      <c r="B712" t="s">
        <v>20</v>
      </c>
      <c r="C712" t="s">
        <v>12</v>
      </c>
      <c r="D712" t="s">
        <v>16</v>
      </c>
      <c r="E712">
        <v>0</v>
      </c>
      <c r="F712">
        <v>0.75</v>
      </c>
      <c r="G712">
        <v>0.77906680107116699</v>
      </c>
      <c r="H712">
        <v>0</v>
      </c>
      <c r="I712">
        <v>0</v>
      </c>
      <c r="J712">
        <v>30</v>
      </c>
    </row>
    <row r="713" spans="1:10" x14ac:dyDescent="0.25">
      <c r="A713" t="s">
        <v>10</v>
      </c>
      <c r="B713" t="s">
        <v>20</v>
      </c>
      <c r="C713" t="s">
        <v>12</v>
      </c>
      <c r="D713" t="s">
        <v>16</v>
      </c>
      <c r="E713">
        <v>0</v>
      </c>
      <c r="F713">
        <v>0.75</v>
      </c>
      <c r="G713">
        <v>0.79048967361450195</v>
      </c>
      <c r="H713">
        <v>0</v>
      </c>
      <c r="I713">
        <v>0</v>
      </c>
      <c r="J713">
        <v>30</v>
      </c>
    </row>
    <row r="714" spans="1:10" x14ac:dyDescent="0.25">
      <c r="A714" t="s">
        <v>10</v>
      </c>
      <c r="B714" t="s">
        <v>20</v>
      </c>
      <c r="C714" t="s">
        <v>12</v>
      </c>
      <c r="D714" t="s">
        <v>16</v>
      </c>
      <c r="E714">
        <v>0</v>
      </c>
      <c r="F714">
        <v>0.75</v>
      </c>
      <c r="G714">
        <v>0.80342102050781194</v>
      </c>
      <c r="H714">
        <v>0</v>
      </c>
      <c r="I714">
        <v>0</v>
      </c>
      <c r="J714">
        <v>30</v>
      </c>
    </row>
    <row r="715" spans="1:10" x14ac:dyDescent="0.25">
      <c r="A715" t="s">
        <v>10</v>
      </c>
      <c r="B715" t="s">
        <v>20</v>
      </c>
      <c r="C715" t="s">
        <v>12</v>
      </c>
      <c r="D715" t="s">
        <v>16</v>
      </c>
      <c r="E715">
        <v>0</v>
      </c>
      <c r="F715">
        <v>0.75</v>
      </c>
      <c r="G715">
        <v>0.79439902305603005</v>
      </c>
      <c r="H715">
        <v>0</v>
      </c>
      <c r="I715">
        <v>0</v>
      </c>
      <c r="J715">
        <v>30</v>
      </c>
    </row>
    <row r="716" spans="1:10" x14ac:dyDescent="0.25">
      <c r="A716" t="s">
        <v>10</v>
      </c>
      <c r="B716" t="s">
        <v>20</v>
      </c>
      <c r="C716" t="s">
        <v>12</v>
      </c>
      <c r="D716" t="s">
        <v>16</v>
      </c>
      <c r="E716">
        <v>0</v>
      </c>
      <c r="F716">
        <v>0.75</v>
      </c>
      <c r="G716">
        <v>0.80260896682739202</v>
      </c>
      <c r="H716">
        <v>0</v>
      </c>
      <c r="I716">
        <v>0</v>
      </c>
      <c r="J716">
        <v>30</v>
      </c>
    </row>
    <row r="717" spans="1:10" x14ac:dyDescent="0.25">
      <c r="A717" t="s">
        <v>10</v>
      </c>
      <c r="B717" t="s">
        <v>20</v>
      </c>
      <c r="C717" t="s">
        <v>12</v>
      </c>
      <c r="D717" t="s">
        <v>16</v>
      </c>
      <c r="E717">
        <v>0</v>
      </c>
      <c r="F717">
        <v>0.75</v>
      </c>
      <c r="G717">
        <v>0.79928231239318803</v>
      </c>
      <c r="H717">
        <v>0</v>
      </c>
      <c r="I717">
        <v>0</v>
      </c>
      <c r="J717">
        <v>30</v>
      </c>
    </row>
    <row r="718" spans="1:10" x14ac:dyDescent="0.25">
      <c r="A718" t="s">
        <v>10</v>
      </c>
      <c r="B718" t="s">
        <v>20</v>
      </c>
      <c r="C718" t="s">
        <v>12</v>
      </c>
      <c r="D718" t="s">
        <v>16</v>
      </c>
      <c r="E718">
        <v>0</v>
      </c>
      <c r="F718">
        <v>0.75</v>
      </c>
      <c r="G718">
        <v>0.81130814552307096</v>
      </c>
      <c r="H718">
        <v>0</v>
      </c>
      <c r="I718">
        <v>0</v>
      </c>
      <c r="J718">
        <v>30</v>
      </c>
    </row>
    <row r="719" spans="1:10" x14ac:dyDescent="0.25">
      <c r="A719" t="s">
        <v>10</v>
      </c>
      <c r="B719" t="s">
        <v>20</v>
      </c>
      <c r="C719" t="s">
        <v>12</v>
      </c>
      <c r="D719" t="s">
        <v>16</v>
      </c>
      <c r="E719">
        <v>0</v>
      </c>
      <c r="F719">
        <v>0.75</v>
      </c>
      <c r="G719">
        <v>0.79619336128234797</v>
      </c>
      <c r="H719">
        <v>0</v>
      </c>
      <c r="I719">
        <v>0</v>
      </c>
      <c r="J719">
        <v>30</v>
      </c>
    </row>
    <row r="720" spans="1:10" x14ac:dyDescent="0.25">
      <c r="A720" t="s">
        <v>10</v>
      </c>
      <c r="B720" t="s">
        <v>20</v>
      </c>
      <c r="C720" t="s">
        <v>12</v>
      </c>
      <c r="D720" t="s">
        <v>16</v>
      </c>
      <c r="E720">
        <v>0</v>
      </c>
      <c r="F720">
        <v>0.75</v>
      </c>
      <c r="G720">
        <v>0.79719281196594205</v>
      </c>
      <c r="H720">
        <v>0</v>
      </c>
      <c r="I720">
        <v>0</v>
      </c>
      <c r="J720">
        <v>30</v>
      </c>
    </row>
    <row r="721" spans="1:10" x14ac:dyDescent="0.25">
      <c r="A721" t="s">
        <v>10</v>
      </c>
      <c r="B721" t="s">
        <v>20</v>
      </c>
      <c r="C721" t="s">
        <v>12</v>
      </c>
      <c r="D721" t="s">
        <v>16</v>
      </c>
      <c r="E721">
        <v>0</v>
      </c>
      <c r="F721">
        <v>0.75</v>
      </c>
      <c r="G721">
        <v>0.79009222984313898</v>
      </c>
      <c r="H721">
        <v>0</v>
      </c>
      <c r="I721">
        <v>0</v>
      </c>
      <c r="J721">
        <v>30</v>
      </c>
    </row>
    <row r="722" spans="1:10" x14ac:dyDescent="0.25">
      <c r="A722" t="s">
        <v>10</v>
      </c>
      <c r="B722" t="s">
        <v>20</v>
      </c>
      <c r="C722" t="s">
        <v>12</v>
      </c>
      <c r="D722" t="s">
        <v>17</v>
      </c>
      <c r="E722">
        <v>0.63888888888888795</v>
      </c>
      <c r="F722">
        <v>0.78224259382499906</v>
      </c>
      <c r="G722">
        <v>64.925913572311401</v>
      </c>
      <c r="H722">
        <v>64</v>
      </c>
      <c r="I722">
        <v>72</v>
      </c>
      <c r="J722">
        <v>30</v>
      </c>
    </row>
    <row r="723" spans="1:10" x14ac:dyDescent="0.25">
      <c r="A723" t="s">
        <v>10</v>
      </c>
      <c r="B723" t="s">
        <v>20</v>
      </c>
      <c r="C723" t="s">
        <v>12</v>
      </c>
      <c r="D723" t="s">
        <v>17</v>
      </c>
      <c r="E723">
        <v>0.58333333333333304</v>
      </c>
      <c r="F723">
        <v>0.75815635673888804</v>
      </c>
      <c r="G723">
        <v>65.409835100173893</v>
      </c>
      <c r="H723">
        <v>48</v>
      </c>
      <c r="I723">
        <v>51</v>
      </c>
      <c r="J723">
        <v>30</v>
      </c>
    </row>
    <row r="724" spans="1:10" x14ac:dyDescent="0.25">
      <c r="A724" t="s">
        <v>10</v>
      </c>
      <c r="B724" t="s">
        <v>20</v>
      </c>
      <c r="C724" t="s">
        <v>12</v>
      </c>
      <c r="D724" t="s">
        <v>17</v>
      </c>
      <c r="E724">
        <v>0.63888888888888795</v>
      </c>
      <c r="F724">
        <v>0.766508742411111</v>
      </c>
      <c r="G724">
        <v>67.327111721038804</v>
      </c>
      <c r="H724">
        <v>53</v>
      </c>
      <c r="I724">
        <v>56</v>
      </c>
      <c r="J724">
        <v>30</v>
      </c>
    </row>
    <row r="725" spans="1:10" x14ac:dyDescent="0.25">
      <c r="A725" t="s">
        <v>10</v>
      </c>
      <c r="B725" t="s">
        <v>20</v>
      </c>
      <c r="C725" t="s">
        <v>12</v>
      </c>
      <c r="D725" t="s">
        <v>17</v>
      </c>
      <c r="E725">
        <v>0.61111111111111105</v>
      </c>
      <c r="F725">
        <v>0.76624339750000003</v>
      </c>
      <c r="G725">
        <v>67.658843517303396</v>
      </c>
      <c r="H725">
        <v>57</v>
      </c>
      <c r="I725">
        <v>59</v>
      </c>
      <c r="J725">
        <v>30</v>
      </c>
    </row>
    <row r="726" spans="1:10" x14ac:dyDescent="0.25">
      <c r="A726" t="s">
        <v>10</v>
      </c>
      <c r="B726" t="s">
        <v>20</v>
      </c>
      <c r="C726" t="s">
        <v>12</v>
      </c>
      <c r="D726" t="s">
        <v>17</v>
      </c>
      <c r="E726">
        <v>0.72222222222222199</v>
      </c>
      <c r="F726">
        <v>0.78256805949999997</v>
      </c>
      <c r="G726">
        <v>68.475039958953801</v>
      </c>
      <c r="H726">
        <v>61</v>
      </c>
      <c r="I726">
        <v>60</v>
      </c>
      <c r="J726">
        <v>30</v>
      </c>
    </row>
    <row r="727" spans="1:10" x14ac:dyDescent="0.25">
      <c r="A727" t="s">
        <v>10</v>
      </c>
      <c r="B727" t="s">
        <v>20</v>
      </c>
      <c r="C727" t="s">
        <v>12</v>
      </c>
      <c r="D727" t="s">
        <v>17</v>
      </c>
      <c r="E727">
        <v>0.55555555555555503</v>
      </c>
      <c r="F727">
        <v>0.760301008016666</v>
      </c>
      <c r="G727">
        <v>69.1403679847717</v>
      </c>
      <c r="H727">
        <v>56</v>
      </c>
      <c r="I727">
        <v>59</v>
      </c>
      <c r="J727">
        <v>30</v>
      </c>
    </row>
    <row r="728" spans="1:10" x14ac:dyDescent="0.25">
      <c r="A728" t="s">
        <v>10</v>
      </c>
      <c r="B728" t="s">
        <v>20</v>
      </c>
      <c r="C728" t="s">
        <v>12</v>
      </c>
      <c r="D728" t="s">
        <v>17</v>
      </c>
      <c r="E728">
        <v>0.58333333333333304</v>
      </c>
      <c r="F728">
        <v>0.77570777666388802</v>
      </c>
      <c r="G728">
        <v>69.200714111328097</v>
      </c>
      <c r="H728">
        <v>55</v>
      </c>
      <c r="I728">
        <v>54</v>
      </c>
      <c r="J728">
        <v>30</v>
      </c>
    </row>
    <row r="729" spans="1:10" x14ac:dyDescent="0.25">
      <c r="A729" t="s">
        <v>10</v>
      </c>
      <c r="B729" t="s">
        <v>20</v>
      </c>
      <c r="C729" t="s">
        <v>12</v>
      </c>
      <c r="D729" t="s">
        <v>17</v>
      </c>
      <c r="E729">
        <v>0.69444444444444398</v>
      </c>
      <c r="F729">
        <v>0.78896928121111098</v>
      </c>
      <c r="G729">
        <v>69.4116339683532</v>
      </c>
      <c r="H729">
        <v>55</v>
      </c>
      <c r="I729">
        <v>60</v>
      </c>
      <c r="J729">
        <v>30</v>
      </c>
    </row>
    <row r="730" spans="1:10" x14ac:dyDescent="0.25">
      <c r="A730" t="s">
        <v>10</v>
      </c>
      <c r="B730" t="s">
        <v>20</v>
      </c>
      <c r="C730" t="s">
        <v>12</v>
      </c>
      <c r="D730" t="s">
        <v>17</v>
      </c>
      <c r="E730">
        <v>0.63888888888888795</v>
      </c>
      <c r="F730">
        <v>0.777550451275</v>
      </c>
      <c r="G730">
        <v>69.610621213912907</v>
      </c>
      <c r="H730">
        <v>66</v>
      </c>
      <c r="I730">
        <v>70</v>
      </c>
      <c r="J730">
        <v>30</v>
      </c>
    </row>
    <row r="731" spans="1:10" x14ac:dyDescent="0.25">
      <c r="A731" t="s">
        <v>10</v>
      </c>
      <c r="B731" t="s">
        <v>20</v>
      </c>
      <c r="C731" t="s">
        <v>12</v>
      </c>
      <c r="D731" t="s">
        <v>17</v>
      </c>
      <c r="E731">
        <v>0.75</v>
      </c>
      <c r="F731">
        <v>0.79586637974166596</v>
      </c>
      <c r="G731">
        <v>70.19384765625</v>
      </c>
      <c r="H731">
        <v>47</v>
      </c>
      <c r="I731">
        <v>47</v>
      </c>
      <c r="J731">
        <v>30</v>
      </c>
    </row>
    <row r="732" spans="1:10" x14ac:dyDescent="0.25">
      <c r="A732" t="s">
        <v>10</v>
      </c>
      <c r="B732" t="s">
        <v>20</v>
      </c>
      <c r="C732" t="s">
        <v>12</v>
      </c>
      <c r="D732" t="s">
        <v>17</v>
      </c>
      <c r="E732">
        <v>0.61111111111111105</v>
      </c>
      <c r="F732">
        <v>0.77285971372222195</v>
      </c>
      <c r="G732">
        <v>70.398786783218299</v>
      </c>
      <c r="H732">
        <v>56</v>
      </c>
      <c r="I732">
        <v>60</v>
      </c>
      <c r="J732">
        <v>30</v>
      </c>
    </row>
    <row r="733" spans="1:10" x14ac:dyDescent="0.25">
      <c r="A733" t="s">
        <v>10</v>
      </c>
      <c r="B733" t="s">
        <v>20</v>
      </c>
      <c r="C733" t="s">
        <v>12</v>
      </c>
      <c r="D733" t="s">
        <v>17</v>
      </c>
      <c r="E733">
        <v>0.66666666666666596</v>
      </c>
      <c r="F733">
        <v>0.78451357798333299</v>
      </c>
      <c r="G733">
        <v>71.000355243682804</v>
      </c>
      <c r="H733">
        <v>58</v>
      </c>
      <c r="I733">
        <v>56</v>
      </c>
      <c r="J733">
        <v>30</v>
      </c>
    </row>
    <row r="734" spans="1:10" x14ac:dyDescent="0.25">
      <c r="A734" t="s">
        <v>10</v>
      </c>
      <c r="B734" t="s">
        <v>20</v>
      </c>
      <c r="C734" t="s">
        <v>12</v>
      </c>
      <c r="D734" t="s">
        <v>17</v>
      </c>
      <c r="E734">
        <v>0.77777777777777701</v>
      </c>
      <c r="F734">
        <v>0.79558401629722197</v>
      </c>
      <c r="G734">
        <v>71.053077697753906</v>
      </c>
      <c r="H734">
        <v>59</v>
      </c>
      <c r="I734">
        <v>55</v>
      </c>
      <c r="J734">
        <v>30</v>
      </c>
    </row>
    <row r="735" spans="1:10" x14ac:dyDescent="0.25">
      <c r="A735" t="s">
        <v>10</v>
      </c>
      <c r="B735" t="s">
        <v>20</v>
      </c>
      <c r="C735" t="s">
        <v>12</v>
      </c>
      <c r="D735" t="s">
        <v>17</v>
      </c>
      <c r="E735">
        <v>0.66666666666666596</v>
      </c>
      <c r="F735">
        <v>0.77402969097222196</v>
      </c>
      <c r="G735">
        <v>71.471757650375295</v>
      </c>
      <c r="H735">
        <v>59</v>
      </c>
      <c r="I735">
        <v>62</v>
      </c>
      <c r="J735">
        <v>30</v>
      </c>
    </row>
    <row r="736" spans="1:10" x14ac:dyDescent="0.25">
      <c r="A736" t="s">
        <v>10</v>
      </c>
      <c r="B736" t="s">
        <v>20</v>
      </c>
      <c r="C736" t="s">
        <v>12</v>
      </c>
      <c r="D736" t="s">
        <v>17</v>
      </c>
      <c r="E736">
        <v>0.77777777777777701</v>
      </c>
      <c r="F736">
        <v>0.80385082885000003</v>
      </c>
      <c r="G736">
        <v>72.469616413116398</v>
      </c>
      <c r="H736">
        <v>57</v>
      </c>
      <c r="I736">
        <v>55</v>
      </c>
      <c r="J736">
        <v>30</v>
      </c>
    </row>
    <row r="737" spans="1:10" x14ac:dyDescent="0.25">
      <c r="A737" t="s">
        <v>10</v>
      </c>
      <c r="B737" t="s">
        <v>20</v>
      </c>
      <c r="C737" t="s">
        <v>12</v>
      </c>
      <c r="D737" t="s">
        <v>17</v>
      </c>
      <c r="E737">
        <v>0.61111111111111105</v>
      </c>
      <c r="F737">
        <v>0.76635034436388805</v>
      </c>
      <c r="G737">
        <v>72.9711270332336</v>
      </c>
      <c r="H737">
        <v>55</v>
      </c>
      <c r="I737">
        <v>53</v>
      </c>
      <c r="J737">
        <v>30</v>
      </c>
    </row>
    <row r="738" spans="1:10" x14ac:dyDescent="0.25">
      <c r="A738" t="s">
        <v>10</v>
      </c>
      <c r="B738" t="s">
        <v>20</v>
      </c>
      <c r="C738" t="s">
        <v>12</v>
      </c>
      <c r="D738" t="s">
        <v>17</v>
      </c>
      <c r="E738">
        <v>0.77777777777777701</v>
      </c>
      <c r="F738">
        <v>0.809438041644444</v>
      </c>
      <c r="G738">
        <v>73.105677127838106</v>
      </c>
      <c r="H738">
        <v>62</v>
      </c>
      <c r="I738">
        <v>63</v>
      </c>
      <c r="J738">
        <v>30</v>
      </c>
    </row>
    <row r="739" spans="1:10" x14ac:dyDescent="0.25">
      <c r="A739" t="s">
        <v>10</v>
      </c>
      <c r="B739" t="s">
        <v>20</v>
      </c>
      <c r="C739" t="s">
        <v>12</v>
      </c>
      <c r="D739" t="s">
        <v>17</v>
      </c>
      <c r="E739">
        <v>0.47222222222222199</v>
      </c>
      <c r="F739">
        <v>0.73408006154722205</v>
      </c>
      <c r="G739">
        <v>73.177180528640704</v>
      </c>
      <c r="H739">
        <v>59</v>
      </c>
      <c r="I739">
        <v>64</v>
      </c>
      <c r="J739">
        <v>30</v>
      </c>
    </row>
    <row r="740" spans="1:10" x14ac:dyDescent="0.25">
      <c r="A740" t="s">
        <v>10</v>
      </c>
      <c r="B740" t="s">
        <v>20</v>
      </c>
      <c r="C740" t="s">
        <v>12</v>
      </c>
      <c r="D740" t="s">
        <v>17</v>
      </c>
      <c r="E740">
        <v>0.55555555555555503</v>
      </c>
      <c r="F740">
        <v>0.75749969312777699</v>
      </c>
      <c r="G740">
        <v>73.361653089523301</v>
      </c>
      <c r="H740">
        <v>55</v>
      </c>
      <c r="I740">
        <v>58</v>
      </c>
      <c r="J740">
        <v>30</v>
      </c>
    </row>
    <row r="741" spans="1:10" x14ac:dyDescent="0.25">
      <c r="A741" t="s">
        <v>10</v>
      </c>
      <c r="B741" t="s">
        <v>20</v>
      </c>
      <c r="C741" t="s">
        <v>12</v>
      </c>
      <c r="D741" t="s">
        <v>17</v>
      </c>
      <c r="E741">
        <v>0.41666666666666602</v>
      </c>
      <c r="F741">
        <v>0.72586345835555499</v>
      </c>
      <c r="G741">
        <v>73.419497251510606</v>
      </c>
      <c r="H741">
        <v>60</v>
      </c>
      <c r="I741">
        <v>57</v>
      </c>
      <c r="J741">
        <v>30</v>
      </c>
    </row>
    <row r="742" spans="1:10" x14ac:dyDescent="0.25">
      <c r="A742" t="s">
        <v>10</v>
      </c>
      <c r="B742" t="s">
        <v>20</v>
      </c>
      <c r="C742" t="s">
        <v>12</v>
      </c>
      <c r="D742" t="s">
        <v>17</v>
      </c>
      <c r="E742">
        <v>0.63888888888888795</v>
      </c>
      <c r="F742">
        <v>0.77399442649722205</v>
      </c>
      <c r="G742">
        <v>73.432049751281696</v>
      </c>
      <c r="H742">
        <v>58</v>
      </c>
      <c r="I742">
        <v>59</v>
      </c>
      <c r="J742">
        <v>30</v>
      </c>
    </row>
    <row r="743" spans="1:10" x14ac:dyDescent="0.25">
      <c r="A743" t="s">
        <v>10</v>
      </c>
      <c r="B743" t="s">
        <v>20</v>
      </c>
      <c r="C743" t="s">
        <v>12</v>
      </c>
      <c r="D743" t="s">
        <v>17</v>
      </c>
      <c r="E743">
        <v>0.69444444444444398</v>
      </c>
      <c r="F743">
        <v>0.77882732108333297</v>
      </c>
      <c r="G743">
        <v>73.560405731201101</v>
      </c>
      <c r="H743">
        <v>52</v>
      </c>
      <c r="I743">
        <v>52</v>
      </c>
      <c r="J743">
        <v>30</v>
      </c>
    </row>
    <row r="744" spans="1:10" x14ac:dyDescent="0.25">
      <c r="A744" t="s">
        <v>10</v>
      </c>
      <c r="B744" t="s">
        <v>20</v>
      </c>
      <c r="C744" t="s">
        <v>12</v>
      </c>
      <c r="D744" t="s">
        <v>17</v>
      </c>
      <c r="E744">
        <v>0.72222222222222199</v>
      </c>
      <c r="F744">
        <v>0.78936737935555501</v>
      </c>
      <c r="G744">
        <v>73.659142732620197</v>
      </c>
      <c r="H744">
        <v>60</v>
      </c>
      <c r="I744">
        <v>62</v>
      </c>
      <c r="J744">
        <v>30</v>
      </c>
    </row>
    <row r="745" spans="1:10" x14ac:dyDescent="0.25">
      <c r="A745" t="s">
        <v>10</v>
      </c>
      <c r="B745" t="s">
        <v>20</v>
      </c>
      <c r="C745" t="s">
        <v>12</v>
      </c>
      <c r="D745" t="s">
        <v>17</v>
      </c>
      <c r="E745">
        <v>0.69444444444444398</v>
      </c>
      <c r="F745">
        <v>0.78264297372222202</v>
      </c>
      <c r="G745">
        <v>73.709679365157996</v>
      </c>
      <c r="H745">
        <v>60</v>
      </c>
      <c r="I745">
        <v>64</v>
      </c>
      <c r="J745">
        <v>30</v>
      </c>
    </row>
    <row r="746" spans="1:10" x14ac:dyDescent="0.25">
      <c r="A746" t="s">
        <v>10</v>
      </c>
      <c r="B746" t="s">
        <v>20</v>
      </c>
      <c r="C746" t="s">
        <v>12</v>
      </c>
      <c r="D746" t="s">
        <v>17</v>
      </c>
      <c r="E746">
        <v>0.58333333333333304</v>
      </c>
      <c r="F746">
        <v>0.75947274726388803</v>
      </c>
      <c r="G746">
        <v>73.7550435066223</v>
      </c>
      <c r="H746">
        <v>52</v>
      </c>
      <c r="I746">
        <v>52</v>
      </c>
      <c r="J746">
        <v>30</v>
      </c>
    </row>
    <row r="747" spans="1:10" x14ac:dyDescent="0.25">
      <c r="A747" t="s">
        <v>10</v>
      </c>
      <c r="B747" t="s">
        <v>20</v>
      </c>
      <c r="C747" t="s">
        <v>12</v>
      </c>
      <c r="D747" t="s">
        <v>17</v>
      </c>
      <c r="E747">
        <v>0.77777777777777701</v>
      </c>
      <c r="F747">
        <v>0.81016545932777695</v>
      </c>
      <c r="G747">
        <v>73.922445535659705</v>
      </c>
      <c r="H747">
        <v>56</v>
      </c>
      <c r="I747">
        <v>53</v>
      </c>
      <c r="J747">
        <v>30</v>
      </c>
    </row>
    <row r="748" spans="1:10" x14ac:dyDescent="0.25">
      <c r="A748" t="s">
        <v>10</v>
      </c>
      <c r="B748" t="s">
        <v>20</v>
      </c>
      <c r="C748" t="s">
        <v>12</v>
      </c>
      <c r="D748" t="s">
        <v>17</v>
      </c>
      <c r="E748">
        <v>0.66666666666666596</v>
      </c>
      <c r="F748">
        <v>0.77542419879166602</v>
      </c>
      <c r="G748">
        <v>74.445489645004201</v>
      </c>
      <c r="H748">
        <v>56</v>
      </c>
      <c r="I748">
        <v>53</v>
      </c>
      <c r="J748">
        <v>30</v>
      </c>
    </row>
    <row r="749" spans="1:10" x14ac:dyDescent="0.25">
      <c r="A749" t="s">
        <v>10</v>
      </c>
      <c r="B749" t="s">
        <v>20</v>
      </c>
      <c r="C749" t="s">
        <v>12</v>
      </c>
      <c r="D749" t="s">
        <v>17</v>
      </c>
      <c r="E749">
        <v>0.69444444444444398</v>
      </c>
      <c r="F749">
        <v>0.77469420245555498</v>
      </c>
      <c r="G749">
        <v>74.466580629348698</v>
      </c>
      <c r="H749">
        <v>53</v>
      </c>
      <c r="I749">
        <v>54</v>
      </c>
      <c r="J749">
        <v>30</v>
      </c>
    </row>
    <row r="750" spans="1:10" x14ac:dyDescent="0.25">
      <c r="A750" t="s">
        <v>10</v>
      </c>
      <c r="B750" t="s">
        <v>20</v>
      </c>
      <c r="C750" t="s">
        <v>12</v>
      </c>
      <c r="D750" t="s">
        <v>17</v>
      </c>
      <c r="E750">
        <v>0.66666666666666596</v>
      </c>
      <c r="F750">
        <v>0.78074710814444404</v>
      </c>
      <c r="G750">
        <v>74.502548694610596</v>
      </c>
      <c r="H750">
        <v>61</v>
      </c>
      <c r="I750">
        <v>61</v>
      </c>
      <c r="J750">
        <v>30</v>
      </c>
    </row>
    <row r="751" spans="1:10" x14ac:dyDescent="0.25">
      <c r="A751" t="s">
        <v>10</v>
      </c>
      <c r="B751" t="s">
        <v>20</v>
      </c>
      <c r="C751" t="s">
        <v>12</v>
      </c>
      <c r="D751" t="s">
        <v>17</v>
      </c>
      <c r="E751">
        <v>0.75</v>
      </c>
      <c r="F751">
        <v>0.79217189366666596</v>
      </c>
      <c r="G751">
        <v>74.5594611167907</v>
      </c>
      <c r="H751">
        <v>59</v>
      </c>
      <c r="I751">
        <v>62</v>
      </c>
      <c r="J751">
        <v>30</v>
      </c>
    </row>
    <row r="752" spans="1:10" x14ac:dyDescent="0.25">
      <c r="A752" t="s">
        <v>10</v>
      </c>
      <c r="B752" t="s">
        <v>20</v>
      </c>
      <c r="C752" t="s">
        <v>18</v>
      </c>
      <c r="D752" t="s">
        <v>13</v>
      </c>
      <c r="E752">
        <v>0.91666666666666596</v>
      </c>
      <c r="F752">
        <v>0.93053723389722198</v>
      </c>
      <c r="G752">
        <v>3.53910064697265</v>
      </c>
      <c r="H752">
        <v>6</v>
      </c>
      <c r="I752">
        <v>6</v>
      </c>
      <c r="J752">
        <v>30</v>
      </c>
    </row>
    <row r="753" spans="1:10" x14ac:dyDescent="0.25">
      <c r="A753" t="s">
        <v>10</v>
      </c>
      <c r="B753" t="s">
        <v>20</v>
      </c>
      <c r="C753" t="s">
        <v>18</v>
      </c>
      <c r="D753" t="s">
        <v>13</v>
      </c>
      <c r="E753">
        <v>0.91666666666666596</v>
      </c>
      <c r="F753">
        <v>0.95349840771111105</v>
      </c>
      <c r="G753">
        <v>4.4689686298370299</v>
      </c>
      <c r="H753">
        <v>6</v>
      </c>
      <c r="I753">
        <v>7</v>
      </c>
      <c r="J753">
        <v>30</v>
      </c>
    </row>
    <row r="754" spans="1:10" x14ac:dyDescent="0.25">
      <c r="A754" t="s">
        <v>10</v>
      </c>
      <c r="B754" t="s">
        <v>20</v>
      </c>
      <c r="C754" t="s">
        <v>18</v>
      </c>
      <c r="D754" t="s">
        <v>13</v>
      </c>
      <c r="E754">
        <v>0.88888888888888795</v>
      </c>
      <c r="F754">
        <v>0.89613642570833296</v>
      </c>
      <c r="G754">
        <v>5.6292419433593697</v>
      </c>
      <c r="H754">
        <v>6</v>
      </c>
      <c r="I754">
        <v>6</v>
      </c>
      <c r="J754">
        <v>30</v>
      </c>
    </row>
    <row r="755" spans="1:10" x14ac:dyDescent="0.25">
      <c r="A755" t="s">
        <v>10</v>
      </c>
      <c r="B755" t="s">
        <v>20</v>
      </c>
      <c r="C755" t="s">
        <v>18</v>
      </c>
      <c r="D755" t="s">
        <v>13</v>
      </c>
      <c r="E755">
        <v>0.94444444444444398</v>
      </c>
      <c r="F755">
        <v>0.95404586971666605</v>
      </c>
      <c r="G755">
        <v>5.6806249618530202</v>
      </c>
      <c r="H755">
        <v>7</v>
      </c>
      <c r="I755">
        <v>7</v>
      </c>
      <c r="J755">
        <v>30</v>
      </c>
    </row>
    <row r="756" spans="1:10" x14ac:dyDescent="0.25">
      <c r="A756" t="s">
        <v>10</v>
      </c>
      <c r="B756" t="s">
        <v>20</v>
      </c>
      <c r="C756" t="s">
        <v>18</v>
      </c>
      <c r="D756" t="s">
        <v>13</v>
      </c>
      <c r="E756">
        <v>0.94444444444444398</v>
      </c>
      <c r="F756">
        <v>0.94736047698888803</v>
      </c>
      <c r="G756">
        <v>5.7127194404601997</v>
      </c>
      <c r="H756">
        <v>6</v>
      </c>
      <c r="I756">
        <v>6</v>
      </c>
      <c r="J756">
        <v>30</v>
      </c>
    </row>
    <row r="757" spans="1:10" x14ac:dyDescent="0.25">
      <c r="A757" t="s">
        <v>10</v>
      </c>
      <c r="B757" t="s">
        <v>20</v>
      </c>
      <c r="C757" t="s">
        <v>18</v>
      </c>
      <c r="D757" t="s">
        <v>13</v>
      </c>
      <c r="E757">
        <v>0.80555555555555503</v>
      </c>
      <c r="F757">
        <v>0.82856243109444405</v>
      </c>
      <c r="G757">
        <v>5.7960672378540004</v>
      </c>
      <c r="H757">
        <v>7</v>
      </c>
      <c r="I757">
        <v>8</v>
      </c>
      <c r="J757">
        <v>30</v>
      </c>
    </row>
    <row r="758" spans="1:10" x14ac:dyDescent="0.25">
      <c r="A758" t="s">
        <v>10</v>
      </c>
      <c r="B758" t="s">
        <v>20</v>
      </c>
      <c r="C758" t="s">
        <v>18</v>
      </c>
      <c r="D758" t="s">
        <v>13</v>
      </c>
      <c r="E758">
        <v>0.83333333333333304</v>
      </c>
      <c r="F758">
        <v>0.83711222775833305</v>
      </c>
      <c r="G758">
        <v>5.9035592079162598</v>
      </c>
      <c r="H758">
        <v>7</v>
      </c>
      <c r="I758">
        <v>8</v>
      </c>
      <c r="J758">
        <v>30</v>
      </c>
    </row>
    <row r="759" spans="1:10" x14ac:dyDescent="0.25">
      <c r="A759" t="s">
        <v>10</v>
      </c>
      <c r="B759" t="s">
        <v>20</v>
      </c>
      <c r="C759" t="s">
        <v>18</v>
      </c>
      <c r="D759" t="s">
        <v>13</v>
      </c>
      <c r="E759">
        <v>0.91666666666666596</v>
      </c>
      <c r="F759">
        <v>0.93443627131111096</v>
      </c>
      <c r="G759">
        <v>6.0087599754333496</v>
      </c>
      <c r="H759">
        <v>7</v>
      </c>
      <c r="I759">
        <v>7</v>
      </c>
      <c r="J759">
        <v>30</v>
      </c>
    </row>
    <row r="760" spans="1:10" x14ac:dyDescent="0.25">
      <c r="A760" t="s">
        <v>10</v>
      </c>
      <c r="B760" t="s">
        <v>20</v>
      </c>
      <c r="C760" t="s">
        <v>18</v>
      </c>
      <c r="D760" t="s">
        <v>13</v>
      </c>
      <c r="E760">
        <v>0.94444444444444398</v>
      </c>
      <c r="F760">
        <v>0.94157391834444404</v>
      </c>
      <c r="G760">
        <v>5.99977278709411</v>
      </c>
      <c r="H760">
        <v>6</v>
      </c>
      <c r="I760">
        <v>6</v>
      </c>
      <c r="J760">
        <v>30</v>
      </c>
    </row>
    <row r="761" spans="1:10" x14ac:dyDescent="0.25">
      <c r="A761" t="s">
        <v>10</v>
      </c>
      <c r="B761" t="s">
        <v>20</v>
      </c>
      <c r="C761" t="s">
        <v>18</v>
      </c>
      <c r="D761" t="s">
        <v>13</v>
      </c>
      <c r="E761">
        <v>1</v>
      </c>
      <c r="F761">
        <v>0.987242435375</v>
      </c>
      <c r="G761">
        <v>6.0087599754333496</v>
      </c>
      <c r="H761">
        <v>6</v>
      </c>
      <c r="I761">
        <v>6</v>
      </c>
      <c r="J761">
        <v>30</v>
      </c>
    </row>
    <row r="762" spans="1:10" x14ac:dyDescent="0.25">
      <c r="A762" t="s">
        <v>10</v>
      </c>
      <c r="B762" t="s">
        <v>20</v>
      </c>
      <c r="C762" t="s">
        <v>18</v>
      </c>
      <c r="D762" t="s">
        <v>13</v>
      </c>
      <c r="E762">
        <v>0.86111111111111105</v>
      </c>
      <c r="F762">
        <v>0.879907903072222</v>
      </c>
      <c r="G762">
        <v>6.0997629165649396</v>
      </c>
      <c r="H762">
        <v>7</v>
      </c>
      <c r="I762">
        <v>7</v>
      </c>
      <c r="J762">
        <v>30</v>
      </c>
    </row>
    <row r="763" spans="1:10" x14ac:dyDescent="0.25">
      <c r="A763" t="s">
        <v>10</v>
      </c>
      <c r="B763" t="s">
        <v>20</v>
      </c>
      <c r="C763" t="s">
        <v>18</v>
      </c>
      <c r="D763" t="s">
        <v>13</v>
      </c>
      <c r="E763">
        <v>0.88888888888888795</v>
      </c>
      <c r="F763">
        <v>0.92739043644166597</v>
      </c>
      <c r="G763">
        <v>6.1664299964904696</v>
      </c>
      <c r="H763">
        <v>9</v>
      </c>
      <c r="I763">
        <v>9</v>
      </c>
      <c r="J763">
        <v>30</v>
      </c>
    </row>
    <row r="764" spans="1:10" x14ac:dyDescent="0.25">
      <c r="A764" t="s">
        <v>10</v>
      </c>
      <c r="B764" t="s">
        <v>20</v>
      </c>
      <c r="C764" t="s">
        <v>18</v>
      </c>
      <c r="D764" t="s">
        <v>13</v>
      </c>
      <c r="E764">
        <v>0.88888888888888795</v>
      </c>
      <c r="F764">
        <v>0.89730095101944396</v>
      </c>
      <c r="G764">
        <v>6.1841931343078604</v>
      </c>
      <c r="H764">
        <v>7</v>
      </c>
      <c r="I764">
        <v>7</v>
      </c>
      <c r="J764">
        <v>30</v>
      </c>
    </row>
    <row r="765" spans="1:10" x14ac:dyDescent="0.25">
      <c r="A765" t="s">
        <v>10</v>
      </c>
      <c r="B765" t="s">
        <v>20</v>
      </c>
      <c r="C765" t="s">
        <v>18</v>
      </c>
      <c r="D765" t="s">
        <v>13</v>
      </c>
      <c r="E765">
        <v>0.94444444444444398</v>
      </c>
      <c r="F765">
        <v>0.94021892678611096</v>
      </c>
      <c r="G765">
        <v>6.1997342109680096</v>
      </c>
      <c r="H765">
        <v>6</v>
      </c>
      <c r="I765">
        <v>6</v>
      </c>
      <c r="J765">
        <v>30</v>
      </c>
    </row>
    <row r="766" spans="1:10" x14ac:dyDescent="0.25">
      <c r="A766" t="s">
        <v>10</v>
      </c>
      <c r="B766" t="s">
        <v>20</v>
      </c>
      <c r="C766" t="s">
        <v>18</v>
      </c>
      <c r="D766" t="s">
        <v>13</v>
      </c>
      <c r="E766">
        <v>0.91666666666666596</v>
      </c>
      <c r="F766">
        <v>0.93568722202777699</v>
      </c>
      <c r="G766">
        <v>6.2669625282287598</v>
      </c>
      <c r="H766">
        <v>9</v>
      </c>
      <c r="I766">
        <v>11</v>
      </c>
      <c r="J766">
        <v>30</v>
      </c>
    </row>
    <row r="767" spans="1:10" x14ac:dyDescent="0.25">
      <c r="A767" t="s">
        <v>10</v>
      </c>
      <c r="B767" t="s">
        <v>20</v>
      </c>
      <c r="C767" t="s">
        <v>18</v>
      </c>
      <c r="D767" t="s">
        <v>13</v>
      </c>
      <c r="E767">
        <v>0.94444444444444398</v>
      </c>
      <c r="F767">
        <v>0.94286488124722201</v>
      </c>
      <c r="G767">
        <v>6.6144859790802002</v>
      </c>
      <c r="H767">
        <v>7</v>
      </c>
      <c r="I767">
        <v>7</v>
      </c>
      <c r="J767">
        <v>30</v>
      </c>
    </row>
    <row r="768" spans="1:10" x14ac:dyDescent="0.25">
      <c r="A768" t="s">
        <v>10</v>
      </c>
      <c r="B768" t="s">
        <v>20</v>
      </c>
      <c r="C768" t="s">
        <v>18</v>
      </c>
      <c r="D768" t="s">
        <v>13</v>
      </c>
      <c r="E768">
        <v>0.97222222222222199</v>
      </c>
      <c r="F768">
        <v>0.95859756651944406</v>
      </c>
      <c r="G768">
        <v>6.8737628459930402</v>
      </c>
      <c r="H768">
        <v>9</v>
      </c>
      <c r="I768">
        <v>10</v>
      </c>
      <c r="J768">
        <v>30</v>
      </c>
    </row>
    <row r="769" spans="1:10" x14ac:dyDescent="0.25">
      <c r="A769" t="s">
        <v>10</v>
      </c>
      <c r="B769" t="s">
        <v>20</v>
      </c>
      <c r="C769" t="s">
        <v>18</v>
      </c>
      <c r="D769" t="s">
        <v>13</v>
      </c>
      <c r="E769">
        <v>0.88888888888888795</v>
      </c>
      <c r="F769">
        <v>0.90125308518611102</v>
      </c>
      <c r="G769">
        <v>7.0056498050689697</v>
      </c>
      <c r="H769">
        <v>9</v>
      </c>
      <c r="I769">
        <v>9</v>
      </c>
      <c r="J769">
        <v>30</v>
      </c>
    </row>
    <row r="770" spans="1:10" x14ac:dyDescent="0.25">
      <c r="A770" t="s">
        <v>10</v>
      </c>
      <c r="B770" t="s">
        <v>20</v>
      </c>
      <c r="C770" t="s">
        <v>18</v>
      </c>
      <c r="D770" t="s">
        <v>13</v>
      </c>
      <c r="E770">
        <v>1</v>
      </c>
      <c r="F770">
        <v>0.99288271168333297</v>
      </c>
      <c r="G770">
        <v>7.06823253631591</v>
      </c>
      <c r="H770">
        <v>8</v>
      </c>
      <c r="I770">
        <v>9</v>
      </c>
      <c r="J770">
        <v>30</v>
      </c>
    </row>
    <row r="771" spans="1:10" x14ac:dyDescent="0.25">
      <c r="A771" t="s">
        <v>10</v>
      </c>
      <c r="B771" t="s">
        <v>20</v>
      </c>
      <c r="C771" t="s">
        <v>18</v>
      </c>
      <c r="D771" t="s">
        <v>13</v>
      </c>
      <c r="E771">
        <v>0.91666666666666596</v>
      </c>
      <c r="F771">
        <v>0.921665898144444</v>
      </c>
      <c r="G771">
        <v>7.0830671787261901</v>
      </c>
      <c r="H771">
        <v>8</v>
      </c>
      <c r="I771">
        <v>9</v>
      </c>
      <c r="J771">
        <v>30</v>
      </c>
    </row>
    <row r="772" spans="1:10" x14ac:dyDescent="0.25">
      <c r="A772" t="s">
        <v>10</v>
      </c>
      <c r="B772" t="s">
        <v>20</v>
      </c>
      <c r="C772" t="s">
        <v>18</v>
      </c>
      <c r="D772" t="s">
        <v>13</v>
      </c>
      <c r="E772">
        <v>0.91666666666666596</v>
      </c>
      <c r="F772">
        <v>0.93675206753611096</v>
      </c>
      <c r="G772">
        <v>7.1467218399047798</v>
      </c>
      <c r="H772">
        <v>8</v>
      </c>
      <c r="I772">
        <v>9</v>
      </c>
      <c r="J772">
        <v>30</v>
      </c>
    </row>
    <row r="773" spans="1:10" x14ac:dyDescent="0.25">
      <c r="A773" t="s">
        <v>10</v>
      </c>
      <c r="B773" t="s">
        <v>20</v>
      </c>
      <c r="C773" t="s">
        <v>18</v>
      </c>
      <c r="D773" t="s">
        <v>13</v>
      </c>
      <c r="E773">
        <v>0.88888888888888795</v>
      </c>
      <c r="F773">
        <v>0.89208942070833297</v>
      </c>
      <c r="G773">
        <v>7.1695580482482901</v>
      </c>
      <c r="H773">
        <v>8</v>
      </c>
      <c r="I773">
        <v>9</v>
      </c>
      <c r="J773">
        <v>30</v>
      </c>
    </row>
    <row r="774" spans="1:10" x14ac:dyDescent="0.25">
      <c r="A774" t="s">
        <v>10</v>
      </c>
      <c r="B774" t="s">
        <v>20</v>
      </c>
      <c r="C774" t="s">
        <v>18</v>
      </c>
      <c r="D774" t="s">
        <v>13</v>
      </c>
      <c r="E774">
        <v>0.97222222222222199</v>
      </c>
      <c r="F774">
        <v>0.96989092341666605</v>
      </c>
      <c r="G774">
        <v>7.2341146469116202</v>
      </c>
      <c r="H774">
        <v>9</v>
      </c>
      <c r="I774">
        <v>10</v>
      </c>
      <c r="J774">
        <v>30</v>
      </c>
    </row>
    <row r="775" spans="1:10" x14ac:dyDescent="0.25">
      <c r="A775" t="s">
        <v>10</v>
      </c>
      <c r="B775" t="s">
        <v>20</v>
      </c>
      <c r="C775" t="s">
        <v>18</v>
      </c>
      <c r="D775" t="s">
        <v>13</v>
      </c>
      <c r="E775">
        <v>1</v>
      </c>
      <c r="F775">
        <v>0.98780382923611099</v>
      </c>
      <c r="G775">
        <v>7.2345314025878897</v>
      </c>
      <c r="H775">
        <v>8</v>
      </c>
      <c r="I775">
        <v>9</v>
      </c>
      <c r="J775">
        <v>30</v>
      </c>
    </row>
    <row r="776" spans="1:10" x14ac:dyDescent="0.25">
      <c r="A776" t="s">
        <v>10</v>
      </c>
      <c r="B776" t="s">
        <v>20</v>
      </c>
      <c r="C776" t="s">
        <v>18</v>
      </c>
      <c r="D776" t="s">
        <v>13</v>
      </c>
      <c r="E776">
        <v>0.94444444444444398</v>
      </c>
      <c r="F776">
        <v>0.945911048983333</v>
      </c>
      <c r="G776">
        <v>7.2460246086120597</v>
      </c>
      <c r="H776">
        <v>9</v>
      </c>
      <c r="I776">
        <v>9</v>
      </c>
      <c r="J776">
        <v>30</v>
      </c>
    </row>
    <row r="777" spans="1:10" x14ac:dyDescent="0.25">
      <c r="A777" t="s">
        <v>10</v>
      </c>
      <c r="B777" t="s">
        <v>20</v>
      </c>
      <c r="C777" t="s">
        <v>18</v>
      </c>
      <c r="D777" t="s">
        <v>13</v>
      </c>
      <c r="E777">
        <v>0.94444444444444398</v>
      </c>
      <c r="F777">
        <v>0.94868930228055504</v>
      </c>
      <c r="G777">
        <v>7.2961328029632497</v>
      </c>
      <c r="H777">
        <v>7</v>
      </c>
      <c r="I777">
        <v>8</v>
      </c>
      <c r="J777">
        <v>30</v>
      </c>
    </row>
    <row r="778" spans="1:10" x14ac:dyDescent="0.25">
      <c r="A778" t="s">
        <v>10</v>
      </c>
      <c r="B778" t="s">
        <v>20</v>
      </c>
      <c r="C778" t="s">
        <v>18</v>
      </c>
      <c r="D778" t="s">
        <v>13</v>
      </c>
      <c r="E778">
        <v>0.86111111111111105</v>
      </c>
      <c r="F778">
        <v>0.86719606989444398</v>
      </c>
      <c r="G778">
        <v>7.2936310768127397</v>
      </c>
      <c r="H778">
        <v>8</v>
      </c>
      <c r="I778">
        <v>8</v>
      </c>
      <c r="J778">
        <v>30</v>
      </c>
    </row>
    <row r="779" spans="1:10" x14ac:dyDescent="0.25">
      <c r="A779" t="s">
        <v>10</v>
      </c>
      <c r="B779" t="s">
        <v>20</v>
      </c>
      <c r="C779" t="s">
        <v>18</v>
      </c>
      <c r="D779" t="s">
        <v>13</v>
      </c>
      <c r="E779">
        <v>0.86111111111111105</v>
      </c>
      <c r="F779">
        <v>0.90687939396666595</v>
      </c>
      <c r="G779">
        <v>7.3525576591491699</v>
      </c>
      <c r="H779">
        <v>8</v>
      </c>
      <c r="I779">
        <v>9</v>
      </c>
      <c r="J779">
        <v>30</v>
      </c>
    </row>
    <row r="780" spans="1:10" x14ac:dyDescent="0.25">
      <c r="A780" t="s">
        <v>10</v>
      </c>
      <c r="B780" t="s">
        <v>20</v>
      </c>
      <c r="C780" t="s">
        <v>18</v>
      </c>
      <c r="D780" t="s">
        <v>13</v>
      </c>
      <c r="E780">
        <v>0.97222222222222199</v>
      </c>
      <c r="F780">
        <v>0.97031537982222205</v>
      </c>
      <c r="G780">
        <v>7.4509205818176198</v>
      </c>
      <c r="H780">
        <v>8</v>
      </c>
      <c r="I780">
        <v>9</v>
      </c>
      <c r="J780">
        <v>30</v>
      </c>
    </row>
    <row r="781" spans="1:10" x14ac:dyDescent="0.25">
      <c r="A781" t="s">
        <v>10</v>
      </c>
      <c r="B781" t="s">
        <v>20</v>
      </c>
      <c r="C781" t="s">
        <v>18</v>
      </c>
      <c r="D781" t="s">
        <v>13</v>
      </c>
      <c r="E781">
        <v>0.94444444444444398</v>
      </c>
      <c r="F781">
        <v>0.94676955488333303</v>
      </c>
      <c r="G781">
        <v>7.4714188575744602</v>
      </c>
      <c r="H781">
        <v>9</v>
      </c>
      <c r="I781">
        <v>10</v>
      </c>
      <c r="J781">
        <v>30</v>
      </c>
    </row>
    <row r="782" spans="1:10" x14ac:dyDescent="0.25">
      <c r="A782" t="s">
        <v>10</v>
      </c>
      <c r="B782" t="s">
        <v>20</v>
      </c>
      <c r="C782" t="s">
        <v>18</v>
      </c>
      <c r="D782" t="s">
        <v>14</v>
      </c>
      <c r="E782">
        <v>0.36111111111111099</v>
      </c>
      <c r="F782">
        <v>0.83570746527777695</v>
      </c>
      <c r="G782">
        <v>0.79124641418456998</v>
      </c>
      <c r="H782">
        <v>2</v>
      </c>
      <c r="I782">
        <v>2</v>
      </c>
      <c r="J782">
        <v>30</v>
      </c>
    </row>
    <row r="783" spans="1:10" x14ac:dyDescent="0.25">
      <c r="A783" t="s">
        <v>10</v>
      </c>
      <c r="B783" t="s">
        <v>20</v>
      </c>
      <c r="C783" t="s">
        <v>18</v>
      </c>
      <c r="D783" t="s">
        <v>14</v>
      </c>
      <c r="E783">
        <v>0.36111111111111099</v>
      </c>
      <c r="F783">
        <v>0.83424913194444394</v>
      </c>
      <c r="G783">
        <v>1.28492450714111</v>
      </c>
      <c r="H783">
        <v>2</v>
      </c>
      <c r="I783">
        <v>2</v>
      </c>
      <c r="J783">
        <v>30</v>
      </c>
    </row>
    <row r="784" spans="1:10" x14ac:dyDescent="0.25">
      <c r="A784" t="s">
        <v>10</v>
      </c>
      <c r="B784" t="s">
        <v>20</v>
      </c>
      <c r="C784" t="s">
        <v>18</v>
      </c>
      <c r="D784" t="s">
        <v>14</v>
      </c>
      <c r="E784">
        <v>0.27777777777777701</v>
      </c>
      <c r="F784">
        <v>0.79154939674722202</v>
      </c>
      <c r="G784">
        <v>1.9439268112182599</v>
      </c>
      <c r="H784">
        <v>3</v>
      </c>
      <c r="I784">
        <v>3</v>
      </c>
      <c r="J784">
        <v>30</v>
      </c>
    </row>
    <row r="785" spans="1:10" x14ac:dyDescent="0.25">
      <c r="A785" t="s">
        <v>10</v>
      </c>
      <c r="B785" t="s">
        <v>20</v>
      </c>
      <c r="C785" t="s">
        <v>18</v>
      </c>
      <c r="D785" t="s">
        <v>14</v>
      </c>
      <c r="E785">
        <v>0.25</v>
      </c>
      <c r="F785">
        <v>0.771611504</v>
      </c>
      <c r="G785">
        <v>2.06039142608642</v>
      </c>
      <c r="H785">
        <v>3</v>
      </c>
      <c r="I785">
        <v>3</v>
      </c>
      <c r="J785">
        <v>30</v>
      </c>
    </row>
    <row r="786" spans="1:10" x14ac:dyDescent="0.25">
      <c r="A786" t="s">
        <v>10</v>
      </c>
      <c r="B786" t="s">
        <v>20</v>
      </c>
      <c r="C786" t="s">
        <v>18</v>
      </c>
      <c r="D786" t="s">
        <v>14</v>
      </c>
      <c r="E786">
        <v>0.30555555555555503</v>
      </c>
      <c r="F786">
        <v>0.80775083792222202</v>
      </c>
      <c r="G786">
        <v>2.0917997360229399</v>
      </c>
      <c r="H786">
        <v>2</v>
      </c>
      <c r="I786">
        <v>2</v>
      </c>
      <c r="J786">
        <v>30</v>
      </c>
    </row>
    <row r="787" spans="1:10" x14ac:dyDescent="0.25">
      <c r="A787" t="s">
        <v>10</v>
      </c>
      <c r="B787" t="s">
        <v>20</v>
      </c>
      <c r="C787" t="s">
        <v>18</v>
      </c>
      <c r="D787" t="s">
        <v>14</v>
      </c>
      <c r="E787">
        <v>0.25</v>
      </c>
      <c r="F787">
        <v>0.787610685322222</v>
      </c>
      <c r="G787">
        <v>2.1229982376098602</v>
      </c>
      <c r="H787">
        <v>3</v>
      </c>
      <c r="I787">
        <v>3</v>
      </c>
      <c r="J787">
        <v>30</v>
      </c>
    </row>
    <row r="788" spans="1:10" x14ac:dyDescent="0.25">
      <c r="A788" t="s">
        <v>10</v>
      </c>
      <c r="B788" t="s">
        <v>20</v>
      </c>
      <c r="C788" t="s">
        <v>18</v>
      </c>
      <c r="D788" t="s">
        <v>14</v>
      </c>
      <c r="E788">
        <v>0.30555555555555503</v>
      </c>
      <c r="F788">
        <v>0.82288142289999999</v>
      </c>
      <c r="G788">
        <v>2.1435682773589999</v>
      </c>
      <c r="H788">
        <v>2</v>
      </c>
      <c r="I788">
        <v>2</v>
      </c>
      <c r="J788">
        <v>30</v>
      </c>
    </row>
    <row r="789" spans="1:10" x14ac:dyDescent="0.25">
      <c r="A789" t="s">
        <v>10</v>
      </c>
      <c r="B789" t="s">
        <v>20</v>
      </c>
      <c r="C789" t="s">
        <v>18</v>
      </c>
      <c r="D789" t="s">
        <v>14</v>
      </c>
      <c r="E789">
        <v>0.88888888888888795</v>
      </c>
      <c r="F789">
        <v>0.88431168017222195</v>
      </c>
      <c r="G789">
        <v>2.2165722846984801</v>
      </c>
      <c r="H789">
        <v>6</v>
      </c>
      <c r="I789">
        <v>6</v>
      </c>
      <c r="J789">
        <v>30</v>
      </c>
    </row>
    <row r="790" spans="1:10" x14ac:dyDescent="0.25">
      <c r="A790" t="s">
        <v>10</v>
      </c>
      <c r="B790" t="s">
        <v>20</v>
      </c>
      <c r="C790" t="s">
        <v>18</v>
      </c>
      <c r="D790" t="s">
        <v>14</v>
      </c>
      <c r="E790">
        <v>1</v>
      </c>
      <c r="F790">
        <v>0.98340492144722202</v>
      </c>
      <c r="G790">
        <v>2.2304127216339098</v>
      </c>
      <c r="H790">
        <v>7</v>
      </c>
      <c r="I790">
        <v>7</v>
      </c>
      <c r="J790">
        <v>30</v>
      </c>
    </row>
    <row r="791" spans="1:10" x14ac:dyDescent="0.25">
      <c r="A791" t="s">
        <v>10</v>
      </c>
      <c r="B791" t="s">
        <v>20</v>
      </c>
      <c r="C791" t="s">
        <v>18</v>
      </c>
      <c r="D791" t="s">
        <v>14</v>
      </c>
      <c r="E791">
        <v>0.61111111111111105</v>
      </c>
      <c r="F791">
        <v>0.81911288441111096</v>
      </c>
      <c r="G791">
        <v>2.2652163505554199</v>
      </c>
      <c r="H791">
        <v>5</v>
      </c>
      <c r="I791">
        <v>5</v>
      </c>
      <c r="J791">
        <v>30</v>
      </c>
    </row>
    <row r="792" spans="1:10" x14ac:dyDescent="0.25">
      <c r="A792" t="s">
        <v>10</v>
      </c>
      <c r="B792" t="s">
        <v>20</v>
      </c>
      <c r="C792" t="s">
        <v>18</v>
      </c>
      <c r="D792" t="s">
        <v>14</v>
      </c>
      <c r="E792">
        <v>0.27777777777777701</v>
      </c>
      <c r="F792">
        <v>0.81640232708333305</v>
      </c>
      <c r="G792">
        <v>2.27793169021606</v>
      </c>
      <c r="H792">
        <v>2</v>
      </c>
      <c r="I792">
        <v>2</v>
      </c>
      <c r="J792">
        <v>30</v>
      </c>
    </row>
    <row r="793" spans="1:10" x14ac:dyDescent="0.25">
      <c r="A793" t="s">
        <v>10</v>
      </c>
      <c r="B793" t="s">
        <v>20</v>
      </c>
      <c r="C793" t="s">
        <v>18</v>
      </c>
      <c r="D793" t="s">
        <v>14</v>
      </c>
      <c r="E793">
        <v>0.22222222222222199</v>
      </c>
      <c r="F793">
        <v>0.79806958438055497</v>
      </c>
      <c r="G793">
        <v>2.4333727359771702</v>
      </c>
      <c r="H793">
        <v>2</v>
      </c>
      <c r="I793">
        <v>2</v>
      </c>
      <c r="J793">
        <v>30</v>
      </c>
    </row>
    <row r="794" spans="1:10" x14ac:dyDescent="0.25">
      <c r="A794" t="s">
        <v>10</v>
      </c>
      <c r="B794" t="s">
        <v>20</v>
      </c>
      <c r="C794" t="s">
        <v>18</v>
      </c>
      <c r="D794" t="s">
        <v>14</v>
      </c>
      <c r="E794">
        <v>0.22222222222222199</v>
      </c>
      <c r="F794">
        <v>0.79806958438055497</v>
      </c>
      <c r="G794">
        <v>2.4780454635620099</v>
      </c>
      <c r="H794">
        <v>2</v>
      </c>
      <c r="I794">
        <v>2</v>
      </c>
      <c r="J794">
        <v>30</v>
      </c>
    </row>
    <row r="795" spans="1:10" x14ac:dyDescent="0.25">
      <c r="A795" t="s">
        <v>10</v>
      </c>
      <c r="B795" t="s">
        <v>20</v>
      </c>
      <c r="C795" t="s">
        <v>18</v>
      </c>
      <c r="D795" t="s">
        <v>14</v>
      </c>
      <c r="E795">
        <v>0.194444444444444</v>
      </c>
      <c r="F795">
        <v>0.78417012783333295</v>
      </c>
      <c r="G795">
        <v>2.4956035614013601</v>
      </c>
      <c r="H795">
        <v>4</v>
      </c>
      <c r="I795">
        <v>4</v>
      </c>
      <c r="J795">
        <v>30</v>
      </c>
    </row>
    <row r="796" spans="1:10" x14ac:dyDescent="0.25">
      <c r="A796" t="s">
        <v>10</v>
      </c>
      <c r="B796" t="s">
        <v>20</v>
      </c>
      <c r="C796" t="s">
        <v>18</v>
      </c>
      <c r="D796" t="s">
        <v>14</v>
      </c>
      <c r="E796">
        <v>0.194444444444444</v>
      </c>
      <c r="F796">
        <v>0.79675013993611099</v>
      </c>
      <c r="G796">
        <v>2.5177302360534601</v>
      </c>
      <c r="H796">
        <v>2</v>
      </c>
      <c r="I796">
        <v>2</v>
      </c>
      <c r="J796">
        <v>30</v>
      </c>
    </row>
    <row r="797" spans="1:10" x14ac:dyDescent="0.25">
      <c r="A797" t="s">
        <v>10</v>
      </c>
      <c r="B797" t="s">
        <v>20</v>
      </c>
      <c r="C797" t="s">
        <v>18</v>
      </c>
      <c r="D797" t="s">
        <v>14</v>
      </c>
      <c r="E797">
        <v>0.16666666666666599</v>
      </c>
      <c r="F797">
        <v>0.77429549724444402</v>
      </c>
      <c r="G797">
        <v>2.5177302360534601</v>
      </c>
      <c r="H797">
        <v>2</v>
      </c>
      <c r="I797">
        <v>2</v>
      </c>
      <c r="J797">
        <v>30</v>
      </c>
    </row>
    <row r="798" spans="1:10" x14ac:dyDescent="0.25">
      <c r="A798" t="s">
        <v>10</v>
      </c>
      <c r="B798" t="s">
        <v>20</v>
      </c>
      <c r="C798" t="s">
        <v>18</v>
      </c>
      <c r="D798" t="s">
        <v>14</v>
      </c>
      <c r="E798">
        <v>0.97222222222222199</v>
      </c>
      <c r="F798">
        <v>0.95437557961111097</v>
      </c>
      <c r="G798">
        <v>2.5412397384643501</v>
      </c>
      <c r="H798">
        <v>7</v>
      </c>
      <c r="I798">
        <v>7</v>
      </c>
      <c r="J798">
        <v>30</v>
      </c>
    </row>
    <row r="799" spans="1:10" x14ac:dyDescent="0.25">
      <c r="A799" t="s">
        <v>10</v>
      </c>
      <c r="B799" t="s">
        <v>20</v>
      </c>
      <c r="C799" t="s">
        <v>18</v>
      </c>
      <c r="D799" t="s">
        <v>14</v>
      </c>
      <c r="E799">
        <v>0.30555555555555503</v>
      </c>
      <c r="F799">
        <v>0.80243055555555498</v>
      </c>
      <c r="G799">
        <v>2.5517418384552002</v>
      </c>
      <c r="H799">
        <v>2</v>
      </c>
      <c r="I799">
        <v>2</v>
      </c>
      <c r="J799">
        <v>30</v>
      </c>
    </row>
    <row r="800" spans="1:10" x14ac:dyDescent="0.25">
      <c r="A800" t="s">
        <v>10</v>
      </c>
      <c r="B800" t="s">
        <v>20</v>
      </c>
      <c r="C800" t="s">
        <v>18</v>
      </c>
      <c r="D800" t="s">
        <v>14</v>
      </c>
      <c r="E800">
        <v>0.22222222222222199</v>
      </c>
      <c r="F800">
        <v>0.78483290754444401</v>
      </c>
      <c r="G800">
        <v>2.5407590866088801</v>
      </c>
      <c r="H800">
        <v>3</v>
      </c>
      <c r="I800">
        <v>3</v>
      </c>
      <c r="J800">
        <v>30</v>
      </c>
    </row>
    <row r="801" spans="1:10" x14ac:dyDescent="0.25">
      <c r="A801" t="s">
        <v>10</v>
      </c>
      <c r="B801" t="s">
        <v>20</v>
      </c>
      <c r="C801" t="s">
        <v>18</v>
      </c>
      <c r="D801" t="s">
        <v>14</v>
      </c>
      <c r="E801">
        <v>0.97222222222222199</v>
      </c>
      <c r="F801">
        <v>0.95451596235555503</v>
      </c>
      <c r="G801">
        <v>2.5724577903747501</v>
      </c>
      <c r="H801">
        <v>7</v>
      </c>
      <c r="I801">
        <v>7</v>
      </c>
      <c r="J801">
        <v>30</v>
      </c>
    </row>
    <row r="802" spans="1:10" x14ac:dyDescent="0.25">
      <c r="A802" t="s">
        <v>10</v>
      </c>
      <c r="B802" t="s">
        <v>20</v>
      </c>
      <c r="C802" t="s">
        <v>18</v>
      </c>
      <c r="D802" t="s">
        <v>14</v>
      </c>
      <c r="E802">
        <v>0.27777777777777701</v>
      </c>
      <c r="F802">
        <v>0.80974632288611104</v>
      </c>
      <c r="G802">
        <v>2.56166672706604</v>
      </c>
      <c r="H802">
        <v>3</v>
      </c>
      <c r="I802">
        <v>3</v>
      </c>
      <c r="J802">
        <v>30</v>
      </c>
    </row>
    <row r="803" spans="1:10" x14ac:dyDescent="0.25">
      <c r="A803" t="s">
        <v>10</v>
      </c>
      <c r="B803" t="s">
        <v>20</v>
      </c>
      <c r="C803" t="s">
        <v>18</v>
      </c>
      <c r="D803" t="s">
        <v>14</v>
      </c>
      <c r="E803">
        <v>0.91666666666666596</v>
      </c>
      <c r="F803">
        <v>0.91790581495555501</v>
      </c>
      <c r="G803">
        <v>2.5880386829376198</v>
      </c>
      <c r="H803">
        <v>7</v>
      </c>
      <c r="I803">
        <v>7</v>
      </c>
      <c r="J803">
        <v>30</v>
      </c>
    </row>
    <row r="804" spans="1:10" x14ac:dyDescent="0.25">
      <c r="A804" t="s">
        <v>10</v>
      </c>
      <c r="B804" t="s">
        <v>20</v>
      </c>
      <c r="C804" t="s">
        <v>18</v>
      </c>
      <c r="D804" t="s">
        <v>14</v>
      </c>
      <c r="E804">
        <v>0.30555555555555503</v>
      </c>
      <c r="F804">
        <v>0.80931060452500003</v>
      </c>
      <c r="G804">
        <v>2.6487455368041899</v>
      </c>
      <c r="H804">
        <v>4</v>
      </c>
      <c r="I804">
        <v>4</v>
      </c>
      <c r="J804">
        <v>30</v>
      </c>
    </row>
    <row r="805" spans="1:10" x14ac:dyDescent="0.25">
      <c r="A805" t="s">
        <v>10</v>
      </c>
      <c r="B805" t="s">
        <v>20</v>
      </c>
      <c r="C805" t="s">
        <v>18</v>
      </c>
      <c r="D805" t="s">
        <v>14</v>
      </c>
      <c r="E805">
        <v>0.30555555555555503</v>
      </c>
      <c r="F805">
        <v>0.80931060452500003</v>
      </c>
      <c r="G805">
        <v>2.63970518112182</v>
      </c>
      <c r="H805">
        <v>4</v>
      </c>
      <c r="I805">
        <v>4</v>
      </c>
      <c r="J805">
        <v>30</v>
      </c>
    </row>
    <row r="806" spans="1:10" x14ac:dyDescent="0.25">
      <c r="A806" t="s">
        <v>10</v>
      </c>
      <c r="B806" t="s">
        <v>20</v>
      </c>
      <c r="C806" t="s">
        <v>18</v>
      </c>
      <c r="D806" t="s">
        <v>14</v>
      </c>
      <c r="E806">
        <v>0.91666666666666596</v>
      </c>
      <c r="F806">
        <v>0.90588210783611101</v>
      </c>
      <c r="G806">
        <v>2.64397096633911</v>
      </c>
      <c r="H806">
        <v>7</v>
      </c>
      <c r="I806">
        <v>7</v>
      </c>
      <c r="J806">
        <v>30</v>
      </c>
    </row>
    <row r="807" spans="1:10" x14ac:dyDescent="0.25">
      <c r="A807" t="s">
        <v>10</v>
      </c>
      <c r="B807" t="s">
        <v>20</v>
      </c>
      <c r="C807" t="s">
        <v>18</v>
      </c>
      <c r="D807" t="s">
        <v>14</v>
      </c>
      <c r="E807">
        <v>0.52777777777777701</v>
      </c>
      <c r="F807">
        <v>0.83843850140555498</v>
      </c>
      <c r="G807">
        <v>2.6708731651306099</v>
      </c>
      <c r="H807">
        <v>5</v>
      </c>
      <c r="I807">
        <v>5</v>
      </c>
      <c r="J807">
        <v>30</v>
      </c>
    </row>
    <row r="808" spans="1:10" x14ac:dyDescent="0.25">
      <c r="A808" t="s">
        <v>10</v>
      </c>
      <c r="B808" t="s">
        <v>20</v>
      </c>
      <c r="C808" t="s">
        <v>18</v>
      </c>
      <c r="D808" t="s">
        <v>14</v>
      </c>
      <c r="E808">
        <v>0.94444444444444398</v>
      </c>
      <c r="F808">
        <v>0.93545041195833301</v>
      </c>
      <c r="G808">
        <v>2.7054412364959699</v>
      </c>
      <c r="H808">
        <v>7</v>
      </c>
      <c r="I808">
        <v>7</v>
      </c>
      <c r="J808">
        <v>30</v>
      </c>
    </row>
    <row r="809" spans="1:10" x14ac:dyDescent="0.25">
      <c r="A809" t="s">
        <v>10</v>
      </c>
      <c r="B809" t="s">
        <v>20</v>
      </c>
      <c r="C809" t="s">
        <v>18</v>
      </c>
      <c r="D809" t="s">
        <v>14</v>
      </c>
      <c r="E809">
        <v>0.86111111111111105</v>
      </c>
      <c r="F809">
        <v>0.89620639672222202</v>
      </c>
      <c r="G809">
        <v>2.7566025257110498</v>
      </c>
      <c r="H809">
        <v>6</v>
      </c>
      <c r="I809">
        <v>6</v>
      </c>
      <c r="J809">
        <v>30</v>
      </c>
    </row>
    <row r="810" spans="1:10" x14ac:dyDescent="0.25">
      <c r="A810" t="s">
        <v>10</v>
      </c>
      <c r="B810" t="s">
        <v>20</v>
      </c>
      <c r="C810" t="s">
        <v>18</v>
      </c>
      <c r="D810" t="s">
        <v>14</v>
      </c>
      <c r="E810">
        <v>0.94444444444444398</v>
      </c>
      <c r="F810">
        <v>0.96054973734722204</v>
      </c>
      <c r="G810">
        <v>2.7936234474182098</v>
      </c>
      <c r="H810">
        <v>9</v>
      </c>
      <c r="I810">
        <v>9</v>
      </c>
      <c r="J810">
        <v>30</v>
      </c>
    </row>
    <row r="811" spans="1:10" x14ac:dyDescent="0.25">
      <c r="A811" t="s">
        <v>10</v>
      </c>
      <c r="B811" t="s">
        <v>20</v>
      </c>
      <c r="C811" t="s">
        <v>18</v>
      </c>
      <c r="D811" t="s">
        <v>14</v>
      </c>
      <c r="E811">
        <v>0.94444444444444398</v>
      </c>
      <c r="F811">
        <v>0.94200355816944403</v>
      </c>
      <c r="G811">
        <v>2.8106713294982901</v>
      </c>
      <c r="H811">
        <v>8</v>
      </c>
      <c r="I811">
        <v>8</v>
      </c>
      <c r="J811">
        <v>30</v>
      </c>
    </row>
    <row r="812" spans="1:10" x14ac:dyDescent="0.25">
      <c r="A812" t="s">
        <v>10</v>
      </c>
      <c r="B812" t="s">
        <v>20</v>
      </c>
      <c r="C812" t="s">
        <v>18</v>
      </c>
      <c r="D812" t="s">
        <v>15</v>
      </c>
      <c r="E812">
        <v>0</v>
      </c>
      <c r="F812">
        <v>0.75</v>
      </c>
      <c r="G812">
        <v>7.2399556636810303</v>
      </c>
      <c r="H812">
        <v>1</v>
      </c>
      <c r="I812">
        <v>4</v>
      </c>
      <c r="J812">
        <v>30</v>
      </c>
    </row>
    <row r="813" spans="1:10" x14ac:dyDescent="0.25">
      <c r="A813" t="s">
        <v>10</v>
      </c>
      <c r="B813" t="s">
        <v>20</v>
      </c>
      <c r="C813" t="s">
        <v>18</v>
      </c>
      <c r="D813" t="s">
        <v>15</v>
      </c>
      <c r="E813">
        <v>0</v>
      </c>
      <c r="F813">
        <v>0.75</v>
      </c>
      <c r="G813">
        <v>9.1575577259063703</v>
      </c>
      <c r="H813">
        <v>1</v>
      </c>
      <c r="I813">
        <v>4</v>
      </c>
      <c r="J813">
        <v>30</v>
      </c>
    </row>
    <row r="814" spans="1:10" x14ac:dyDescent="0.25">
      <c r="A814" t="s">
        <v>10</v>
      </c>
      <c r="B814" t="s">
        <v>20</v>
      </c>
      <c r="C814" t="s">
        <v>18</v>
      </c>
      <c r="D814" t="s">
        <v>15</v>
      </c>
      <c r="E814">
        <v>0</v>
      </c>
      <c r="F814">
        <v>0.75</v>
      </c>
      <c r="G814">
        <v>9.8623008728027308</v>
      </c>
      <c r="H814">
        <v>1</v>
      </c>
      <c r="I814">
        <v>3</v>
      </c>
      <c r="J814">
        <v>30</v>
      </c>
    </row>
    <row r="815" spans="1:10" x14ac:dyDescent="0.25">
      <c r="A815" t="s">
        <v>10</v>
      </c>
      <c r="B815" t="s">
        <v>20</v>
      </c>
      <c r="C815" t="s">
        <v>18</v>
      </c>
      <c r="D815" t="s">
        <v>15</v>
      </c>
      <c r="E815">
        <v>0</v>
      </c>
      <c r="F815">
        <v>0.75</v>
      </c>
      <c r="G815">
        <v>11.5662446022033</v>
      </c>
      <c r="H815">
        <v>3</v>
      </c>
      <c r="I815">
        <v>9</v>
      </c>
      <c r="J815">
        <v>30</v>
      </c>
    </row>
    <row r="816" spans="1:10" x14ac:dyDescent="0.25">
      <c r="A816" t="s">
        <v>10</v>
      </c>
      <c r="B816" t="s">
        <v>20</v>
      </c>
      <c r="C816" t="s">
        <v>18</v>
      </c>
      <c r="D816" t="s">
        <v>15</v>
      </c>
      <c r="E816">
        <v>2.77777777777777E-2</v>
      </c>
      <c r="F816">
        <v>0.75131944444444398</v>
      </c>
      <c r="G816">
        <v>11.946579217910701</v>
      </c>
      <c r="H816">
        <v>3</v>
      </c>
      <c r="I816">
        <v>8</v>
      </c>
      <c r="J816">
        <v>30</v>
      </c>
    </row>
    <row r="817" spans="1:10" x14ac:dyDescent="0.25">
      <c r="A817" t="s">
        <v>10</v>
      </c>
      <c r="B817" t="s">
        <v>20</v>
      </c>
      <c r="C817" t="s">
        <v>18</v>
      </c>
      <c r="D817" t="s">
        <v>15</v>
      </c>
      <c r="E817">
        <v>0</v>
      </c>
      <c r="F817">
        <v>0.75</v>
      </c>
      <c r="G817">
        <v>12.5922112464904</v>
      </c>
      <c r="H817">
        <v>2</v>
      </c>
      <c r="I817">
        <v>12</v>
      </c>
      <c r="J817">
        <v>30</v>
      </c>
    </row>
    <row r="818" spans="1:10" x14ac:dyDescent="0.25">
      <c r="A818" t="s">
        <v>10</v>
      </c>
      <c r="B818" t="s">
        <v>20</v>
      </c>
      <c r="C818" t="s">
        <v>18</v>
      </c>
      <c r="D818" t="s">
        <v>15</v>
      </c>
      <c r="E818">
        <v>0</v>
      </c>
      <c r="F818">
        <v>0.75</v>
      </c>
      <c r="G818">
        <v>13.7742547988891</v>
      </c>
      <c r="H818">
        <v>2</v>
      </c>
      <c r="I818">
        <v>5</v>
      </c>
      <c r="J818">
        <v>30</v>
      </c>
    </row>
    <row r="819" spans="1:10" x14ac:dyDescent="0.25">
      <c r="A819" t="s">
        <v>10</v>
      </c>
      <c r="B819" t="s">
        <v>20</v>
      </c>
      <c r="C819" t="s">
        <v>18</v>
      </c>
      <c r="D819" t="s">
        <v>15</v>
      </c>
      <c r="E819">
        <v>0</v>
      </c>
      <c r="F819">
        <v>0.75</v>
      </c>
      <c r="G819">
        <v>17.482765913009601</v>
      </c>
      <c r="H819">
        <v>3</v>
      </c>
      <c r="I819">
        <v>9</v>
      </c>
      <c r="J819">
        <v>30</v>
      </c>
    </row>
    <row r="820" spans="1:10" x14ac:dyDescent="0.25">
      <c r="A820" t="s">
        <v>10</v>
      </c>
      <c r="B820" t="s">
        <v>20</v>
      </c>
      <c r="C820" t="s">
        <v>18</v>
      </c>
      <c r="D820" t="s">
        <v>15</v>
      </c>
      <c r="E820">
        <v>0</v>
      </c>
      <c r="F820">
        <v>0.74854166666666599</v>
      </c>
      <c r="G820">
        <v>20.470690488815301</v>
      </c>
      <c r="H820">
        <v>5</v>
      </c>
      <c r="I820">
        <v>14</v>
      </c>
      <c r="J820">
        <v>30</v>
      </c>
    </row>
    <row r="821" spans="1:10" x14ac:dyDescent="0.25">
      <c r="A821" t="s">
        <v>10</v>
      </c>
      <c r="B821" t="s">
        <v>20</v>
      </c>
      <c r="C821" t="s">
        <v>18</v>
      </c>
      <c r="D821" t="s">
        <v>15</v>
      </c>
      <c r="E821">
        <v>0</v>
      </c>
      <c r="F821">
        <v>0.75</v>
      </c>
      <c r="G821">
        <v>20.932124853134098</v>
      </c>
      <c r="H821">
        <v>4</v>
      </c>
      <c r="I821">
        <v>20</v>
      </c>
      <c r="J821">
        <v>30</v>
      </c>
    </row>
    <row r="822" spans="1:10" x14ac:dyDescent="0.25">
      <c r="A822" t="s">
        <v>10</v>
      </c>
      <c r="B822" t="s">
        <v>20</v>
      </c>
      <c r="C822" t="s">
        <v>18</v>
      </c>
      <c r="D822" t="s">
        <v>15</v>
      </c>
      <c r="E822">
        <v>0</v>
      </c>
      <c r="F822">
        <v>0.75</v>
      </c>
      <c r="G822">
        <v>25.718541860580402</v>
      </c>
      <c r="H822">
        <v>5</v>
      </c>
      <c r="I822">
        <v>16</v>
      </c>
      <c r="J822">
        <v>30</v>
      </c>
    </row>
    <row r="823" spans="1:10" x14ac:dyDescent="0.25">
      <c r="A823" t="s">
        <v>10</v>
      </c>
      <c r="B823" t="s">
        <v>20</v>
      </c>
      <c r="C823" t="s">
        <v>18</v>
      </c>
      <c r="D823" t="s">
        <v>15</v>
      </c>
      <c r="E823">
        <v>0</v>
      </c>
      <c r="F823">
        <v>0.75</v>
      </c>
      <c r="G823">
        <v>28.271560907363799</v>
      </c>
      <c r="H823">
        <v>10</v>
      </c>
      <c r="I823">
        <v>28</v>
      </c>
      <c r="J823">
        <v>30</v>
      </c>
    </row>
    <row r="824" spans="1:10" x14ac:dyDescent="0.25">
      <c r="A824" t="s">
        <v>10</v>
      </c>
      <c r="B824" t="s">
        <v>20</v>
      </c>
      <c r="C824" t="s">
        <v>18</v>
      </c>
      <c r="D824" t="s">
        <v>15</v>
      </c>
      <c r="E824">
        <v>2.77777777777777E-2</v>
      </c>
      <c r="F824">
        <v>0.75131944444444398</v>
      </c>
      <c r="G824">
        <v>29.779694318771298</v>
      </c>
      <c r="H824">
        <v>10</v>
      </c>
      <c r="I824">
        <v>24</v>
      </c>
      <c r="J824">
        <v>30</v>
      </c>
    </row>
    <row r="825" spans="1:10" x14ac:dyDescent="0.25">
      <c r="A825" t="s">
        <v>10</v>
      </c>
      <c r="B825" t="s">
        <v>20</v>
      </c>
      <c r="C825" t="s">
        <v>18</v>
      </c>
      <c r="D825" t="s">
        <v>15</v>
      </c>
      <c r="E825">
        <v>8.3333333333333301E-2</v>
      </c>
      <c r="F825">
        <v>0.75395833333333295</v>
      </c>
      <c r="G825">
        <v>31.401966810226401</v>
      </c>
      <c r="H825">
        <v>7</v>
      </c>
      <c r="I825">
        <v>23</v>
      </c>
      <c r="J825">
        <v>30</v>
      </c>
    </row>
    <row r="826" spans="1:10" x14ac:dyDescent="0.25">
      <c r="A826" t="s">
        <v>10</v>
      </c>
      <c r="B826" t="s">
        <v>20</v>
      </c>
      <c r="C826" t="s">
        <v>18</v>
      </c>
      <c r="D826" t="s">
        <v>15</v>
      </c>
      <c r="E826">
        <v>5.5555555555555497E-2</v>
      </c>
      <c r="F826">
        <v>0.75263888888888797</v>
      </c>
      <c r="G826">
        <v>34.244997739791799</v>
      </c>
      <c r="H826">
        <v>11</v>
      </c>
      <c r="I826">
        <v>31</v>
      </c>
      <c r="J826">
        <v>30</v>
      </c>
    </row>
    <row r="827" spans="1:10" x14ac:dyDescent="0.25">
      <c r="A827" t="s">
        <v>10</v>
      </c>
      <c r="B827" t="s">
        <v>20</v>
      </c>
      <c r="C827" t="s">
        <v>18</v>
      </c>
      <c r="D827" t="s">
        <v>15</v>
      </c>
      <c r="E827">
        <v>8.3333333333333301E-2</v>
      </c>
      <c r="F827">
        <v>0.75249999999999995</v>
      </c>
      <c r="G827">
        <v>34.423630237579303</v>
      </c>
      <c r="H827">
        <v>7</v>
      </c>
      <c r="I827">
        <v>26</v>
      </c>
      <c r="J827">
        <v>30</v>
      </c>
    </row>
    <row r="828" spans="1:10" x14ac:dyDescent="0.25">
      <c r="A828" t="s">
        <v>10</v>
      </c>
      <c r="B828" t="s">
        <v>20</v>
      </c>
      <c r="C828" t="s">
        <v>18</v>
      </c>
      <c r="D828" t="s">
        <v>15</v>
      </c>
      <c r="E828">
        <v>5.5555555555555497E-2</v>
      </c>
      <c r="F828">
        <v>0.75263888888888797</v>
      </c>
      <c r="G828">
        <v>35.017114639282198</v>
      </c>
      <c r="H828">
        <v>11</v>
      </c>
      <c r="I828">
        <v>35</v>
      </c>
      <c r="J828">
        <v>30</v>
      </c>
    </row>
    <row r="829" spans="1:10" x14ac:dyDescent="0.25">
      <c r="A829" t="s">
        <v>10</v>
      </c>
      <c r="B829" t="s">
        <v>20</v>
      </c>
      <c r="C829" t="s">
        <v>18</v>
      </c>
      <c r="D829" t="s">
        <v>15</v>
      </c>
      <c r="E829">
        <v>0</v>
      </c>
      <c r="F829">
        <v>0.75</v>
      </c>
      <c r="G829">
        <v>35.511627435684197</v>
      </c>
      <c r="H829">
        <v>8</v>
      </c>
      <c r="I829">
        <v>28</v>
      </c>
      <c r="J829">
        <v>30</v>
      </c>
    </row>
    <row r="830" spans="1:10" x14ac:dyDescent="0.25">
      <c r="A830" t="s">
        <v>10</v>
      </c>
      <c r="B830" t="s">
        <v>20</v>
      </c>
      <c r="C830" t="s">
        <v>18</v>
      </c>
      <c r="D830" t="s">
        <v>15</v>
      </c>
      <c r="E830">
        <v>5.5555555555555497E-2</v>
      </c>
      <c r="F830">
        <v>0.75118055555555496</v>
      </c>
      <c r="G830">
        <v>36.382193088531402</v>
      </c>
      <c r="H830">
        <v>13</v>
      </c>
      <c r="I830">
        <v>40</v>
      </c>
      <c r="J830">
        <v>30</v>
      </c>
    </row>
    <row r="831" spans="1:10" x14ac:dyDescent="0.25">
      <c r="A831" t="s">
        <v>10</v>
      </c>
      <c r="B831" t="s">
        <v>20</v>
      </c>
      <c r="C831" t="s">
        <v>18</v>
      </c>
      <c r="D831" t="s">
        <v>15</v>
      </c>
      <c r="E831">
        <v>0</v>
      </c>
      <c r="F831">
        <v>0.75</v>
      </c>
      <c r="G831">
        <v>37.472295999526899</v>
      </c>
      <c r="H831">
        <v>11</v>
      </c>
      <c r="I831">
        <v>34</v>
      </c>
      <c r="J831">
        <v>30</v>
      </c>
    </row>
    <row r="832" spans="1:10" x14ac:dyDescent="0.25">
      <c r="A832" t="s">
        <v>10</v>
      </c>
      <c r="B832" t="s">
        <v>20</v>
      </c>
      <c r="C832" t="s">
        <v>18</v>
      </c>
      <c r="D832" t="s">
        <v>15</v>
      </c>
      <c r="E832">
        <v>8.3333333333333301E-2</v>
      </c>
      <c r="F832">
        <v>0.75395833333333295</v>
      </c>
      <c r="G832">
        <v>38.9948987960815</v>
      </c>
      <c r="H832">
        <v>13</v>
      </c>
      <c r="I832">
        <v>43</v>
      </c>
      <c r="J832">
        <v>30</v>
      </c>
    </row>
    <row r="833" spans="1:10" x14ac:dyDescent="0.25">
      <c r="A833" t="s">
        <v>10</v>
      </c>
      <c r="B833" t="s">
        <v>20</v>
      </c>
      <c r="C833" t="s">
        <v>18</v>
      </c>
      <c r="D833" t="s">
        <v>15</v>
      </c>
      <c r="E833">
        <v>2.77777777777777E-2</v>
      </c>
      <c r="F833">
        <v>0.75131944444444398</v>
      </c>
      <c r="G833">
        <v>39.032267093658398</v>
      </c>
      <c r="H833">
        <v>14</v>
      </c>
      <c r="I833">
        <v>45</v>
      </c>
      <c r="J833">
        <v>30</v>
      </c>
    </row>
    <row r="834" spans="1:10" x14ac:dyDescent="0.25">
      <c r="A834" t="s">
        <v>10</v>
      </c>
      <c r="B834" t="s">
        <v>20</v>
      </c>
      <c r="C834" t="s">
        <v>18</v>
      </c>
      <c r="D834" t="s">
        <v>15</v>
      </c>
      <c r="E834">
        <v>2.77777777777777E-2</v>
      </c>
      <c r="F834">
        <v>0.74986111111111098</v>
      </c>
      <c r="G834">
        <v>39.078200578689497</v>
      </c>
      <c r="H834">
        <v>10</v>
      </c>
      <c r="I834">
        <v>42</v>
      </c>
      <c r="J834">
        <v>30</v>
      </c>
    </row>
    <row r="835" spans="1:10" x14ac:dyDescent="0.25">
      <c r="A835" t="s">
        <v>10</v>
      </c>
      <c r="B835" t="s">
        <v>20</v>
      </c>
      <c r="C835" t="s">
        <v>18</v>
      </c>
      <c r="D835" t="s">
        <v>15</v>
      </c>
      <c r="E835">
        <v>0.11111111111111099</v>
      </c>
      <c r="F835">
        <v>0.75527777777777705</v>
      </c>
      <c r="G835">
        <v>40.678162336349402</v>
      </c>
      <c r="H835">
        <v>15</v>
      </c>
      <c r="I835">
        <v>45</v>
      </c>
      <c r="J835">
        <v>30</v>
      </c>
    </row>
    <row r="836" spans="1:10" x14ac:dyDescent="0.25">
      <c r="A836" t="s">
        <v>10</v>
      </c>
      <c r="B836" t="s">
        <v>20</v>
      </c>
      <c r="C836" t="s">
        <v>18</v>
      </c>
      <c r="D836" t="s">
        <v>15</v>
      </c>
      <c r="E836">
        <v>2.77777777777777E-2</v>
      </c>
      <c r="F836">
        <v>0.75131944444444398</v>
      </c>
      <c r="G836">
        <v>40.735481977462698</v>
      </c>
      <c r="H836">
        <v>12</v>
      </c>
      <c r="I836">
        <v>37</v>
      </c>
      <c r="J836">
        <v>30</v>
      </c>
    </row>
    <row r="837" spans="1:10" x14ac:dyDescent="0.25">
      <c r="A837" t="s">
        <v>10</v>
      </c>
      <c r="B837" t="s">
        <v>20</v>
      </c>
      <c r="C837" t="s">
        <v>18</v>
      </c>
      <c r="D837" t="s">
        <v>15</v>
      </c>
      <c r="E837">
        <v>2.77777777777777E-2</v>
      </c>
      <c r="F837">
        <v>0.75131944444444398</v>
      </c>
      <c r="G837">
        <v>41.401430368423398</v>
      </c>
      <c r="H837">
        <v>14</v>
      </c>
      <c r="I837">
        <v>41</v>
      </c>
      <c r="J837">
        <v>30</v>
      </c>
    </row>
    <row r="838" spans="1:10" x14ac:dyDescent="0.25">
      <c r="A838" t="s">
        <v>10</v>
      </c>
      <c r="B838" t="s">
        <v>20</v>
      </c>
      <c r="C838" t="s">
        <v>18</v>
      </c>
      <c r="D838" t="s">
        <v>15</v>
      </c>
      <c r="E838">
        <v>2.77777777777777E-2</v>
      </c>
      <c r="F838">
        <v>0.75110926697500002</v>
      </c>
      <c r="G838">
        <v>42.084060668945298</v>
      </c>
      <c r="H838">
        <v>15</v>
      </c>
      <c r="I838">
        <v>49</v>
      </c>
      <c r="J838">
        <v>30</v>
      </c>
    </row>
    <row r="839" spans="1:10" x14ac:dyDescent="0.25">
      <c r="A839" t="s">
        <v>10</v>
      </c>
      <c r="B839" t="s">
        <v>20</v>
      </c>
      <c r="C839" t="s">
        <v>18</v>
      </c>
      <c r="D839" t="s">
        <v>15</v>
      </c>
      <c r="E839">
        <v>0</v>
      </c>
      <c r="F839">
        <v>0.74854166666666599</v>
      </c>
      <c r="G839">
        <v>42.597484350204397</v>
      </c>
      <c r="H839">
        <v>14</v>
      </c>
      <c r="I839">
        <v>47</v>
      </c>
      <c r="J839">
        <v>30</v>
      </c>
    </row>
    <row r="840" spans="1:10" x14ac:dyDescent="0.25">
      <c r="A840" t="s">
        <v>10</v>
      </c>
      <c r="B840" t="s">
        <v>20</v>
      </c>
      <c r="C840" t="s">
        <v>18</v>
      </c>
      <c r="D840" t="s">
        <v>15</v>
      </c>
      <c r="E840">
        <v>2.77777777777777E-2</v>
      </c>
      <c r="F840">
        <v>0.75131944444444398</v>
      </c>
      <c r="G840">
        <v>42.812041282653801</v>
      </c>
      <c r="H840">
        <v>12</v>
      </c>
      <c r="I840">
        <v>40</v>
      </c>
      <c r="J840">
        <v>30</v>
      </c>
    </row>
    <row r="841" spans="1:10" x14ac:dyDescent="0.25">
      <c r="A841" t="s">
        <v>10</v>
      </c>
      <c r="B841" t="s">
        <v>20</v>
      </c>
      <c r="C841" t="s">
        <v>18</v>
      </c>
      <c r="D841" t="s">
        <v>15</v>
      </c>
      <c r="E841">
        <v>8.3333333333333301E-2</v>
      </c>
      <c r="F841">
        <v>0.75249999999999995</v>
      </c>
      <c r="G841">
        <v>43.608121156692498</v>
      </c>
      <c r="H841">
        <v>21</v>
      </c>
      <c r="I841">
        <v>62</v>
      </c>
      <c r="J841">
        <v>30</v>
      </c>
    </row>
    <row r="842" spans="1:10" x14ac:dyDescent="0.25">
      <c r="A842" t="s">
        <v>10</v>
      </c>
      <c r="B842" t="s">
        <v>20</v>
      </c>
      <c r="C842" t="s">
        <v>18</v>
      </c>
      <c r="D842" t="s">
        <v>16</v>
      </c>
      <c r="E842">
        <v>0</v>
      </c>
      <c r="F842">
        <v>0.75</v>
      </c>
      <c r="G842">
        <v>0.51708054542541504</v>
      </c>
      <c r="H842">
        <v>0</v>
      </c>
      <c r="I842">
        <v>0</v>
      </c>
      <c r="J842">
        <v>30</v>
      </c>
    </row>
    <row r="843" spans="1:10" x14ac:dyDescent="0.25">
      <c r="A843" t="s">
        <v>10</v>
      </c>
      <c r="B843" t="s">
        <v>20</v>
      </c>
      <c r="C843" t="s">
        <v>18</v>
      </c>
      <c r="D843" t="s">
        <v>16</v>
      </c>
      <c r="E843">
        <v>0</v>
      </c>
      <c r="F843">
        <v>0.75</v>
      </c>
      <c r="G843">
        <v>0.53993535041809004</v>
      </c>
      <c r="H843">
        <v>0</v>
      </c>
      <c r="I843">
        <v>0</v>
      </c>
      <c r="J843">
        <v>30</v>
      </c>
    </row>
    <row r="844" spans="1:10" x14ac:dyDescent="0.25">
      <c r="A844" t="s">
        <v>10</v>
      </c>
      <c r="B844" t="s">
        <v>20</v>
      </c>
      <c r="C844" t="s">
        <v>18</v>
      </c>
      <c r="D844" t="s">
        <v>16</v>
      </c>
      <c r="E844">
        <v>0</v>
      </c>
      <c r="F844">
        <v>0.75</v>
      </c>
      <c r="G844">
        <v>0.55538058280944802</v>
      </c>
      <c r="H844">
        <v>0</v>
      </c>
      <c r="I844">
        <v>0</v>
      </c>
      <c r="J844">
        <v>30</v>
      </c>
    </row>
    <row r="845" spans="1:10" x14ac:dyDescent="0.25">
      <c r="A845" t="s">
        <v>10</v>
      </c>
      <c r="B845" t="s">
        <v>20</v>
      </c>
      <c r="C845" t="s">
        <v>18</v>
      </c>
      <c r="D845" t="s">
        <v>16</v>
      </c>
      <c r="E845">
        <v>0</v>
      </c>
      <c r="F845">
        <v>0.75</v>
      </c>
      <c r="G845">
        <v>0.56343722343444802</v>
      </c>
      <c r="H845">
        <v>0</v>
      </c>
      <c r="I845">
        <v>0</v>
      </c>
      <c r="J845">
        <v>30</v>
      </c>
    </row>
    <row r="846" spans="1:10" x14ac:dyDescent="0.25">
      <c r="A846" t="s">
        <v>10</v>
      </c>
      <c r="B846" t="s">
        <v>20</v>
      </c>
      <c r="C846" t="s">
        <v>18</v>
      </c>
      <c r="D846" t="s">
        <v>16</v>
      </c>
      <c r="E846">
        <v>0</v>
      </c>
      <c r="F846">
        <v>0.75</v>
      </c>
      <c r="G846">
        <v>0.58652806282043402</v>
      </c>
      <c r="H846">
        <v>0</v>
      </c>
      <c r="I846">
        <v>0</v>
      </c>
      <c r="J846">
        <v>30</v>
      </c>
    </row>
    <row r="847" spans="1:10" x14ac:dyDescent="0.25">
      <c r="A847" t="s">
        <v>10</v>
      </c>
      <c r="B847" t="s">
        <v>20</v>
      </c>
      <c r="C847" t="s">
        <v>18</v>
      </c>
      <c r="D847" t="s">
        <v>16</v>
      </c>
      <c r="E847">
        <v>0</v>
      </c>
      <c r="F847">
        <v>0.75</v>
      </c>
      <c r="G847">
        <v>0.60942101478576605</v>
      </c>
      <c r="H847">
        <v>0</v>
      </c>
      <c r="I847">
        <v>0</v>
      </c>
      <c r="J847">
        <v>30</v>
      </c>
    </row>
    <row r="848" spans="1:10" x14ac:dyDescent="0.25">
      <c r="A848" t="s">
        <v>10</v>
      </c>
      <c r="B848" t="s">
        <v>20</v>
      </c>
      <c r="C848" t="s">
        <v>18</v>
      </c>
      <c r="D848" t="s">
        <v>16</v>
      </c>
      <c r="E848">
        <v>0</v>
      </c>
      <c r="F848">
        <v>0.75</v>
      </c>
      <c r="G848">
        <v>0.61558175086975098</v>
      </c>
      <c r="H848">
        <v>0</v>
      </c>
      <c r="I848">
        <v>0</v>
      </c>
      <c r="J848">
        <v>30</v>
      </c>
    </row>
    <row r="849" spans="1:10" x14ac:dyDescent="0.25">
      <c r="A849" t="s">
        <v>10</v>
      </c>
      <c r="B849" t="s">
        <v>20</v>
      </c>
      <c r="C849" t="s">
        <v>18</v>
      </c>
      <c r="D849" t="s">
        <v>16</v>
      </c>
      <c r="E849">
        <v>0</v>
      </c>
      <c r="F849">
        <v>0.75</v>
      </c>
      <c r="G849">
        <v>0.63382959365844704</v>
      </c>
      <c r="H849">
        <v>0</v>
      </c>
      <c r="I849">
        <v>0</v>
      </c>
      <c r="J849">
        <v>30</v>
      </c>
    </row>
    <row r="850" spans="1:10" x14ac:dyDescent="0.25">
      <c r="A850" t="s">
        <v>10</v>
      </c>
      <c r="B850" t="s">
        <v>20</v>
      </c>
      <c r="C850" t="s">
        <v>18</v>
      </c>
      <c r="D850" t="s">
        <v>16</v>
      </c>
      <c r="E850">
        <v>0</v>
      </c>
      <c r="F850">
        <v>0.75</v>
      </c>
      <c r="G850">
        <v>0.64539623260498002</v>
      </c>
      <c r="H850">
        <v>0</v>
      </c>
      <c r="I850">
        <v>0</v>
      </c>
      <c r="J850">
        <v>30</v>
      </c>
    </row>
    <row r="851" spans="1:10" x14ac:dyDescent="0.25">
      <c r="A851" t="s">
        <v>10</v>
      </c>
      <c r="B851" t="s">
        <v>20</v>
      </c>
      <c r="C851" t="s">
        <v>18</v>
      </c>
      <c r="D851" t="s">
        <v>16</v>
      </c>
      <c r="E851">
        <v>0</v>
      </c>
      <c r="F851">
        <v>0.75</v>
      </c>
      <c r="G851">
        <v>0.65298247337341297</v>
      </c>
      <c r="H851">
        <v>0</v>
      </c>
      <c r="I851">
        <v>0</v>
      </c>
      <c r="J851">
        <v>30</v>
      </c>
    </row>
    <row r="852" spans="1:10" x14ac:dyDescent="0.25">
      <c r="A852" t="s">
        <v>10</v>
      </c>
      <c r="B852" t="s">
        <v>20</v>
      </c>
      <c r="C852" t="s">
        <v>18</v>
      </c>
      <c r="D852" t="s">
        <v>16</v>
      </c>
      <c r="E852">
        <v>0</v>
      </c>
      <c r="F852">
        <v>0.75</v>
      </c>
      <c r="G852">
        <v>0.68348956108093195</v>
      </c>
      <c r="H852">
        <v>0</v>
      </c>
      <c r="I852">
        <v>0</v>
      </c>
      <c r="J852">
        <v>30</v>
      </c>
    </row>
    <row r="853" spans="1:10" x14ac:dyDescent="0.25">
      <c r="A853" t="s">
        <v>10</v>
      </c>
      <c r="B853" t="s">
        <v>20</v>
      </c>
      <c r="C853" t="s">
        <v>18</v>
      </c>
      <c r="D853" t="s">
        <v>16</v>
      </c>
      <c r="E853">
        <v>0</v>
      </c>
      <c r="F853">
        <v>0.75</v>
      </c>
      <c r="G853">
        <v>0.68698072433471602</v>
      </c>
      <c r="H853">
        <v>0</v>
      </c>
      <c r="I853">
        <v>0</v>
      </c>
      <c r="J853">
        <v>30</v>
      </c>
    </row>
    <row r="854" spans="1:10" x14ac:dyDescent="0.25">
      <c r="A854" t="s">
        <v>10</v>
      </c>
      <c r="B854" t="s">
        <v>20</v>
      </c>
      <c r="C854" t="s">
        <v>18</v>
      </c>
      <c r="D854" t="s">
        <v>16</v>
      </c>
      <c r="E854">
        <v>0</v>
      </c>
      <c r="F854">
        <v>0.75</v>
      </c>
      <c r="G854">
        <v>0.709944248199462</v>
      </c>
      <c r="H854">
        <v>0</v>
      </c>
      <c r="I854">
        <v>0</v>
      </c>
      <c r="J854">
        <v>30</v>
      </c>
    </row>
    <row r="855" spans="1:10" x14ac:dyDescent="0.25">
      <c r="A855" t="s">
        <v>10</v>
      </c>
      <c r="B855" t="s">
        <v>20</v>
      </c>
      <c r="C855" t="s">
        <v>18</v>
      </c>
      <c r="D855" t="s">
        <v>16</v>
      </c>
      <c r="E855">
        <v>0</v>
      </c>
      <c r="F855">
        <v>0.75</v>
      </c>
      <c r="G855">
        <v>0.76515817642211903</v>
      </c>
      <c r="H855">
        <v>0</v>
      </c>
      <c r="I855">
        <v>0</v>
      </c>
      <c r="J855">
        <v>30</v>
      </c>
    </row>
    <row r="856" spans="1:10" x14ac:dyDescent="0.25">
      <c r="A856" t="s">
        <v>10</v>
      </c>
      <c r="B856" t="s">
        <v>20</v>
      </c>
      <c r="C856" t="s">
        <v>18</v>
      </c>
      <c r="D856" t="s">
        <v>16</v>
      </c>
      <c r="E856">
        <v>0</v>
      </c>
      <c r="F856">
        <v>0.75</v>
      </c>
      <c r="G856">
        <v>0.77165222167968694</v>
      </c>
      <c r="H856">
        <v>0</v>
      </c>
      <c r="I856">
        <v>0</v>
      </c>
      <c r="J856">
        <v>30</v>
      </c>
    </row>
    <row r="857" spans="1:10" x14ac:dyDescent="0.25">
      <c r="A857" t="s">
        <v>10</v>
      </c>
      <c r="B857" t="s">
        <v>20</v>
      </c>
      <c r="C857" t="s">
        <v>18</v>
      </c>
      <c r="D857" t="s">
        <v>16</v>
      </c>
      <c r="E857">
        <v>0</v>
      </c>
      <c r="F857">
        <v>0.75</v>
      </c>
      <c r="G857">
        <v>0.77765321731567305</v>
      </c>
      <c r="H857">
        <v>0</v>
      </c>
      <c r="I857">
        <v>0</v>
      </c>
      <c r="J857">
        <v>30</v>
      </c>
    </row>
    <row r="858" spans="1:10" x14ac:dyDescent="0.25">
      <c r="A858" t="s">
        <v>10</v>
      </c>
      <c r="B858" t="s">
        <v>20</v>
      </c>
      <c r="C858" t="s">
        <v>18</v>
      </c>
      <c r="D858" t="s">
        <v>16</v>
      </c>
      <c r="E858">
        <v>0</v>
      </c>
      <c r="F858">
        <v>0.75</v>
      </c>
      <c r="G858">
        <v>0.80816793441772405</v>
      </c>
      <c r="H858">
        <v>0</v>
      </c>
      <c r="I858">
        <v>0</v>
      </c>
      <c r="J858">
        <v>30</v>
      </c>
    </row>
    <row r="859" spans="1:10" x14ac:dyDescent="0.25">
      <c r="A859" t="s">
        <v>10</v>
      </c>
      <c r="B859" t="s">
        <v>20</v>
      </c>
      <c r="C859" t="s">
        <v>18</v>
      </c>
      <c r="D859" t="s">
        <v>16</v>
      </c>
      <c r="E859">
        <v>0</v>
      </c>
      <c r="F859">
        <v>0.75</v>
      </c>
      <c r="G859">
        <v>0.80891895294189398</v>
      </c>
      <c r="H859">
        <v>0</v>
      </c>
      <c r="I859">
        <v>0</v>
      </c>
      <c r="J859">
        <v>30</v>
      </c>
    </row>
    <row r="860" spans="1:10" x14ac:dyDescent="0.25">
      <c r="A860" t="s">
        <v>10</v>
      </c>
      <c r="B860" t="s">
        <v>20</v>
      </c>
      <c r="C860" t="s">
        <v>18</v>
      </c>
      <c r="D860" t="s">
        <v>16</v>
      </c>
      <c r="E860">
        <v>0</v>
      </c>
      <c r="F860">
        <v>0.75</v>
      </c>
      <c r="G860">
        <v>0.80365943908691395</v>
      </c>
      <c r="H860">
        <v>0</v>
      </c>
      <c r="I860">
        <v>0</v>
      </c>
      <c r="J860">
        <v>30</v>
      </c>
    </row>
    <row r="861" spans="1:10" x14ac:dyDescent="0.25">
      <c r="A861" t="s">
        <v>10</v>
      </c>
      <c r="B861" t="s">
        <v>20</v>
      </c>
      <c r="C861" t="s">
        <v>18</v>
      </c>
      <c r="D861" t="s">
        <v>16</v>
      </c>
      <c r="E861">
        <v>0</v>
      </c>
      <c r="F861">
        <v>0.75</v>
      </c>
      <c r="G861">
        <v>0.82014703750610296</v>
      </c>
      <c r="H861">
        <v>0</v>
      </c>
      <c r="I861">
        <v>0</v>
      </c>
      <c r="J861">
        <v>30</v>
      </c>
    </row>
    <row r="862" spans="1:10" x14ac:dyDescent="0.25">
      <c r="A862" t="s">
        <v>10</v>
      </c>
      <c r="B862" t="s">
        <v>20</v>
      </c>
      <c r="C862" t="s">
        <v>18</v>
      </c>
      <c r="D862" t="s">
        <v>16</v>
      </c>
      <c r="E862">
        <v>0</v>
      </c>
      <c r="F862">
        <v>0.75</v>
      </c>
      <c r="G862">
        <v>0.83416962623596103</v>
      </c>
      <c r="H862">
        <v>0</v>
      </c>
      <c r="I862">
        <v>0</v>
      </c>
      <c r="J862">
        <v>30</v>
      </c>
    </row>
    <row r="863" spans="1:10" x14ac:dyDescent="0.25">
      <c r="A863" t="s">
        <v>10</v>
      </c>
      <c r="B863" t="s">
        <v>20</v>
      </c>
      <c r="C863" t="s">
        <v>18</v>
      </c>
      <c r="D863" t="s">
        <v>16</v>
      </c>
      <c r="E863">
        <v>0</v>
      </c>
      <c r="F863">
        <v>0.75</v>
      </c>
      <c r="G863">
        <v>0.82114696502685502</v>
      </c>
      <c r="H863">
        <v>0</v>
      </c>
      <c r="I863">
        <v>0</v>
      </c>
      <c r="J863">
        <v>30</v>
      </c>
    </row>
    <row r="864" spans="1:10" x14ac:dyDescent="0.25">
      <c r="A864" t="s">
        <v>10</v>
      </c>
      <c r="B864" t="s">
        <v>20</v>
      </c>
      <c r="C864" t="s">
        <v>18</v>
      </c>
      <c r="D864" t="s">
        <v>16</v>
      </c>
      <c r="E864">
        <v>0</v>
      </c>
      <c r="F864">
        <v>0.75</v>
      </c>
      <c r="G864">
        <v>0.83792352676391602</v>
      </c>
      <c r="H864">
        <v>0</v>
      </c>
      <c r="I864">
        <v>0</v>
      </c>
      <c r="J864">
        <v>30</v>
      </c>
    </row>
    <row r="865" spans="1:10" x14ac:dyDescent="0.25">
      <c r="A865" t="s">
        <v>10</v>
      </c>
      <c r="B865" t="s">
        <v>20</v>
      </c>
      <c r="C865" t="s">
        <v>18</v>
      </c>
      <c r="D865" t="s">
        <v>16</v>
      </c>
      <c r="E865">
        <v>0</v>
      </c>
      <c r="F865">
        <v>0.75</v>
      </c>
      <c r="G865">
        <v>0.84275364875793402</v>
      </c>
      <c r="H865">
        <v>0</v>
      </c>
      <c r="I865">
        <v>0</v>
      </c>
      <c r="J865">
        <v>30</v>
      </c>
    </row>
    <row r="866" spans="1:10" x14ac:dyDescent="0.25">
      <c r="A866" t="s">
        <v>10</v>
      </c>
      <c r="B866" t="s">
        <v>20</v>
      </c>
      <c r="C866" t="s">
        <v>18</v>
      </c>
      <c r="D866" t="s">
        <v>16</v>
      </c>
      <c r="E866">
        <v>0</v>
      </c>
      <c r="F866">
        <v>0.75</v>
      </c>
      <c r="G866">
        <v>0.856265068054199</v>
      </c>
      <c r="H866">
        <v>0</v>
      </c>
      <c r="I866">
        <v>0</v>
      </c>
      <c r="J866">
        <v>30</v>
      </c>
    </row>
    <row r="867" spans="1:10" x14ac:dyDescent="0.25">
      <c r="A867" t="s">
        <v>10</v>
      </c>
      <c r="B867" t="s">
        <v>20</v>
      </c>
      <c r="C867" t="s">
        <v>18</v>
      </c>
      <c r="D867" t="s">
        <v>16</v>
      </c>
      <c r="E867">
        <v>0</v>
      </c>
      <c r="F867">
        <v>0.75</v>
      </c>
      <c r="G867">
        <v>0.86913871765136697</v>
      </c>
      <c r="H867">
        <v>0</v>
      </c>
      <c r="I867">
        <v>0</v>
      </c>
      <c r="J867">
        <v>30</v>
      </c>
    </row>
    <row r="868" spans="1:10" x14ac:dyDescent="0.25">
      <c r="A868" t="s">
        <v>10</v>
      </c>
      <c r="B868" t="s">
        <v>20</v>
      </c>
      <c r="C868" t="s">
        <v>18</v>
      </c>
      <c r="D868" t="s">
        <v>16</v>
      </c>
      <c r="E868">
        <v>0</v>
      </c>
      <c r="F868">
        <v>0.75</v>
      </c>
      <c r="G868">
        <v>0.883980512619018</v>
      </c>
      <c r="H868">
        <v>0</v>
      </c>
      <c r="I868">
        <v>0</v>
      </c>
      <c r="J868">
        <v>30</v>
      </c>
    </row>
    <row r="869" spans="1:10" x14ac:dyDescent="0.25">
      <c r="A869" t="s">
        <v>10</v>
      </c>
      <c r="B869" t="s">
        <v>20</v>
      </c>
      <c r="C869" t="s">
        <v>18</v>
      </c>
      <c r="D869" t="s">
        <v>16</v>
      </c>
      <c r="E869">
        <v>0</v>
      </c>
      <c r="F869">
        <v>0.75</v>
      </c>
      <c r="G869">
        <v>0.89454674720764105</v>
      </c>
      <c r="H869">
        <v>0</v>
      </c>
      <c r="I869">
        <v>0</v>
      </c>
      <c r="J869">
        <v>30</v>
      </c>
    </row>
    <row r="870" spans="1:10" x14ac:dyDescent="0.25">
      <c r="A870" t="s">
        <v>10</v>
      </c>
      <c r="B870" t="s">
        <v>20</v>
      </c>
      <c r="C870" t="s">
        <v>18</v>
      </c>
      <c r="D870" t="s">
        <v>16</v>
      </c>
      <c r="E870">
        <v>0</v>
      </c>
      <c r="F870">
        <v>0.75</v>
      </c>
      <c r="G870">
        <v>0.892547607421875</v>
      </c>
      <c r="H870">
        <v>0</v>
      </c>
      <c r="I870">
        <v>0</v>
      </c>
      <c r="J870">
        <v>30</v>
      </c>
    </row>
    <row r="871" spans="1:10" x14ac:dyDescent="0.25">
      <c r="A871" t="s">
        <v>10</v>
      </c>
      <c r="B871" t="s">
        <v>20</v>
      </c>
      <c r="C871" t="s">
        <v>18</v>
      </c>
      <c r="D871" t="s">
        <v>16</v>
      </c>
      <c r="E871">
        <v>0</v>
      </c>
      <c r="F871">
        <v>0.75</v>
      </c>
      <c r="G871">
        <v>0.88954615592956499</v>
      </c>
      <c r="H871">
        <v>0</v>
      </c>
      <c r="I871">
        <v>0</v>
      </c>
      <c r="J871">
        <v>30</v>
      </c>
    </row>
    <row r="872" spans="1:10" x14ac:dyDescent="0.25">
      <c r="A872" t="s">
        <v>10</v>
      </c>
      <c r="B872" t="s">
        <v>20</v>
      </c>
      <c r="C872" t="s">
        <v>18</v>
      </c>
      <c r="D872" t="s">
        <v>17</v>
      </c>
      <c r="E872">
        <v>0.66666666666666596</v>
      </c>
      <c r="F872">
        <v>0.78081968013888803</v>
      </c>
      <c r="G872">
        <v>57.0450983047485</v>
      </c>
      <c r="H872">
        <v>49</v>
      </c>
      <c r="I872">
        <v>53</v>
      </c>
      <c r="J872">
        <v>30</v>
      </c>
    </row>
    <row r="873" spans="1:10" x14ac:dyDescent="0.25">
      <c r="A873" t="s">
        <v>10</v>
      </c>
      <c r="B873" t="s">
        <v>20</v>
      </c>
      <c r="C873" t="s">
        <v>18</v>
      </c>
      <c r="D873" t="s">
        <v>17</v>
      </c>
      <c r="E873">
        <v>0.52777777777777701</v>
      </c>
      <c r="F873">
        <v>0.75997844849999996</v>
      </c>
      <c r="G873">
        <v>63.012154102325397</v>
      </c>
      <c r="H873">
        <v>51</v>
      </c>
      <c r="I873">
        <v>51</v>
      </c>
      <c r="J873">
        <v>30</v>
      </c>
    </row>
    <row r="874" spans="1:10" x14ac:dyDescent="0.25">
      <c r="A874" t="s">
        <v>10</v>
      </c>
      <c r="B874" t="s">
        <v>20</v>
      </c>
      <c r="C874" t="s">
        <v>18</v>
      </c>
      <c r="D874" t="s">
        <v>17</v>
      </c>
      <c r="E874">
        <v>0.61111111111111105</v>
      </c>
      <c r="F874">
        <v>0.76917079697500002</v>
      </c>
      <c r="G874">
        <v>63.543584585189798</v>
      </c>
      <c r="H874">
        <v>55</v>
      </c>
      <c r="I874">
        <v>55</v>
      </c>
      <c r="J874">
        <v>30</v>
      </c>
    </row>
    <row r="875" spans="1:10" x14ac:dyDescent="0.25">
      <c r="A875" t="s">
        <v>10</v>
      </c>
      <c r="B875" t="s">
        <v>20</v>
      </c>
      <c r="C875" t="s">
        <v>18</v>
      </c>
      <c r="D875" t="s">
        <v>17</v>
      </c>
      <c r="E875">
        <v>0.69444444444444398</v>
      </c>
      <c r="F875">
        <v>0.79183446817499903</v>
      </c>
      <c r="G875">
        <v>63.748616933822603</v>
      </c>
      <c r="H875">
        <v>58</v>
      </c>
      <c r="I875">
        <v>61</v>
      </c>
      <c r="J875">
        <v>30</v>
      </c>
    </row>
    <row r="876" spans="1:10" x14ac:dyDescent="0.25">
      <c r="A876" t="s">
        <v>10</v>
      </c>
      <c r="B876" t="s">
        <v>20</v>
      </c>
      <c r="C876" t="s">
        <v>18</v>
      </c>
      <c r="D876" t="s">
        <v>17</v>
      </c>
      <c r="E876">
        <v>0.58333333333333304</v>
      </c>
      <c r="F876">
        <v>0.76617768218888804</v>
      </c>
      <c r="G876">
        <v>64.292392492294297</v>
      </c>
      <c r="H876">
        <v>53</v>
      </c>
      <c r="I876">
        <v>56</v>
      </c>
      <c r="J876">
        <v>30</v>
      </c>
    </row>
    <row r="877" spans="1:10" x14ac:dyDescent="0.25">
      <c r="A877" t="s">
        <v>10</v>
      </c>
      <c r="B877" t="s">
        <v>20</v>
      </c>
      <c r="C877" t="s">
        <v>18</v>
      </c>
      <c r="D877" t="s">
        <v>17</v>
      </c>
      <c r="E877">
        <v>0.58333333333333304</v>
      </c>
      <c r="F877">
        <v>0.76418644228611099</v>
      </c>
      <c r="G877">
        <v>66.478153705596895</v>
      </c>
      <c r="H877">
        <v>60</v>
      </c>
      <c r="I877">
        <v>59</v>
      </c>
      <c r="J877">
        <v>30</v>
      </c>
    </row>
    <row r="878" spans="1:10" x14ac:dyDescent="0.25">
      <c r="A878" t="s">
        <v>10</v>
      </c>
      <c r="B878" t="s">
        <v>20</v>
      </c>
      <c r="C878" t="s">
        <v>18</v>
      </c>
      <c r="D878" t="s">
        <v>17</v>
      </c>
      <c r="E878">
        <v>0.63888888888888795</v>
      </c>
      <c r="F878">
        <v>0.77238650986666602</v>
      </c>
      <c r="G878">
        <v>66.512064456939697</v>
      </c>
      <c r="H878">
        <v>62</v>
      </c>
      <c r="I878">
        <v>61</v>
      </c>
      <c r="J878">
        <v>30</v>
      </c>
    </row>
    <row r="879" spans="1:10" x14ac:dyDescent="0.25">
      <c r="A879" t="s">
        <v>10</v>
      </c>
      <c r="B879" t="s">
        <v>20</v>
      </c>
      <c r="C879" t="s">
        <v>18</v>
      </c>
      <c r="D879" t="s">
        <v>17</v>
      </c>
      <c r="E879">
        <v>0.61111111111111105</v>
      </c>
      <c r="F879">
        <v>0.76437583213055504</v>
      </c>
      <c r="G879">
        <v>67.376810312271104</v>
      </c>
      <c r="H879">
        <v>58</v>
      </c>
      <c r="I879">
        <v>57</v>
      </c>
      <c r="J879">
        <v>30</v>
      </c>
    </row>
    <row r="880" spans="1:10" x14ac:dyDescent="0.25">
      <c r="A880" t="s">
        <v>10</v>
      </c>
      <c r="B880" t="s">
        <v>20</v>
      </c>
      <c r="C880" t="s">
        <v>18</v>
      </c>
      <c r="D880" t="s">
        <v>17</v>
      </c>
      <c r="E880">
        <v>0.52777777777777701</v>
      </c>
      <c r="F880">
        <v>0.75215805291111104</v>
      </c>
      <c r="G880">
        <v>67.438302755355807</v>
      </c>
      <c r="H880">
        <v>57</v>
      </c>
      <c r="I880">
        <v>61</v>
      </c>
      <c r="J880">
        <v>30</v>
      </c>
    </row>
    <row r="881" spans="1:10" x14ac:dyDescent="0.25">
      <c r="A881" t="s">
        <v>10</v>
      </c>
      <c r="B881" t="s">
        <v>20</v>
      </c>
      <c r="C881" t="s">
        <v>18</v>
      </c>
      <c r="D881" t="s">
        <v>17</v>
      </c>
      <c r="E881">
        <v>0.5</v>
      </c>
      <c r="F881">
        <v>0.73764710719444404</v>
      </c>
      <c r="G881">
        <v>67.499556064605699</v>
      </c>
      <c r="H881">
        <v>58</v>
      </c>
      <c r="I881">
        <v>61</v>
      </c>
      <c r="J881">
        <v>30</v>
      </c>
    </row>
    <row r="882" spans="1:10" x14ac:dyDescent="0.25">
      <c r="A882" t="s">
        <v>10</v>
      </c>
      <c r="B882" t="s">
        <v>20</v>
      </c>
      <c r="C882" t="s">
        <v>18</v>
      </c>
      <c r="D882" t="s">
        <v>17</v>
      </c>
      <c r="E882">
        <v>0.66666666666666596</v>
      </c>
      <c r="F882">
        <v>0.79239700215277697</v>
      </c>
      <c r="G882">
        <v>67.622813701629596</v>
      </c>
      <c r="H882">
        <v>67</v>
      </c>
      <c r="I882">
        <v>72</v>
      </c>
      <c r="J882">
        <v>30</v>
      </c>
    </row>
    <row r="883" spans="1:10" x14ac:dyDescent="0.25">
      <c r="A883" t="s">
        <v>10</v>
      </c>
      <c r="B883" t="s">
        <v>20</v>
      </c>
      <c r="C883" t="s">
        <v>18</v>
      </c>
      <c r="D883" t="s">
        <v>17</v>
      </c>
      <c r="E883">
        <v>0.52777777777777701</v>
      </c>
      <c r="F883">
        <v>0.74878421989444399</v>
      </c>
      <c r="G883">
        <v>67.622917890548706</v>
      </c>
      <c r="H883">
        <v>60</v>
      </c>
      <c r="I883">
        <v>64</v>
      </c>
      <c r="J883">
        <v>30</v>
      </c>
    </row>
    <row r="884" spans="1:10" x14ac:dyDescent="0.25">
      <c r="A884" t="s">
        <v>10</v>
      </c>
      <c r="B884" t="s">
        <v>20</v>
      </c>
      <c r="C884" t="s">
        <v>18</v>
      </c>
      <c r="D884" t="s">
        <v>17</v>
      </c>
      <c r="E884">
        <v>0.72222222222222199</v>
      </c>
      <c r="F884">
        <v>0.78888425336944401</v>
      </c>
      <c r="G884">
        <v>67.663409471511798</v>
      </c>
      <c r="H884">
        <v>57</v>
      </c>
      <c r="I884">
        <v>60</v>
      </c>
      <c r="J884">
        <v>30</v>
      </c>
    </row>
    <row r="885" spans="1:10" x14ac:dyDescent="0.25">
      <c r="A885" t="s">
        <v>10</v>
      </c>
      <c r="B885" t="s">
        <v>20</v>
      </c>
      <c r="C885" t="s">
        <v>18</v>
      </c>
      <c r="D885" t="s">
        <v>17</v>
      </c>
      <c r="E885">
        <v>0.52777777777777701</v>
      </c>
      <c r="F885">
        <v>0.75014417760555496</v>
      </c>
      <c r="G885">
        <v>67.826711654663001</v>
      </c>
      <c r="H885">
        <v>60</v>
      </c>
      <c r="I885">
        <v>62</v>
      </c>
      <c r="J885">
        <v>30</v>
      </c>
    </row>
    <row r="886" spans="1:10" x14ac:dyDescent="0.25">
      <c r="A886" t="s">
        <v>10</v>
      </c>
      <c r="B886" t="s">
        <v>20</v>
      </c>
      <c r="C886" t="s">
        <v>18</v>
      </c>
      <c r="D886" t="s">
        <v>17</v>
      </c>
      <c r="E886">
        <v>0.72222222222222199</v>
      </c>
      <c r="F886">
        <v>0.78705737407499998</v>
      </c>
      <c r="G886">
        <v>67.893335342407198</v>
      </c>
      <c r="H886">
        <v>50</v>
      </c>
      <c r="I886">
        <v>51</v>
      </c>
      <c r="J886">
        <v>30</v>
      </c>
    </row>
    <row r="887" spans="1:10" x14ac:dyDescent="0.25">
      <c r="A887" t="s">
        <v>10</v>
      </c>
      <c r="B887" t="s">
        <v>20</v>
      </c>
      <c r="C887" t="s">
        <v>18</v>
      </c>
      <c r="D887" t="s">
        <v>17</v>
      </c>
      <c r="E887">
        <v>0.61111111111111105</v>
      </c>
      <c r="F887">
        <v>0.783174767088888</v>
      </c>
      <c r="G887">
        <v>68.060723066329899</v>
      </c>
      <c r="H887">
        <v>53</v>
      </c>
      <c r="I887">
        <v>53</v>
      </c>
      <c r="J887">
        <v>30</v>
      </c>
    </row>
    <row r="888" spans="1:10" x14ac:dyDescent="0.25">
      <c r="A888" t="s">
        <v>10</v>
      </c>
      <c r="B888" t="s">
        <v>20</v>
      </c>
      <c r="C888" t="s">
        <v>18</v>
      </c>
      <c r="D888" t="s">
        <v>17</v>
      </c>
      <c r="E888">
        <v>0.55555555555555503</v>
      </c>
      <c r="F888">
        <v>0.75443412732222204</v>
      </c>
      <c r="G888">
        <v>68.1356489658355</v>
      </c>
      <c r="H888">
        <v>56</v>
      </c>
      <c r="I888">
        <v>62</v>
      </c>
      <c r="J888">
        <v>30</v>
      </c>
    </row>
    <row r="889" spans="1:10" x14ac:dyDescent="0.25">
      <c r="A889" t="s">
        <v>10</v>
      </c>
      <c r="B889" t="s">
        <v>20</v>
      </c>
      <c r="C889" t="s">
        <v>18</v>
      </c>
      <c r="D889" t="s">
        <v>17</v>
      </c>
      <c r="E889">
        <v>0.44444444444444398</v>
      </c>
      <c r="F889">
        <v>0.73974847213611095</v>
      </c>
      <c r="G889">
        <v>68.197812557220402</v>
      </c>
      <c r="H889">
        <v>50</v>
      </c>
      <c r="I889">
        <v>58</v>
      </c>
      <c r="J889">
        <v>30</v>
      </c>
    </row>
    <row r="890" spans="1:10" x14ac:dyDescent="0.25">
      <c r="A890" t="s">
        <v>10</v>
      </c>
      <c r="B890" t="s">
        <v>20</v>
      </c>
      <c r="C890" t="s">
        <v>18</v>
      </c>
      <c r="D890" t="s">
        <v>17</v>
      </c>
      <c r="E890">
        <v>0.80555555555555503</v>
      </c>
      <c r="F890">
        <v>0.80134797321111095</v>
      </c>
      <c r="G890">
        <v>68.290155887603703</v>
      </c>
      <c r="H890">
        <v>58</v>
      </c>
      <c r="I890">
        <v>64</v>
      </c>
      <c r="J890">
        <v>30</v>
      </c>
    </row>
    <row r="891" spans="1:10" x14ac:dyDescent="0.25">
      <c r="A891" t="s">
        <v>10</v>
      </c>
      <c r="B891" t="s">
        <v>20</v>
      </c>
      <c r="C891" t="s">
        <v>18</v>
      </c>
      <c r="D891" t="s">
        <v>17</v>
      </c>
      <c r="E891">
        <v>0.72222222222222199</v>
      </c>
      <c r="F891">
        <v>0.79734258567222205</v>
      </c>
      <c r="G891">
        <v>68.643392086028996</v>
      </c>
      <c r="H891">
        <v>57</v>
      </c>
      <c r="I891">
        <v>60</v>
      </c>
      <c r="J891">
        <v>30</v>
      </c>
    </row>
    <row r="892" spans="1:10" x14ac:dyDescent="0.25">
      <c r="A892" t="s">
        <v>10</v>
      </c>
      <c r="B892" t="s">
        <v>20</v>
      </c>
      <c r="C892" t="s">
        <v>18</v>
      </c>
      <c r="D892" t="s">
        <v>17</v>
      </c>
      <c r="E892">
        <v>0.66666666666666596</v>
      </c>
      <c r="F892">
        <v>0.78171562009444395</v>
      </c>
      <c r="G892">
        <v>68.765980005264197</v>
      </c>
      <c r="H892">
        <v>53</v>
      </c>
      <c r="I892">
        <v>57</v>
      </c>
      <c r="J892">
        <v>30</v>
      </c>
    </row>
    <row r="893" spans="1:10" x14ac:dyDescent="0.25">
      <c r="A893" t="s">
        <v>10</v>
      </c>
      <c r="B893" t="s">
        <v>20</v>
      </c>
      <c r="C893" t="s">
        <v>18</v>
      </c>
      <c r="D893" t="s">
        <v>17</v>
      </c>
      <c r="E893">
        <v>0.72222222222222199</v>
      </c>
      <c r="F893">
        <v>0.78264687181388803</v>
      </c>
      <c r="G893">
        <v>68.985119581222506</v>
      </c>
      <c r="H893">
        <v>67</v>
      </c>
      <c r="I893">
        <v>67</v>
      </c>
      <c r="J893">
        <v>30</v>
      </c>
    </row>
    <row r="894" spans="1:10" x14ac:dyDescent="0.25">
      <c r="A894" t="s">
        <v>10</v>
      </c>
      <c r="B894" t="s">
        <v>20</v>
      </c>
      <c r="C894" t="s">
        <v>18</v>
      </c>
      <c r="D894" t="s">
        <v>17</v>
      </c>
      <c r="E894">
        <v>0.63888888888888795</v>
      </c>
      <c r="F894">
        <v>0.76469600831388895</v>
      </c>
      <c r="G894">
        <v>69.033744573593097</v>
      </c>
      <c r="H894">
        <v>57</v>
      </c>
      <c r="I894">
        <v>56</v>
      </c>
      <c r="J894">
        <v>30</v>
      </c>
    </row>
    <row r="895" spans="1:10" x14ac:dyDescent="0.25">
      <c r="A895" t="s">
        <v>10</v>
      </c>
      <c r="B895" t="s">
        <v>20</v>
      </c>
      <c r="C895" t="s">
        <v>18</v>
      </c>
      <c r="D895" t="s">
        <v>17</v>
      </c>
      <c r="E895">
        <v>0.58333333333333304</v>
      </c>
      <c r="F895">
        <v>0.77461702034722202</v>
      </c>
      <c r="G895">
        <v>69.1096351146698</v>
      </c>
      <c r="H895">
        <v>54</v>
      </c>
      <c r="I895">
        <v>57</v>
      </c>
      <c r="J895">
        <v>30</v>
      </c>
    </row>
    <row r="896" spans="1:10" x14ac:dyDescent="0.25">
      <c r="A896" t="s">
        <v>10</v>
      </c>
      <c r="B896" t="s">
        <v>20</v>
      </c>
      <c r="C896" t="s">
        <v>18</v>
      </c>
      <c r="D896" t="s">
        <v>17</v>
      </c>
      <c r="E896">
        <v>0.61111111111111105</v>
      </c>
      <c r="F896">
        <v>0.76026949614722195</v>
      </c>
      <c r="G896">
        <v>69.126038074493394</v>
      </c>
      <c r="H896">
        <v>60</v>
      </c>
      <c r="I896">
        <v>63</v>
      </c>
      <c r="J896">
        <v>30</v>
      </c>
    </row>
    <row r="897" spans="1:10" x14ac:dyDescent="0.25">
      <c r="A897" t="s">
        <v>10</v>
      </c>
      <c r="B897" t="s">
        <v>20</v>
      </c>
      <c r="C897" t="s">
        <v>18</v>
      </c>
      <c r="D897" t="s">
        <v>17</v>
      </c>
      <c r="E897">
        <v>0.63888888888888795</v>
      </c>
      <c r="F897">
        <v>0.77694416634722197</v>
      </c>
      <c r="G897">
        <v>69.415318012237506</v>
      </c>
      <c r="H897">
        <v>58</v>
      </c>
      <c r="I897">
        <v>54</v>
      </c>
      <c r="J897">
        <v>30</v>
      </c>
    </row>
    <row r="898" spans="1:10" x14ac:dyDescent="0.25">
      <c r="A898" t="s">
        <v>10</v>
      </c>
      <c r="B898" t="s">
        <v>20</v>
      </c>
      <c r="C898" t="s">
        <v>18</v>
      </c>
      <c r="D898" t="s">
        <v>17</v>
      </c>
      <c r="E898">
        <v>0.75</v>
      </c>
      <c r="F898">
        <v>0.786472130738889</v>
      </c>
      <c r="G898">
        <v>69.527289867401095</v>
      </c>
      <c r="H898">
        <v>62</v>
      </c>
      <c r="I898">
        <v>69</v>
      </c>
      <c r="J898">
        <v>30</v>
      </c>
    </row>
    <row r="899" spans="1:10" x14ac:dyDescent="0.25">
      <c r="A899" t="s">
        <v>10</v>
      </c>
      <c r="B899" t="s">
        <v>20</v>
      </c>
      <c r="C899" t="s">
        <v>18</v>
      </c>
      <c r="D899" t="s">
        <v>17</v>
      </c>
      <c r="E899">
        <v>0.69444444444444398</v>
      </c>
      <c r="F899">
        <v>0.77696750637500001</v>
      </c>
      <c r="G899">
        <v>69.682031869888306</v>
      </c>
      <c r="H899">
        <v>61</v>
      </c>
      <c r="I899">
        <v>60</v>
      </c>
      <c r="J899">
        <v>30</v>
      </c>
    </row>
    <row r="900" spans="1:10" x14ac:dyDescent="0.25">
      <c r="A900" t="s">
        <v>10</v>
      </c>
      <c r="B900" t="s">
        <v>20</v>
      </c>
      <c r="C900" t="s">
        <v>18</v>
      </c>
      <c r="D900" t="s">
        <v>17</v>
      </c>
      <c r="E900">
        <v>0.61111111111111105</v>
      </c>
      <c r="F900">
        <v>0.75890317379444405</v>
      </c>
      <c r="G900">
        <v>69.931292772293006</v>
      </c>
      <c r="H900">
        <v>66</v>
      </c>
      <c r="I900">
        <v>68</v>
      </c>
      <c r="J900">
        <v>30</v>
      </c>
    </row>
    <row r="901" spans="1:10" x14ac:dyDescent="0.25">
      <c r="A901" t="s">
        <v>10</v>
      </c>
      <c r="B901" t="s">
        <v>20</v>
      </c>
      <c r="C901" t="s">
        <v>18</v>
      </c>
      <c r="D901" t="s">
        <v>17</v>
      </c>
      <c r="E901">
        <v>0.66666666666666596</v>
      </c>
      <c r="F901">
        <v>0.77854786925277697</v>
      </c>
      <c r="G901">
        <v>70.026319265365601</v>
      </c>
      <c r="H901">
        <v>68</v>
      </c>
      <c r="I901">
        <v>75</v>
      </c>
      <c r="J901">
        <v>30</v>
      </c>
    </row>
    <row r="902" spans="1:10" x14ac:dyDescent="0.25">
      <c r="A902" t="s">
        <v>10</v>
      </c>
      <c r="B902" t="s">
        <v>21</v>
      </c>
      <c r="C902" t="s">
        <v>12</v>
      </c>
      <c r="D902" t="s">
        <v>13</v>
      </c>
      <c r="E902">
        <v>0.94444444444444398</v>
      </c>
      <c r="F902">
        <v>0.955014502777777</v>
      </c>
      <c r="G902">
        <v>0.88560295104980402</v>
      </c>
      <c r="H902">
        <v>8</v>
      </c>
      <c r="I902">
        <v>8</v>
      </c>
      <c r="J902">
        <v>30</v>
      </c>
    </row>
    <row r="903" spans="1:10" x14ac:dyDescent="0.25">
      <c r="A903" t="s">
        <v>10</v>
      </c>
      <c r="B903" t="s">
        <v>21</v>
      </c>
      <c r="C903" t="s">
        <v>12</v>
      </c>
      <c r="D903" t="s">
        <v>13</v>
      </c>
      <c r="E903">
        <v>0.83333333333333304</v>
      </c>
      <c r="F903">
        <v>0.85048561703611103</v>
      </c>
      <c r="G903">
        <v>0.97900700569152799</v>
      </c>
      <c r="H903">
        <v>8</v>
      </c>
      <c r="I903">
        <v>8</v>
      </c>
      <c r="J903">
        <v>30</v>
      </c>
    </row>
    <row r="904" spans="1:10" x14ac:dyDescent="0.25">
      <c r="A904" t="s">
        <v>10</v>
      </c>
      <c r="B904" t="s">
        <v>21</v>
      </c>
      <c r="C904" t="s">
        <v>12</v>
      </c>
      <c r="D904" t="s">
        <v>13</v>
      </c>
      <c r="E904">
        <v>0.97222222222222199</v>
      </c>
      <c r="F904">
        <v>0.965809696061111</v>
      </c>
      <c r="G904">
        <v>1.1227710247039699</v>
      </c>
      <c r="H904">
        <v>7</v>
      </c>
      <c r="I904">
        <v>8</v>
      </c>
      <c r="J904">
        <v>30</v>
      </c>
    </row>
    <row r="905" spans="1:10" x14ac:dyDescent="0.25">
      <c r="A905" t="s">
        <v>10</v>
      </c>
      <c r="B905" t="s">
        <v>21</v>
      </c>
      <c r="C905" t="s">
        <v>12</v>
      </c>
      <c r="D905" t="s">
        <v>13</v>
      </c>
      <c r="E905">
        <v>0.86111111111111105</v>
      </c>
      <c r="F905">
        <v>0.87269618112500003</v>
      </c>
      <c r="G905">
        <v>1.1380085945129299</v>
      </c>
      <c r="H905">
        <v>8</v>
      </c>
      <c r="I905">
        <v>8</v>
      </c>
      <c r="J905">
        <v>30</v>
      </c>
    </row>
    <row r="906" spans="1:10" x14ac:dyDescent="0.25">
      <c r="A906" t="s">
        <v>10</v>
      </c>
      <c r="B906" t="s">
        <v>21</v>
      </c>
      <c r="C906" t="s">
        <v>12</v>
      </c>
      <c r="D906" t="s">
        <v>13</v>
      </c>
      <c r="E906">
        <v>0.94444444444444398</v>
      </c>
      <c r="F906">
        <v>0.95944011032499998</v>
      </c>
      <c r="G906">
        <v>1.1741080284118599</v>
      </c>
      <c r="H906">
        <v>8</v>
      </c>
      <c r="I906">
        <v>8</v>
      </c>
      <c r="J906">
        <v>30</v>
      </c>
    </row>
    <row r="907" spans="1:10" x14ac:dyDescent="0.25">
      <c r="A907" t="s">
        <v>10</v>
      </c>
      <c r="B907" t="s">
        <v>21</v>
      </c>
      <c r="C907" t="s">
        <v>12</v>
      </c>
      <c r="D907" t="s">
        <v>13</v>
      </c>
      <c r="E907">
        <v>1</v>
      </c>
      <c r="F907">
        <v>0.98667382271111104</v>
      </c>
      <c r="G907">
        <v>1.2770345211028999</v>
      </c>
      <c r="H907">
        <v>8</v>
      </c>
      <c r="I907">
        <v>8</v>
      </c>
      <c r="J907">
        <v>30</v>
      </c>
    </row>
    <row r="908" spans="1:10" x14ac:dyDescent="0.25">
      <c r="A908" t="s">
        <v>10</v>
      </c>
      <c r="B908" t="s">
        <v>21</v>
      </c>
      <c r="C908" t="s">
        <v>12</v>
      </c>
      <c r="D908" t="s">
        <v>13</v>
      </c>
      <c r="E908">
        <v>0.97222222222222199</v>
      </c>
      <c r="F908">
        <v>0.97247807817777698</v>
      </c>
      <c r="G908">
        <v>1.28386783599853</v>
      </c>
      <c r="H908">
        <v>8</v>
      </c>
      <c r="I908">
        <v>8</v>
      </c>
      <c r="J908">
        <v>30</v>
      </c>
    </row>
    <row r="909" spans="1:10" x14ac:dyDescent="0.25">
      <c r="A909" t="s">
        <v>10</v>
      </c>
      <c r="B909" t="s">
        <v>21</v>
      </c>
      <c r="C909" t="s">
        <v>12</v>
      </c>
      <c r="D909" t="s">
        <v>13</v>
      </c>
      <c r="E909">
        <v>0.91666666666666596</v>
      </c>
      <c r="F909">
        <v>0.95022209985833295</v>
      </c>
      <c r="G909">
        <v>1.27186632156372</v>
      </c>
      <c r="H909">
        <v>7</v>
      </c>
      <c r="I909">
        <v>7</v>
      </c>
      <c r="J909">
        <v>30</v>
      </c>
    </row>
    <row r="910" spans="1:10" x14ac:dyDescent="0.25">
      <c r="A910" t="s">
        <v>10</v>
      </c>
      <c r="B910" t="s">
        <v>21</v>
      </c>
      <c r="C910" t="s">
        <v>12</v>
      </c>
      <c r="D910" t="s">
        <v>13</v>
      </c>
      <c r="E910">
        <v>1</v>
      </c>
      <c r="F910">
        <v>0.99148313602222204</v>
      </c>
      <c r="G910">
        <v>1.40089678764343</v>
      </c>
      <c r="H910">
        <v>9</v>
      </c>
      <c r="I910">
        <v>9</v>
      </c>
      <c r="J910">
        <v>30</v>
      </c>
    </row>
    <row r="911" spans="1:10" x14ac:dyDescent="0.25">
      <c r="A911" t="s">
        <v>10</v>
      </c>
      <c r="B911" t="s">
        <v>21</v>
      </c>
      <c r="C911" t="s">
        <v>12</v>
      </c>
      <c r="D911" t="s">
        <v>13</v>
      </c>
      <c r="E911">
        <v>0.88888888888888795</v>
      </c>
      <c r="F911">
        <v>0.92012905043611104</v>
      </c>
      <c r="G911">
        <v>1.42485356330871</v>
      </c>
      <c r="H911">
        <v>8</v>
      </c>
      <c r="I911">
        <v>8</v>
      </c>
      <c r="J911">
        <v>30</v>
      </c>
    </row>
    <row r="912" spans="1:10" x14ac:dyDescent="0.25">
      <c r="A912" t="s">
        <v>10</v>
      </c>
      <c r="B912" t="s">
        <v>21</v>
      </c>
      <c r="C912" t="s">
        <v>12</v>
      </c>
      <c r="D912" t="s">
        <v>13</v>
      </c>
      <c r="E912">
        <v>0.97222222222222199</v>
      </c>
      <c r="F912">
        <v>0.97088963986666599</v>
      </c>
      <c r="G912">
        <v>1.48809337615966</v>
      </c>
      <c r="H912">
        <v>8</v>
      </c>
      <c r="I912">
        <v>8</v>
      </c>
      <c r="J912">
        <v>30</v>
      </c>
    </row>
    <row r="913" spans="1:10" x14ac:dyDescent="0.25">
      <c r="A913" t="s">
        <v>10</v>
      </c>
      <c r="B913" t="s">
        <v>21</v>
      </c>
      <c r="C913" t="s">
        <v>12</v>
      </c>
      <c r="D913" t="s">
        <v>13</v>
      </c>
      <c r="E913">
        <v>0.88888888888888795</v>
      </c>
      <c r="F913">
        <v>0.89659594603888804</v>
      </c>
      <c r="G913">
        <v>1.5453257560729901</v>
      </c>
      <c r="H913">
        <v>7</v>
      </c>
      <c r="I913">
        <v>7</v>
      </c>
      <c r="J913">
        <v>30</v>
      </c>
    </row>
    <row r="914" spans="1:10" x14ac:dyDescent="0.25">
      <c r="A914" t="s">
        <v>10</v>
      </c>
      <c r="B914" t="s">
        <v>21</v>
      </c>
      <c r="C914" t="s">
        <v>12</v>
      </c>
      <c r="D914" t="s">
        <v>13</v>
      </c>
      <c r="E914">
        <v>0.91666666666666596</v>
      </c>
      <c r="F914">
        <v>0.91594978497500001</v>
      </c>
      <c r="G914">
        <v>1.5556545257568299</v>
      </c>
      <c r="H914">
        <v>7</v>
      </c>
      <c r="I914">
        <v>7</v>
      </c>
      <c r="J914">
        <v>30</v>
      </c>
    </row>
    <row r="915" spans="1:10" x14ac:dyDescent="0.25">
      <c r="A915" t="s">
        <v>10</v>
      </c>
      <c r="B915" t="s">
        <v>21</v>
      </c>
      <c r="C915" t="s">
        <v>12</v>
      </c>
      <c r="D915" t="s">
        <v>13</v>
      </c>
      <c r="E915">
        <v>0.88888888888888795</v>
      </c>
      <c r="F915">
        <v>0.91206701411944402</v>
      </c>
      <c r="G915">
        <v>1.5596961975097601</v>
      </c>
      <c r="H915">
        <v>7</v>
      </c>
      <c r="I915">
        <v>8</v>
      </c>
      <c r="J915">
        <v>30</v>
      </c>
    </row>
    <row r="916" spans="1:10" x14ac:dyDescent="0.25">
      <c r="A916" t="s">
        <v>10</v>
      </c>
      <c r="B916" t="s">
        <v>21</v>
      </c>
      <c r="C916" t="s">
        <v>12</v>
      </c>
      <c r="D916" t="s">
        <v>13</v>
      </c>
      <c r="E916">
        <v>0.91666666666666596</v>
      </c>
      <c r="F916">
        <v>0.94727657669166598</v>
      </c>
      <c r="G916">
        <v>1.5866677761077801</v>
      </c>
      <c r="H916">
        <v>6</v>
      </c>
      <c r="I916">
        <v>6</v>
      </c>
      <c r="J916">
        <v>30</v>
      </c>
    </row>
    <row r="917" spans="1:10" x14ac:dyDescent="0.25">
      <c r="A917" t="s">
        <v>10</v>
      </c>
      <c r="B917" t="s">
        <v>21</v>
      </c>
      <c r="C917" t="s">
        <v>12</v>
      </c>
      <c r="D917" t="s">
        <v>13</v>
      </c>
      <c r="E917">
        <v>0.91666666666666596</v>
      </c>
      <c r="F917">
        <v>0.93066197761111102</v>
      </c>
      <c r="G917">
        <v>1.57817435264587</v>
      </c>
      <c r="H917">
        <v>9</v>
      </c>
      <c r="I917">
        <v>8</v>
      </c>
      <c r="J917">
        <v>30</v>
      </c>
    </row>
    <row r="918" spans="1:10" x14ac:dyDescent="0.25">
      <c r="A918" t="s">
        <v>10</v>
      </c>
      <c r="B918" t="s">
        <v>21</v>
      </c>
      <c r="C918" t="s">
        <v>12</v>
      </c>
      <c r="D918" t="s">
        <v>13</v>
      </c>
      <c r="E918">
        <v>0.88888888888888795</v>
      </c>
      <c r="F918">
        <v>0.91488091391944404</v>
      </c>
      <c r="G918">
        <v>1.57417392730712</v>
      </c>
      <c r="H918">
        <v>7</v>
      </c>
      <c r="I918">
        <v>7</v>
      </c>
      <c r="J918">
        <v>30</v>
      </c>
    </row>
    <row r="919" spans="1:10" x14ac:dyDescent="0.25">
      <c r="A919" t="s">
        <v>10</v>
      </c>
      <c r="B919" t="s">
        <v>21</v>
      </c>
      <c r="C919" t="s">
        <v>12</v>
      </c>
      <c r="D919" t="s">
        <v>13</v>
      </c>
      <c r="E919">
        <v>0.94444444444444398</v>
      </c>
      <c r="F919">
        <v>0.93524999644444395</v>
      </c>
      <c r="G919">
        <v>1.5832760334014799</v>
      </c>
      <c r="H919">
        <v>8</v>
      </c>
      <c r="I919">
        <v>8</v>
      </c>
      <c r="J919">
        <v>30</v>
      </c>
    </row>
    <row r="920" spans="1:10" x14ac:dyDescent="0.25">
      <c r="A920" t="s">
        <v>10</v>
      </c>
      <c r="B920" t="s">
        <v>21</v>
      </c>
      <c r="C920" t="s">
        <v>12</v>
      </c>
      <c r="D920" t="s">
        <v>13</v>
      </c>
      <c r="E920">
        <v>0.86111111111111105</v>
      </c>
      <c r="F920">
        <v>0.906519122591666</v>
      </c>
      <c r="G920">
        <v>1.5884442329406701</v>
      </c>
      <c r="H920">
        <v>7</v>
      </c>
      <c r="I920">
        <v>7</v>
      </c>
      <c r="J920">
        <v>30</v>
      </c>
    </row>
    <row r="921" spans="1:10" x14ac:dyDescent="0.25">
      <c r="A921" t="s">
        <v>10</v>
      </c>
      <c r="B921" t="s">
        <v>21</v>
      </c>
      <c r="C921" t="s">
        <v>12</v>
      </c>
      <c r="D921" t="s">
        <v>13</v>
      </c>
      <c r="E921">
        <v>0.94444444444444398</v>
      </c>
      <c r="F921">
        <v>0.95471221403611095</v>
      </c>
      <c r="G921">
        <v>1.60233306884765</v>
      </c>
      <c r="H921">
        <v>7</v>
      </c>
      <c r="I921">
        <v>7</v>
      </c>
      <c r="J921">
        <v>30</v>
      </c>
    </row>
    <row r="922" spans="1:10" x14ac:dyDescent="0.25">
      <c r="A922" t="s">
        <v>10</v>
      </c>
      <c r="B922" t="s">
        <v>21</v>
      </c>
      <c r="C922" t="s">
        <v>12</v>
      </c>
      <c r="D922" t="s">
        <v>13</v>
      </c>
      <c r="E922">
        <v>0.88888888888888795</v>
      </c>
      <c r="F922">
        <v>0.90655153794166599</v>
      </c>
      <c r="G922">
        <v>1.60233306884765</v>
      </c>
      <c r="H922">
        <v>6</v>
      </c>
      <c r="I922">
        <v>6</v>
      </c>
      <c r="J922">
        <v>30</v>
      </c>
    </row>
    <row r="923" spans="1:10" x14ac:dyDescent="0.25">
      <c r="A923" t="s">
        <v>10</v>
      </c>
      <c r="B923" t="s">
        <v>21</v>
      </c>
      <c r="C923" t="s">
        <v>12</v>
      </c>
      <c r="D923" t="s">
        <v>13</v>
      </c>
      <c r="E923">
        <v>0.97222222222222199</v>
      </c>
      <c r="F923">
        <v>0.96602965956666598</v>
      </c>
      <c r="G923">
        <v>1.6281552314758301</v>
      </c>
      <c r="H923">
        <v>9</v>
      </c>
      <c r="I923">
        <v>9</v>
      </c>
      <c r="J923">
        <v>30</v>
      </c>
    </row>
    <row r="924" spans="1:10" x14ac:dyDescent="0.25">
      <c r="A924" t="s">
        <v>10</v>
      </c>
      <c r="B924" t="s">
        <v>21</v>
      </c>
      <c r="C924" t="s">
        <v>12</v>
      </c>
      <c r="D924" t="s">
        <v>13</v>
      </c>
      <c r="E924">
        <v>0.91666666666666596</v>
      </c>
      <c r="F924">
        <v>0.92861814635833295</v>
      </c>
      <c r="G924">
        <v>1.6258366107940601</v>
      </c>
      <c r="H924">
        <v>7</v>
      </c>
      <c r="I924">
        <v>7</v>
      </c>
      <c r="J924">
        <v>30</v>
      </c>
    </row>
    <row r="925" spans="1:10" x14ac:dyDescent="0.25">
      <c r="A925" t="s">
        <v>10</v>
      </c>
      <c r="B925" t="s">
        <v>21</v>
      </c>
      <c r="C925" t="s">
        <v>12</v>
      </c>
      <c r="D925" t="s">
        <v>13</v>
      </c>
      <c r="E925">
        <v>0.94444444444444398</v>
      </c>
      <c r="F925">
        <v>0.94665201608055505</v>
      </c>
      <c r="G925">
        <v>1.6293408870696999</v>
      </c>
      <c r="H925">
        <v>7</v>
      </c>
      <c r="I925">
        <v>7</v>
      </c>
      <c r="J925">
        <v>30</v>
      </c>
    </row>
    <row r="926" spans="1:10" x14ac:dyDescent="0.25">
      <c r="A926" t="s">
        <v>10</v>
      </c>
      <c r="B926" t="s">
        <v>21</v>
      </c>
      <c r="C926" t="s">
        <v>12</v>
      </c>
      <c r="D926" t="s">
        <v>13</v>
      </c>
      <c r="E926">
        <v>0.97222222222222199</v>
      </c>
      <c r="F926">
        <v>0.96921076827222197</v>
      </c>
      <c r="G926">
        <v>1.64466953277587</v>
      </c>
      <c r="H926">
        <v>7</v>
      </c>
      <c r="I926">
        <v>7</v>
      </c>
      <c r="J926">
        <v>30</v>
      </c>
    </row>
    <row r="927" spans="1:10" x14ac:dyDescent="0.25">
      <c r="A927" t="s">
        <v>10</v>
      </c>
      <c r="B927" t="s">
        <v>21</v>
      </c>
      <c r="C927" t="s">
        <v>12</v>
      </c>
      <c r="D927" t="s">
        <v>13</v>
      </c>
      <c r="E927">
        <v>1</v>
      </c>
      <c r="F927">
        <v>0.980320908747222</v>
      </c>
      <c r="G927">
        <v>1.6075012683868399</v>
      </c>
      <c r="H927">
        <v>8</v>
      </c>
      <c r="I927">
        <v>8</v>
      </c>
      <c r="J927">
        <v>30</v>
      </c>
    </row>
    <row r="928" spans="1:10" x14ac:dyDescent="0.25">
      <c r="A928" t="s">
        <v>10</v>
      </c>
      <c r="B928" t="s">
        <v>21</v>
      </c>
      <c r="C928" t="s">
        <v>12</v>
      </c>
      <c r="D928" t="s">
        <v>13</v>
      </c>
      <c r="E928">
        <v>0.91666666666666596</v>
      </c>
      <c r="F928">
        <v>0.92629173637499995</v>
      </c>
      <c r="G928">
        <v>1.65492415428161</v>
      </c>
      <c r="H928">
        <v>8</v>
      </c>
      <c r="I928">
        <v>8</v>
      </c>
      <c r="J928">
        <v>30</v>
      </c>
    </row>
    <row r="929" spans="1:10" x14ac:dyDescent="0.25">
      <c r="A929" t="s">
        <v>10</v>
      </c>
      <c r="B929" t="s">
        <v>21</v>
      </c>
      <c r="C929" t="s">
        <v>12</v>
      </c>
      <c r="D929" t="s">
        <v>13</v>
      </c>
      <c r="E929">
        <v>0.94444444444444398</v>
      </c>
      <c r="F929">
        <v>0.95268293696111095</v>
      </c>
      <c r="G929">
        <v>1.65121150016784</v>
      </c>
      <c r="H929">
        <v>8</v>
      </c>
      <c r="I929">
        <v>9</v>
      </c>
      <c r="J929">
        <v>30</v>
      </c>
    </row>
    <row r="930" spans="1:10" x14ac:dyDescent="0.25">
      <c r="A930" t="s">
        <v>10</v>
      </c>
      <c r="B930" t="s">
        <v>21</v>
      </c>
      <c r="C930" t="s">
        <v>12</v>
      </c>
      <c r="D930" t="s">
        <v>13</v>
      </c>
      <c r="E930">
        <v>0.94444444444444398</v>
      </c>
      <c r="F930">
        <v>0.94647066338888797</v>
      </c>
      <c r="G930">
        <v>1.6178300380706701</v>
      </c>
      <c r="H930">
        <v>7</v>
      </c>
      <c r="I930">
        <v>7</v>
      </c>
      <c r="J930">
        <v>30</v>
      </c>
    </row>
    <row r="931" spans="1:10" x14ac:dyDescent="0.25">
      <c r="A931" t="s">
        <v>10</v>
      </c>
      <c r="B931" t="s">
        <v>21</v>
      </c>
      <c r="C931" t="s">
        <v>12</v>
      </c>
      <c r="D931" t="s">
        <v>13</v>
      </c>
      <c r="E931">
        <v>0.97222222222222199</v>
      </c>
      <c r="F931">
        <v>0.96163701509166599</v>
      </c>
      <c r="G931">
        <v>1.5970709323882999</v>
      </c>
      <c r="H931">
        <v>7</v>
      </c>
      <c r="I931">
        <v>7</v>
      </c>
      <c r="J931">
        <v>30</v>
      </c>
    </row>
    <row r="932" spans="1:10" x14ac:dyDescent="0.25">
      <c r="A932" t="s">
        <v>10</v>
      </c>
      <c r="B932" t="s">
        <v>21</v>
      </c>
      <c r="C932" t="s">
        <v>12</v>
      </c>
      <c r="D932" t="s">
        <v>14</v>
      </c>
      <c r="E932">
        <v>0.91666666666666596</v>
      </c>
      <c r="F932">
        <v>0.92327033705833295</v>
      </c>
      <c r="G932">
        <v>0.30766868591308499</v>
      </c>
      <c r="H932">
        <v>8</v>
      </c>
      <c r="I932">
        <v>8</v>
      </c>
      <c r="J932">
        <v>30</v>
      </c>
    </row>
    <row r="933" spans="1:10" x14ac:dyDescent="0.25">
      <c r="A933" t="s">
        <v>10</v>
      </c>
      <c r="B933" t="s">
        <v>21</v>
      </c>
      <c r="C933" t="s">
        <v>12</v>
      </c>
      <c r="D933" t="s">
        <v>14</v>
      </c>
      <c r="E933">
        <v>0.94444444444444398</v>
      </c>
      <c r="F933">
        <v>0.94542906252777703</v>
      </c>
      <c r="G933">
        <v>0.440765380859375</v>
      </c>
      <c r="H933">
        <v>8</v>
      </c>
      <c r="I933">
        <v>8</v>
      </c>
      <c r="J933">
        <v>30</v>
      </c>
    </row>
    <row r="934" spans="1:10" x14ac:dyDescent="0.25">
      <c r="A934" t="s">
        <v>10</v>
      </c>
      <c r="B934" t="s">
        <v>21</v>
      </c>
      <c r="C934" t="s">
        <v>12</v>
      </c>
      <c r="D934" t="s">
        <v>14</v>
      </c>
      <c r="E934">
        <v>0.97222222222222199</v>
      </c>
      <c r="F934">
        <v>0.95743559062777694</v>
      </c>
      <c r="G934">
        <v>0.52972054481506303</v>
      </c>
      <c r="H934">
        <v>7</v>
      </c>
      <c r="I934">
        <v>7</v>
      </c>
      <c r="J934">
        <v>30</v>
      </c>
    </row>
    <row r="935" spans="1:10" x14ac:dyDescent="0.25">
      <c r="A935" t="s">
        <v>10</v>
      </c>
      <c r="B935" t="s">
        <v>21</v>
      </c>
      <c r="C935" t="s">
        <v>12</v>
      </c>
      <c r="D935" t="s">
        <v>14</v>
      </c>
      <c r="E935">
        <v>0.94444444444444398</v>
      </c>
      <c r="F935">
        <v>0.94188861479444397</v>
      </c>
      <c r="G935">
        <v>0.63402795791625899</v>
      </c>
      <c r="H935">
        <v>7</v>
      </c>
      <c r="I935">
        <v>7</v>
      </c>
      <c r="J935">
        <v>30</v>
      </c>
    </row>
    <row r="936" spans="1:10" x14ac:dyDescent="0.25">
      <c r="A936" t="s">
        <v>10</v>
      </c>
      <c r="B936" t="s">
        <v>21</v>
      </c>
      <c r="C936" t="s">
        <v>12</v>
      </c>
      <c r="D936" t="s">
        <v>14</v>
      </c>
      <c r="E936">
        <v>0.94444444444444398</v>
      </c>
      <c r="F936">
        <v>0.95063463582777696</v>
      </c>
      <c r="G936">
        <v>0.63858270645141602</v>
      </c>
      <c r="H936">
        <v>7</v>
      </c>
      <c r="I936">
        <v>7</v>
      </c>
      <c r="J936">
        <v>30</v>
      </c>
    </row>
    <row r="937" spans="1:10" x14ac:dyDescent="0.25">
      <c r="A937" t="s">
        <v>10</v>
      </c>
      <c r="B937" t="s">
        <v>21</v>
      </c>
      <c r="C937" t="s">
        <v>12</v>
      </c>
      <c r="D937" t="s">
        <v>14</v>
      </c>
      <c r="E937">
        <v>0.97222222222222199</v>
      </c>
      <c r="F937">
        <v>0.95774245655277701</v>
      </c>
      <c r="G937">
        <v>0.67971205711364702</v>
      </c>
      <c r="H937">
        <v>8</v>
      </c>
      <c r="I937">
        <v>8</v>
      </c>
      <c r="J937">
        <v>30</v>
      </c>
    </row>
    <row r="938" spans="1:10" x14ac:dyDescent="0.25">
      <c r="A938" t="s">
        <v>10</v>
      </c>
      <c r="B938" t="s">
        <v>21</v>
      </c>
      <c r="C938" t="s">
        <v>12</v>
      </c>
      <c r="D938" t="s">
        <v>14</v>
      </c>
      <c r="E938">
        <v>0.97222222222222199</v>
      </c>
      <c r="F938">
        <v>0.95776531601944404</v>
      </c>
      <c r="G938">
        <v>0.72100329399108798</v>
      </c>
      <c r="H938">
        <v>7</v>
      </c>
      <c r="I938">
        <v>7</v>
      </c>
      <c r="J938">
        <v>30</v>
      </c>
    </row>
    <row r="939" spans="1:10" x14ac:dyDescent="0.25">
      <c r="A939" t="s">
        <v>10</v>
      </c>
      <c r="B939" t="s">
        <v>21</v>
      </c>
      <c r="C939" t="s">
        <v>12</v>
      </c>
      <c r="D939" t="s">
        <v>14</v>
      </c>
      <c r="E939">
        <v>0.88888888888888795</v>
      </c>
      <c r="F939">
        <v>0.91147677984999997</v>
      </c>
      <c r="G939">
        <v>0.71870899200439398</v>
      </c>
      <c r="H939">
        <v>7</v>
      </c>
      <c r="I939">
        <v>7</v>
      </c>
      <c r="J939">
        <v>30</v>
      </c>
    </row>
    <row r="940" spans="1:10" x14ac:dyDescent="0.25">
      <c r="A940" t="s">
        <v>10</v>
      </c>
      <c r="B940" t="s">
        <v>21</v>
      </c>
      <c r="C940" t="s">
        <v>12</v>
      </c>
      <c r="D940" t="s">
        <v>14</v>
      </c>
      <c r="E940">
        <v>0.91666666666666596</v>
      </c>
      <c r="F940">
        <v>0.92781866020000003</v>
      </c>
      <c r="G940">
        <v>0.74917769432067804</v>
      </c>
      <c r="H940">
        <v>6</v>
      </c>
      <c r="I940">
        <v>6</v>
      </c>
      <c r="J940">
        <v>30</v>
      </c>
    </row>
    <row r="941" spans="1:10" x14ac:dyDescent="0.25">
      <c r="A941" t="s">
        <v>10</v>
      </c>
      <c r="B941" t="s">
        <v>21</v>
      </c>
      <c r="C941" t="s">
        <v>12</v>
      </c>
      <c r="D941" t="s">
        <v>14</v>
      </c>
      <c r="E941">
        <v>0.94444444444444398</v>
      </c>
      <c r="F941">
        <v>0.96084867549999997</v>
      </c>
      <c r="G941">
        <v>0.77198791503906194</v>
      </c>
      <c r="H941">
        <v>7</v>
      </c>
      <c r="I941">
        <v>7</v>
      </c>
      <c r="J941">
        <v>30</v>
      </c>
    </row>
    <row r="942" spans="1:10" x14ac:dyDescent="0.25">
      <c r="A942" t="s">
        <v>10</v>
      </c>
      <c r="B942" t="s">
        <v>21</v>
      </c>
      <c r="C942" t="s">
        <v>12</v>
      </c>
      <c r="D942" t="s">
        <v>14</v>
      </c>
      <c r="E942">
        <v>0.97222222222222199</v>
      </c>
      <c r="F942">
        <v>0.96774029782500004</v>
      </c>
      <c r="G942">
        <v>0.77298021316528298</v>
      </c>
      <c r="H942">
        <v>8</v>
      </c>
      <c r="I942">
        <v>8</v>
      </c>
      <c r="J942">
        <v>30</v>
      </c>
    </row>
    <row r="943" spans="1:10" x14ac:dyDescent="0.25">
      <c r="A943" t="s">
        <v>10</v>
      </c>
      <c r="B943" t="s">
        <v>21</v>
      </c>
      <c r="C943" t="s">
        <v>12</v>
      </c>
      <c r="D943" t="s">
        <v>14</v>
      </c>
      <c r="E943">
        <v>0.94444444444444398</v>
      </c>
      <c r="F943">
        <v>0.94647461758055496</v>
      </c>
      <c r="G943">
        <v>0.82305359840393</v>
      </c>
      <c r="H943">
        <v>8</v>
      </c>
      <c r="I943">
        <v>8</v>
      </c>
      <c r="J943">
        <v>30</v>
      </c>
    </row>
    <row r="944" spans="1:10" x14ac:dyDescent="0.25">
      <c r="A944" t="s">
        <v>10</v>
      </c>
      <c r="B944" t="s">
        <v>21</v>
      </c>
      <c r="C944" t="s">
        <v>12</v>
      </c>
      <c r="D944" t="s">
        <v>14</v>
      </c>
      <c r="E944">
        <v>0.97222222222222199</v>
      </c>
      <c r="F944">
        <v>0.95762401275277698</v>
      </c>
      <c r="G944">
        <v>0.83329510688781705</v>
      </c>
      <c r="H944">
        <v>8</v>
      </c>
      <c r="I944">
        <v>8</v>
      </c>
      <c r="J944">
        <v>30</v>
      </c>
    </row>
    <row r="945" spans="1:10" x14ac:dyDescent="0.25">
      <c r="A945" t="s">
        <v>10</v>
      </c>
      <c r="B945" t="s">
        <v>21</v>
      </c>
      <c r="C945" t="s">
        <v>12</v>
      </c>
      <c r="D945" t="s">
        <v>14</v>
      </c>
      <c r="E945">
        <v>0.97222222222222199</v>
      </c>
      <c r="F945">
        <v>0.96741491866388796</v>
      </c>
      <c r="G945">
        <v>0.84962654113769498</v>
      </c>
      <c r="H945">
        <v>8</v>
      </c>
      <c r="I945">
        <v>8</v>
      </c>
      <c r="J945">
        <v>30</v>
      </c>
    </row>
    <row r="946" spans="1:10" x14ac:dyDescent="0.25">
      <c r="A946" t="s">
        <v>10</v>
      </c>
      <c r="B946" t="s">
        <v>21</v>
      </c>
      <c r="C946" t="s">
        <v>12</v>
      </c>
      <c r="D946" t="s">
        <v>14</v>
      </c>
      <c r="E946">
        <v>0.97222222222222199</v>
      </c>
      <c r="F946">
        <v>0.95567526798333302</v>
      </c>
      <c r="G946">
        <v>0.88421750068664495</v>
      </c>
      <c r="H946">
        <v>7</v>
      </c>
      <c r="I946">
        <v>7</v>
      </c>
      <c r="J946">
        <v>30</v>
      </c>
    </row>
    <row r="947" spans="1:10" x14ac:dyDescent="0.25">
      <c r="A947" t="s">
        <v>10</v>
      </c>
      <c r="B947" t="s">
        <v>21</v>
      </c>
      <c r="C947" t="s">
        <v>12</v>
      </c>
      <c r="D947" t="s">
        <v>14</v>
      </c>
      <c r="E947">
        <v>0.91666666666666596</v>
      </c>
      <c r="F947">
        <v>0.91543814375555499</v>
      </c>
      <c r="G947">
        <v>0.90546107292175204</v>
      </c>
      <c r="H947">
        <v>8</v>
      </c>
      <c r="I947">
        <v>8</v>
      </c>
      <c r="J947">
        <v>30</v>
      </c>
    </row>
    <row r="948" spans="1:10" x14ac:dyDescent="0.25">
      <c r="A948" t="s">
        <v>10</v>
      </c>
      <c r="B948" t="s">
        <v>21</v>
      </c>
      <c r="C948" t="s">
        <v>12</v>
      </c>
      <c r="D948" t="s">
        <v>14</v>
      </c>
      <c r="E948">
        <v>0.94444444444444398</v>
      </c>
      <c r="F948">
        <v>0.94101646116666604</v>
      </c>
      <c r="G948">
        <v>0.92303109169006303</v>
      </c>
      <c r="H948">
        <v>7</v>
      </c>
      <c r="I948">
        <v>7</v>
      </c>
      <c r="J948">
        <v>30</v>
      </c>
    </row>
    <row r="949" spans="1:10" x14ac:dyDescent="0.25">
      <c r="A949" t="s">
        <v>10</v>
      </c>
      <c r="B949" t="s">
        <v>21</v>
      </c>
      <c r="C949" t="s">
        <v>12</v>
      </c>
      <c r="D949" t="s">
        <v>14</v>
      </c>
      <c r="E949">
        <v>0.94444444444444398</v>
      </c>
      <c r="F949">
        <v>0.94924236846388799</v>
      </c>
      <c r="G949">
        <v>0.94628834724426203</v>
      </c>
      <c r="H949">
        <v>7</v>
      </c>
      <c r="I949">
        <v>7</v>
      </c>
      <c r="J949">
        <v>30</v>
      </c>
    </row>
    <row r="950" spans="1:10" x14ac:dyDescent="0.25">
      <c r="A950" t="s">
        <v>10</v>
      </c>
      <c r="B950" t="s">
        <v>21</v>
      </c>
      <c r="C950" t="s">
        <v>12</v>
      </c>
      <c r="D950" t="s">
        <v>14</v>
      </c>
      <c r="E950">
        <v>0.94444444444444398</v>
      </c>
      <c r="F950">
        <v>0.94634309391666604</v>
      </c>
      <c r="G950">
        <v>0.97687935829162598</v>
      </c>
      <c r="H950">
        <v>7</v>
      </c>
      <c r="I950">
        <v>7</v>
      </c>
      <c r="J950">
        <v>30</v>
      </c>
    </row>
    <row r="951" spans="1:10" x14ac:dyDescent="0.25">
      <c r="A951" t="s">
        <v>10</v>
      </c>
      <c r="B951" t="s">
        <v>21</v>
      </c>
      <c r="C951" t="s">
        <v>12</v>
      </c>
      <c r="D951" t="s">
        <v>14</v>
      </c>
      <c r="E951">
        <v>1</v>
      </c>
      <c r="F951">
        <v>0.991190033294444</v>
      </c>
      <c r="G951">
        <v>0.97909522056579501</v>
      </c>
      <c r="H951">
        <v>8</v>
      </c>
      <c r="I951">
        <v>8</v>
      </c>
      <c r="J951">
        <v>30</v>
      </c>
    </row>
    <row r="952" spans="1:10" x14ac:dyDescent="0.25">
      <c r="A952" t="s">
        <v>10</v>
      </c>
      <c r="B952" t="s">
        <v>21</v>
      </c>
      <c r="C952" t="s">
        <v>12</v>
      </c>
      <c r="D952" t="s">
        <v>14</v>
      </c>
      <c r="E952">
        <v>0.97222222222222199</v>
      </c>
      <c r="F952">
        <v>0.95149561043611097</v>
      </c>
      <c r="G952">
        <v>0.975719213485717</v>
      </c>
      <c r="H952">
        <v>8</v>
      </c>
      <c r="I952">
        <v>8</v>
      </c>
      <c r="J952">
        <v>30</v>
      </c>
    </row>
    <row r="953" spans="1:10" x14ac:dyDescent="0.25">
      <c r="A953" t="s">
        <v>10</v>
      </c>
      <c r="B953" t="s">
        <v>21</v>
      </c>
      <c r="C953" t="s">
        <v>12</v>
      </c>
      <c r="D953" t="s">
        <v>14</v>
      </c>
      <c r="E953">
        <v>1</v>
      </c>
      <c r="F953">
        <v>0.98939933030555505</v>
      </c>
      <c r="G953">
        <v>0.99726629257202104</v>
      </c>
      <c r="H953">
        <v>8</v>
      </c>
      <c r="I953">
        <v>8</v>
      </c>
      <c r="J953">
        <v>30</v>
      </c>
    </row>
    <row r="954" spans="1:10" x14ac:dyDescent="0.25">
      <c r="A954" t="s">
        <v>10</v>
      </c>
      <c r="B954" t="s">
        <v>21</v>
      </c>
      <c r="C954" t="s">
        <v>12</v>
      </c>
      <c r="D954" t="s">
        <v>14</v>
      </c>
      <c r="E954">
        <v>0.94444444444444398</v>
      </c>
      <c r="F954">
        <v>0.93816997601111096</v>
      </c>
      <c r="G954">
        <v>1.01760053634643</v>
      </c>
      <c r="H954">
        <v>7</v>
      </c>
      <c r="I954">
        <v>7</v>
      </c>
      <c r="J954">
        <v>30</v>
      </c>
    </row>
    <row r="955" spans="1:10" x14ac:dyDescent="0.25">
      <c r="A955" t="s">
        <v>10</v>
      </c>
      <c r="B955" t="s">
        <v>21</v>
      </c>
      <c r="C955" t="s">
        <v>12</v>
      </c>
      <c r="D955" t="s">
        <v>14</v>
      </c>
      <c r="E955">
        <v>0.94444444444444398</v>
      </c>
      <c r="F955">
        <v>0.94243502318055505</v>
      </c>
      <c r="G955">
        <v>1.0186424255371</v>
      </c>
      <c r="H955">
        <v>7</v>
      </c>
      <c r="I955">
        <v>7</v>
      </c>
      <c r="J955">
        <v>30</v>
      </c>
    </row>
    <row r="956" spans="1:10" x14ac:dyDescent="0.25">
      <c r="A956" t="s">
        <v>10</v>
      </c>
      <c r="B956" t="s">
        <v>21</v>
      </c>
      <c r="C956" t="s">
        <v>12</v>
      </c>
      <c r="D956" t="s">
        <v>14</v>
      </c>
      <c r="E956">
        <v>0.94444444444444398</v>
      </c>
      <c r="F956">
        <v>0.9537750358</v>
      </c>
      <c r="G956">
        <v>1.01660776138305</v>
      </c>
      <c r="H956">
        <v>7</v>
      </c>
      <c r="I956">
        <v>7</v>
      </c>
      <c r="J956">
        <v>30</v>
      </c>
    </row>
    <row r="957" spans="1:10" x14ac:dyDescent="0.25">
      <c r="A957" t="s">
        <v>10</v>
      </c>
      <c r="B957" t="s">
        <v>21</v>
      </c>
      <c r="C957" t="s">
        <v>12</v>
      </c>
      <c r="D957" t="s">
        <v>14</v>
      </c>
      <c r="E957">
        <v>0.94444444444444398</v>
      </c>
      <c r="F957">
        <v>0.94946796104444398</v>
      </c>
      <c r="G957">
        <v>1.04831290245056</v>
      </c>
      <c r="H957">
        <v>7</v>
      </c>
      <c r="I957">
        <v>7</v>
      </c>
      <c r="J957">
        <v>30</v>
      </c>
    </row>
    <row r="958" spans="1:10" x14ac:dyDescent="0.25">
      <c r="A958" t="s">
        <v>10</v>
      </c>
      <c r="B958" t="s">
        <v>21</v>
      </c>
      <c r="C958" t="s">
        <v>12</v>
      </c>
      <c r="D958" t="s">
        <v>14</v>
      </c>
      <c r="E958">
        <v>0.97222222222222199</v>
      </c>
      <c r="F958">
        <v>0.96762807350000002</v>
      </c>
      <c r="G958">
        <v>1.0343334674835201</v>
      </c>
      <c r="H958">
        <v>8</v>
      </c>
      <c r="I958">
        <v>8</v>
      </c>
      <c r="J958">
        <v>30</v>
      </c>
    </row>
    <row r="959" spans="1:10" x14ac:dyDescent="0.25">
      <c r="A959" t="s">
        <v>10</v>
      </c>
      <c r="B959" t="s">
        <v>21</v>
      </c>
      <c r="C959" t="s">
        <v>12</v>
      </c>
      <c r="D959" t="s">
        <v>14</v>
      </c>
      <c r="E959">
        <v>0.94444444444444398</v>
      </c>
      <c r="F959">
        <v>0.94290110988888798</v>
      </c>
      <c r="G959">
        <v>1.06438064575195</v>
      </c>
      <c r="H959">
        <v>8</v>
      </c>
      <c r="I959">
        <v>8</v>
      </c>
      <c r="J959">
        <v>30</v>
      </c>
    </row>
    <row r="960" spans="1:10" x14ac:dyDescent="0.25">
      <c r="A960" t="s">
        <v>10</v>
      </c>
      <c r="B960" t="s">
        <v>21</v>
      </c>
      <c r="C960" t="s">
        <v>12</v>
      </c>
      <c r="D960" t="s">
        <v>14</v>
      </c>
      <c r="E960">
        <v>0.97222222222222199</v>
      </c>
      <c r="F960">
        <v>0.95728700099999997</v>
      </c>
      <c r="G960">
        <v>1.0776181221008301</v>
      </c>
      <c r="H960">
        <v>7</v>
      </c>
      <c r="I960">
        <v>7</v>
      </c>
      <c r="J960">
        <v>30</v>
      </c>
    </row>
    <row r="961" spans="1:10" x14ac:dyDescent="0.25">
      <c r="A961" t="s">
        <v>10</v>
      </c>
      <c r="B961" t="s">
        <v>21</v>
      </c>
      <c r="C961" t="s">
        <v>12</v>
      </c>
      <c r="D961" t="s">
        <v>14</v>
      </c>
      <c r="E961">
        <v>0.97222222222222199</v>
      </c>
      <c r="F961">
        <v>0.97785083168888798</v>
      </c>
      <c r="G961">
        <v>1.08034992218017</v>
      </c>
      <c r="H961">
        <v>8</v>
      </c>
      <c r="I961">
        <v>8</v>
      </c>
      <c r="J961">
        <v>30</v>
      </c>
    </row>
    <row r="962" spans="1:10" x14ac:dyDescent="0.25">
      <c r="A962" t="s">
        <v>10</v>
      </c>
      <c r="B962" t="s">
        <v>21</v>
      </c>
      <c r="C962" t="s">
        <v>12</v>
      </c>
      <c r="D962" t="s">
        <v>15</v>
      </c>
      <c r="E962">
        <v>0</v>
      </c>
      <c r="F962">
        <v>0.75</v>
      </c>
      <c r="G962">
        <v>1.9366526603698699</v>
      </c>
      <c r="H962">
        <v>0</v>
      </c>
      <c r="I962">
        <v>0</v>
      </c>
      <c r="J962">
        <v>30</v>
      </c>
    </row>
    <row r="963" spans="1:10" x14ac:dyDescent="0.25">
      <c r="A963" t="s">
        <v>10</v>
      </c>
      <c r="B963" t="s">
        <v>21</v>
      </c>
      <c r="C963" t="s">
        <v>12</v>
      </c>
      <c r="D963" t="s">
        <v>15</v>
      </c>
      <c r="E963">
        <v>0</v>
      </c>
      <c r="F963">
        <v>0.75</v>
      </c>
      <c r="G963">
        <v>2.30277299880981</v>
      </c>
      <c r="H963">
        <v>1</v>
      </c>
      <c r="I963">
        <v>4</v>
      </c>
      <c r="J963">
        <v>30</v>
      </c>
    </row>
    <row r="964" spans="1:10" x14ac:dyDescent="0.25">
      <c r="A964" t="s">
        <v>10</v>
      </c>
      <c r="B964" t="s">
        <v>21</v>
      </c>
      <c r="C964" t="s">
        <v>12</v>
      </c>
      <c r="D964" t="s">
        <v>15</v>
      </c>
      <c r="E964">
        <v>0</v>
      </c>
      <c r="F964">
        <v>0.75</v>
      </c>
      <c r="G964">
        <v>2.7721030712127601</v>
      </c>
      <c r="H964">
        <v>1</v>
      </c>
      <c r="I964">
        <v>3</v>
      </c>
      <c r="J964">
        <v>30</v>
      </c>
    </row>
    <row r="965" spans="1:10" x14ac:dyDescent="0.25">
      <c r="A965" t="s">
        <v>10</v>
      </c>
      <c r="B965" t="s">
        <v>21</v>
      </c>
      <c r="C965" t="s">
        <v>12</v>
      </c>
      <c r="D965" t="s">
        <v>15</v>
      </c>
      <c r="E965">
        <v>0</v>
      </c>
      <c r="F965">
        <v>0.75</v>
      </c>
      <c r="G965">
        <v>3.82921886444091</v>
      </c>
      <c r="H965">
        <v>2</v>
      </c>
      <c r="I965">
        <v>7</v>
      </c>
      <c r="J965">
        <v>30</v>
      </c>
    </row>
    <row r="966" spans="1:10" x14ac:dyDescent="0.25">
      <c r="A966" t="s">
        <v>10</v>
      </c>
      <c r="B966" t="s">
        <v>21</v>
      </c>
      <c r="C966" t="s">
        <v>12</v>
      </c>
      <c r="D966" t="s">
        <v>15</v>
      </c>
      <c r="E966">
        <v>0</v>
      </c>
      <c r="F966">
        <v>0.75</v>
      </c>
      <c r="G966">
        <v>5.0401432514190603</v>
      </c>
      <c r="H966">
        <v>2</v>
      </c>
      <c r="I966">
        <v>9</v>
      </c>
      <c r="J966">
        <v>30</v>
      </c>
    </row>
    <row r="967" spans="1:10" x14ac:dyDescent="0.25">
      <c r="A967" t="s">
        <v>10</v>
      </c>
      <c r="B967" t="s">
        <v>21</v>
      </c>
      <c r="C967" t="s">
        <v>12</v>
      </c>
      <c r="D967" t="s">
        <v>15</v>
      </c>
      <c r="E967">
        <v>0</v>
      </c>
      <c r="F967">
        <v>0.75</v>
      </c>
      <c r="G967">
        <v>5.47810506820678</v>
      </c>
      <c r="H967">
        <v>1</v>
      </c>
      <c r="I967">
        <v>3</v>
      </c>
      <c r="J967">
        <v>30</v>
      </c>
    </row>
    <row r="968" spans="1:10" x14ac:dyDescent="0.25">
      <c r="A968" t="s">
        <v>10</v>
      </c>
      <c r="B968" t="s">
        <v>21</v>
      </c>
      <c r="C968" t="s">
        <v>12</v>
      </c>
      <c r="D968" t="s">
        <v>15</v>
      </c>
      <c r="E968">
        <v>0</v>
      </c>
      <c r="F968">
        <v>0.75</v>
      </c>
      <c r="G968">
        <v>5.86016368865966</v>
      </c>
      <c r="H968">
        <v>4</v>
      </c>
      <c r="I968">
        <v>14</v>
      </c>
      <c r="J968">
        <v>30</v>
      </c>
    </row>
    <row r="969" spans="1:10" x14ac:dyDescent="0.25">
      <c r="A969" t="s">
        <v>10</v>
      </c>
      <c r="B969" t="s">
        <v>21</v>
      </c>
      <c r="C969" t="s">
        <v>12</v>
      </c>
      <c r="D969" t="s">
        <v>15</v>
      </c>
      <c r="E969">
        <v>0</v>
      </c>
      <c r="F969">
        <v>0.75</v>
      </c>
      <c r="G969">
        <v>6.0974960327148402</v>
      </c>
      <c r="H969">
        <v>4</v>
      </c>
      <c r="I969">
        <v>11</v>
      </c>
      <c r="J969">
        <v>30</v>
      </c>
    </row>
    <row r="970" spans="1:10" x14ac:dyDescent="0.25">
      <c r="A970" t="s">
        <v>10</v>
      </c>
      <c r="B970" t="s">
        <v>21</v>
      </c>
      <c r="C970" t="s">
        <v>12</v>
      </c>
      <c r="D970" t="s">
        <v>15</v>
      </c>
      <c r="E970">
        <v>0</v>
      </c>
      <c r="F970">
        <v>0.75</v>
      </c>
      <c r="G970">
        <v>6.1115977764129603</v>
      </c>
      <c r="H970">
        <v>3</v>
      </c>
      <c r="I970">
        <v>9</v>
      </c>
      <c r="J970">
        <v>30</v>
      </c>
    </row>
    <row r="971" spans="1:10" x14ac:dyDescent="0.25">
      <c r="A971" t="s">
        <v>10</v>
      </c>
      <c r="B971" t="s">
        <v>21</v>
      </c>
      <c r="C971" t="s">
        <v>12</v>
      </c>
      <c r="D971" t="s">
        <v>15</v>
      </c>
      <c r="E971">
        <v>0</v>
      </c>
      <c r="F971">
        <v>0.75</v>
      </c>
      <c r="G971">
        <v>7.1573300361633301</v>
      </c>
      <c r="H971">
        <v>1</v>
      </c>
      <c r="I971">
        <v>3</v>
      </c>
      <c r="J971">
        <v>30</v>
      </c>
    </row>
    <row r="972" spans="1:10" x14ac:dyDescent="0.25">
      <c r="A972" t="s">
        <v>10</v>
      </c>
      <c r="B972" t="s">
        <v>21</v>
      </c>
      <c r="C972" t="s">
        <v>12</v>
      </c>
      <c r="D972" t="s">
        <v>15</v>
      </c>
      <c r="E972">
        <v>0</v>
      </c>
      <c r="F972">
        <v>0.75</v>
      </c>
      <c r="G972">
        <v>7.2878243923187203</v>
      </c>
      <c r="H972">
        <v>4</v>
      </c>
      <c r="I972">
        <v>15</v>
      </c>
      <c r="J972">
        <v>30</v>
      </c>
    </row>
    <row r="973" spans="1:10" x14ac:dyDescent="0.25">
      <c r="A973" t="s">
        <v>10</v>
      </c>
      <c r="B973" t="s">
        <v>21</v>
      </c>
      <c r="C973" t="s">
        <v>12</v>
      </c>
      <c r="D973" t="s">
        <v>15</v>
      </c>
      <c r="E973">
        <v>2.77777777777777E-2</v>
      </c>
      <c r="F973">
        <v>0.75131944444444398</v>
      </c>
      <c r="G973">
        <v>7.3103551864623997</v>
      </c>
      <c r="H973">
        <v>6</v>
      </c>
      <c r="I973">
        <v>12</v>
      </c>
      <c r="J973">
        <v>30</v>
      </c>
    </row>
    <row r="974" spans="1:10" x14ac:dyDescent="0.25">
      <c r="A974" t="s">
        <v>10</v>
      </c>
      <c r="B974" t="s">
        <v>21</v>
      </c>
      <c r="C974" t="s">
        <v>12</v>
      </c>
      <c r="D974" t="s">
        <v>15</v>
      </c>
      <c r="E974">
        <v>0</v>
      </c>
      <c r="F974">
        <v>0.75</v>
      </c>
      <c r="G974">
        <v>7.8581199645995996</v>
      </c>
      <c r="H974">
        <v>6</v>
      </c>
      <c r="I974">
        <v>20</v>
      </c>
      <c r="J974">
        <v>30</v>
      </c>
    </row>
    <row r="975" spans="1:10" x14ac:dyDescent="0.25">
      <c r="A975" t="s">
        <v>10</v>
      </c>
      <c r="B975" t="s">
        <v>21</v>
      </c>
      <c r="C975" t="s">
        <v>12</v>
      </c>
      <c r="D975" t="s">
        <v>15</v>
      </c>
      <c r="E975">
        <v>0</v>
      </c>
      <c r="F975">
        <v>0.75</v>
      </c>
      <c r="G975">
        <v>8.4528248310089094</v>
      </c>
      <c r="H975">
        <v>3</v>
      </c>
      <c r="I975">
        <v>15</v>
      </c>
      <c r="J975">
        <v>30</v>
      </c>
    </row>
    <row r="976" spans="1:10" x14ac:dyDescent="0.25">
      <c r="A976" t="s">
        <v>10</v>
      </c>
      <c r="B976" t="s">
        <v>21</v>
      </c>
      <c r="C976" t="s">
        <v>12</v>
      </c>
      <c r="D976" t="s">
        <v>15</v>
      </c>
      <c r="E976">
        <v>2.77777777777777E-2</v>
      </c>
      <c r="F976">
        <v>0.75131944444444398</v>
      </c>
      <c r="G976">
        <v>9.0364916324615407</v>
      </c>
      <c r="H976">
        <v>3</v>
      </c>
      <c r="I976">
        <v>8</v>
      </c>
      <c r="J976">
        <v>30</v>
      </c>
    </row>
    <row r="977" spans="1:10" x14ac:dyDescent="0.25">
      <c r="A977" t="s">
        <v>10</v>
      </c>
      <c r="B977" t="s">
        <v>21</v>
      </c>
      <c r="C977" t="s">
        <v>12</v>
      </c>
      <c r="D977" t="s">
        <v>15</v>
      </c>
      <c r="E977">
        <v>0</v>
      </c>
      <c r="F977">
        <v>0.75</v>
      </c>
      <c r="G977">
        <v>9.20189929008483</v>
      </c>
      <c r="H977">
        <v>5</v>
      </c>
      <c r="I977">
        <v>15</v>
      </c>
      <c r="J977">
        <v>30</v>
      </c>
    </row>
    <row r="978" spans="1:10" x14ac:dyDescent="0.25">
      <c r="A978" t="s">
        <v>10</v>
      </c>
      <c r="B978" t="s">
        <v>21</v>
      </c>
      <c r="C978" t="s">
        <v>12</v>
      </c>
      <c r="D978" t="s">
        <v>15</v>
      </c>
      <c r="E978">
        <v>0</v>
      </c>
      <c r="F978">
        <v>0.75</v>
      </c>
      <c r="G978">
        <v>10.152518749237</v>
      </c>
      <c r="H978">
        <v>6</v>
      </c>
      <c r="I978">
        <v>14</v>
      </c>
      <c r="J978">
        <v>30</v>
      </c>
    </row>
    <row r="979" spans="1:10" x14ac:dyDescent="0.25">
      <c r="A979" t="s">
        <v>10</v>
      </c>
      <c r="B979" t="s">
        <v>21</v>
      </c>
      <c r="C979" t="s">
        <v>12</v>
      </c>
      <c r="D979" t="s">
        <v>15</v>
      </c>
      <c r="E979">
        <v>2.77777777777777E-2</v>
      </c>
      <c r="F979">
        <v>0.75131944444444398</v>
      </c>
      <c r="G979">
        <v>11.9292554855346</v>
      </c>
      <c r="H979">
        <v>7</v>
      </c>
      <c r="I979">
        <v>19</v>
      </c>
      <c r="J979">
        <v>30</v>
      </c>
    </row>
    <row r="980" spans="1:10" x14ac:dyDescent="0.25">
      <c r="A980" t="s">
        <v>10</v>
      </c>
      <c r="B980" t="s">
        <v>21</v>
      </c>
      <c r="C980" t="s">
        <v>12</v>
      </c>
      <c r="D980" t="s">
        <v>15</v>
      </c>
      <c r="E980">
        <v>2.77777777777777E-2</v>
      </c>
      <c r="F980">
        <v>0.75131944444444398</v>
      </c>
      <c r="G980">
        <v>11.9551525115966</v>
      </c>
      <c r="H980">
        <v>6</v>
      </c>
      <c r="I980">
        <v>20</v>
      </c>
      <c r="J980">
        <v>30</v>
      </c>
    </row>
    <row r="981" spans="1:10" x14ac:dyDescent="0.25">
      <c r="A981" t="s">
        <v>10</v>
      </c>
      <c r="B981" t="s">
        <v>21</v>
      </c>
      <c r="C981" t="s">
        <v>12</v>
      </c>
      <c r="D981" t="s">
        <v>15</v>
      </c>
      <c r="E981">
        <v>2.77777777777777E-2</v>
      </c>
      <c r="F981">
        <v>0.75131944444444398</v>
      </c>
      <c r="G981">
        <v>12.252546787261901</v>
      </c>
      <c r="H981">
        <v>9</v>
      </c>
      <c r="I981">
        <v>25</v>
      </c>
      <c r="J981">
        <v>30</v>
      </c>
    </row>
    <row r="982" spans="1:10" x14ac:dyDescent="0.25">
      <c r="A982" t="s">
        <v>10</v>
      </c>
      <c r="B982" t="s">
        <v>21</v>
      </c>
      <c r="C982" t="s">
        <v>12</v>
      </c>
      <c r="D982" t="s">
        <v>15</v>
      </c>
      <c r="E982">
        <v>0</v>
      </c>
      <c r="F982">
        <v>0.75</v>
      </c>
      <c r="G982">
        <v>12.3909518718719</v>
      </c>
      <c r="H982">
        <v>6</v>
      </c>
      <c r="I982">
        <v>20</v>
      </c>
      <c r="J982">
        <v>30</v>
      </c>
    </row>
    <row r="983" spans="1:10" x14ac:dyDescent="0.25">
      <c r="A983" t="s">
        <v>10</v>
      </c>
      <c r="B983" t="s">
        <v>21</v>
      </c>
      <c r="C983" t="s">
        <v>12</v>
      </c>
      <c r="D983" t="s">
        <v>15</v>
      </c>
      <c r="E983">
        <v>2.77777777777777E-2</v>
      </c>
      <c r="F983">
        <v>0.74986111111111098</v>
      </c>
      <c r="G983">
        <v>13.022820234298701</v>
      </c>
      <c r="H983">
        <v>8</v>
      </c>
      <c r="I983">
        <v>28</v>
      </c>
      <c r="J983">
        <v>30</v>
      </c>
    </row>
    <row r="984" spans="1:10" x14ac:dyDescent="0.25">
      <c r="A984" t="s">
        <v>10</v>
      </c>
      <c r="B984" t="s">
        <v>21</v>
      </c>
      <c r="C984" t="s">
        <v>12</v>
      </c>
      <c r="D984" t="s">
        <v>15</v>
      </c>
      <c r="E984">
        <v>5.5555555555555497E-2</v>
      </c>
      <c r="F984">
        <v>0.75118055555555496</v>
      </c>
      <c r="G984">
        <v>13.330203056335399</v>
      </c>
      <c r="H984">
        <v>6</v>
      </c>
      <c r="I984">
        <v>23</v>
      </c>
      <c r="J984">
        <v>30</v>
      </c>
    </row>
    <row r="985" spans="1:10" x14ac:dyDescent="0.25">
      <c r="A985" t="s">
        <v>10</v>
      </c>
      <c r="B985" t="s">
        <v>21</v>
      </c>
      <c r="C985" t="s">
        <v>12</v>
      </c>
      <c r="D985" t="s">
        <v>15</v>
      </c>
      <c r="E985">
        <v>2.77777777777777E-2</v>
      </c>
      <c r="F985">
        <v>0.74694444444444397</v>
      </c>
      <c r="G985">
        <v>14.264042854309</v>
      </c>
      <c r="H985">
        <v>10</v>
      </c>
      <c r="I985">
        <v>37</v>
      </c>
      <c r="J985">
        <v>30</v>
      </c>
    </row>
    <row r="986" spans="1:10" x14ac:dyDescent="0.25">
      <c r="A986" t="s">
        <v>10</v>
      </c>
      <c r="B986" t="s">
        <v>21</v>
      </c>
      <c r="C986" t="s">
        <v>12</v>
      </c>
      <c r="D986" t="s">
        <v>15</v>
      </c>
      <c r="E986">
        <v>0</v>
      </c>
      <c r="F986">
        <v>0.74854166666666599</v>
      </c>
      <c r="G986">
        <v>14.691484451293899</v>
      </c>
      <c r="H986">
        <v>14</v>
      </c>
      <c r="I986">
        <v>39</v>
      </c>
      <c r="J986">
        <v>30</v>
      </c>
    </row>
    <row r="987" spans="1:10" x14ac:dyDescent="0.25">
      <c r="A987" t="s">
        <v>10</v>
      </c>
      <c r="B987" t="s">
        <v>21</v>
      </c>
      <c r="C987" t="s">
        <v>12</v>
      </c>
      <c r="D987" t="s">
        <v>15</v>
      </c>
      <c r="E987">
        <v>0</v>
      </c>
      <c r="F987">
        <v>0.75</v>
      </c>
      <c r="G987">
        <v>15.116723060607899</v>
      </c>
      <c r="H987">
        <v>12</v>
      </c>
      <c r="I987">
        <v>40</v>
      </c>
      <c r="J987">
        <v>30</v>
      </c>
    </row>
    <row r="988" spans="1:10" x14ac:dyDescent="0.25">
      <c r="A988" t="s">
        <v>10</v>
      </c>
      <c r="B988" t="s">
        <v>21</v>
      </c>
      <c r="C988" t="s">
        <v>12</v>
      </c>
      <c r="D988" t="s">
        <v>15</v>
      </c>
      <c r="E988">
        <v>2.77777777777777E-2</v>
      </c>
      <c r="F988">
        <v>0.75131944444444398</v>
      </c>
      <c r="G988">
        <v>15.9093844890594</v>
      </c>
      <c r="H988">
        <v>9</v>
      </c>
      <c r="I988">
        <v>32</v>
      </c>
      <c r="J988">
        <v>30</v>
      </c>
    </row>
    <row r="989" spans="1:10" x14ac:dyDescent="0.25">
      <c r="A989" t="s">
        <v>10</v>
      </c>
      <c r="B989" t="s">
        <v>21</v>
      </c>
      <c r="C989" t="s">
        <v>12</v>
      </c>
      <c r="D989" t="s">
        <v>15</v>
      </c>
      <c r="E989">
        <v>0</v>
      </c>
      <c r="F989">
        <v>0.75</v>
      </c>
      <c r="G989">
        <v>16.047342777252101</v>
      </c>
      <c r="H989">
        <v>15</v>
      </c>
      <c r="I989">
        <v>50</v>
      </c>
      <c r="J989">
        <v>30</v>
      </c>
    </row>
    <row r="990" spans="1:10" x14ac:dyDescent="0.25">
      <c r="A990" t="s">
        <v>10</v>
      </c>
      <c r="B990" t="s">
        <v>21</v>
      </c>
      <c r="C990" t="s">
        <v>12</v>
      </c>
      <c r="D990" t="s">
        <v>15</v>
      </c>
      <c r="E990">
        <v>2.77777777777777E-2</v>
      </c>
      <c r="F990">
        <v>0.75131944444444398</v>
      </c>
      <c r="G990">
        <v>17.648465156555101</v>
      </c>
      <c r="H990">
        <v>18</v>
      </c>
      <c r="I990">
        <v>63</v>
      </c>
      <c r="J990">
        <v>30</v>
      </c>
    </row>
    <row r="991" spans="1:10" x14ac:dyDescent="0.25">
      <c r="A991" t="s">
        <v>10</v>
      </c>
      <c r="B991" t="s">
        <v>21</v>
      </c>
      <c r="C991" t="s">
        <v>12</v>
      </c>
      <c r="D991" t="s">
        <v>15</v>
      </c>
      <c r="E991">
        <v>0</v>
      </c>
      <c r="F991">
        <v>0.75</v>
      </c>
      <c r="G991">
        <v>17.9099488258361</v>
      </c>
      <c r="H991">
        <v>17</v>
      </c>
      <c r="I991">
        <v>63</v>
      </c>
      <c r="J991">
        <v>30</v>
      </c>
    </row>
    <row r="992" spans="1:10" x14ac:dyDescent="0.25">
      <c r="A992" t="s">
        <v>10</v>
      </c>
      <c r="B992" t="s">
        <v>21</v>
      </c>
      <c r="C992" t="s">
        <v>12</v>
      </c>
      <c r="D992" t="s">
        <v>16</v>
      </c>
      <c r="E992">
        <v>0</v>
      </c>
      <c r="F992">
        <v>0.75</v>
      </c>
      <c r="G992">
        <v>0.13633823394775299</v>
      </c>
      <c r="H992">
        <v>0</v>
      </c>
      <c r="I992">
        <v>0</v>
      </c>
      <c r="J992">
        <v>30</v>
      </c>
    </row>
    <row r="993" spans="1:10" x14ac:dyDescent="0.25">
      <c r="A993" t="s">
        <v>10</v>
      </c>
      <c r="B993" t="s">
        <v>21</v>
      </c>
      <c r="C993" t="s">
        <v>12</v>
      </c>
      <c r="D993" t="s">
        <v>16</v>
      </c>
      <c r="E993">
        <v>0</v>
      </c>
      <c r="F993">
        <v>0.75</v>
      </c>
      <c r="G993">
        <v>0.19541692733764601</v>
      </c>
      <c r="H993">
        <v>0</v>
      </c>
      <c r="I993">
        <v>0</v>
      </c>
      <c r="J993">
        <v>30</v>
      </c>
    </row>
    <row r="994" spans="1:10" x14ac:dyDescent="0.25">
      <c r="A994" t="s">
        <v>10</v>
      </c>
      <c r="B994" t="s">
        <v>21</v>
      </c>
      <c r="C994" t="s">
        <v>12</v>
      </c>
      <c r="D994" t="s">
        <v>16</v>
      </c>
      <c r="E994">
        <v>0</v>
      </c>
      <c r="F994">
        <v>0.75</v>
      </c>
      <c r="G994">
        <v>0.20348834991455</v>
      </c>
      <c r="H994">
        <v>0</v>
      </c>
      <c r="I994">
        <v>0</v>
      </c>
      <c r="J994">
        <v>30</v>
      </c>
    </row>
    <row r="995" spans="1:10" x14ac:dyDescent="0.25">
      <c r="A995" t="s">
        <v>10</v>
      </c>
      <c r="B995" t="s">
        <v>21</v>
      </c>
      <c r="C995" t="s">
        <v>12</v>
      </c>
      <c r="D995" t="s">
        <v>16</v>
      </c>
      <c r="E995">
        <v>0</v>
      </c>
      <c r="F995">
        <v>0.75</v>
      </c>
      <c r="G995">
        <v>0.250757455825805</v>
      </c>
      <c r="H995">
        <v>0</v>
      </c>
      <c r="I995">
        <v>0</v>
      </c>
      <c r="J995">
        <v>30</v>
      </c>
    </row>
    <row r="996" spans="1:10" x14ac:dyDescent="0.25">
      <c r="A996" t="s">
        <v>10</v>
      </c>
      <c r="B996" t="s">
        <v>21</v>
      </c>
      <c r="C996" t="s">
        <v>12</v>
      </c>
      <c r="D996" t="s">
        <v>16</v>
      </c>
      <c r="E996">
        <v>0</v>
      </c>
      <c r="F996">
        <v>0.75</v>
      </c>
      <c r="G996">
        <v>0.25730276107788003</v>
      </c>
      <c r="H996">
        <v>0</v>
      </c>
      <c r="I996">
        <v>0</v>
      </c>
      <c r="J996">
        <v>30</v>
      </c>
    </row>
    <row r="997" spans="1:10" x14ac:dyDescent="0.25">
      <c r="A997" t="s">
        <v>10</v>
      </c>
      <c r="B997" t="s">
        <v>21</v>
      </c>
      <c r="C997" t="s">
        <v>12</v>
      </c>
      <c r="D997" t="s">
        <v>16</v>
      </c>
      <c r="E997">
        <v>0</v>
      </c>
      <c r="F997">
        <v>0.75</v>
      </c>
      <c r="G997">
        <v>0.319530248641967</v>
      </c>
      <c r="H997">
        <v>0</v>
      </c>
      <c r="I997">
        <v>0</v>
      </c>
      <c r="J997">
        <v>30</v>
      </c>
    </row>
    <row r="998" spans="1:10" x14ac:dyDescent="0.25">
      <c r="A998" t="s">
        <v>10</v>
      </c>
      <c r="B998" t="s">
        <v>21</v>
      </c>
      <c r="C998" t="s">
        <v>12</v>
      </c>
      <c r="D998" t="s">
        <v>16</v>
      </c>
      <c r="E998">
        <v>0</v>
      </c>
      <c r="F998">
        <v>0.75</v>
      </c>
      <c r="G998">
        <v>0.33450198173522899</v>
      </c>
      <c r="H998">
        <v>0</v>
      </c>
      <c r="I998">
        <v>0</v>
      </c>
      <c r="J998">
        <v>30</v>
      </c>
    </row>
    <row r="999" spans="1:10" x14ac:dyDescent="0.25">
      <c r="A999" t="s">
        <v>10</v>
      </c>
      <c r="B999" t="s">
        <v>21</v>
      </c>
      <c r="C999" t="s">
        <v>12</v>
      </c>
      <c r="D999" t="s">
        <v>16</v>
      </c>
      <c r="E999">
        <v>0</v>
      </c>
      <c r="F999">
        <v>0.75</v>
      </c>
      <c r="G999">
        <v>0.36432099342346103</v>
      </c>
      <c r="H999">
        <v>0</v>
      </c>
      <c r="I999">
        <v>0</v>
      </c>
      <c r="J999">
        <v>30</v>
      </c>
    </row>
    <row r="1000" spans="1:10" x14ac:dyDescent="0.25">
      <c r="A1000" t="s">
        <v>10</v>
      </c>
      <c r="B1000" t="s">
        <v>21</v>
      </c>
      <c r="C1000" t="s">
        <v>12</v>
      </c>
      <c r="D1000" t="s">
        <v>16</v>
      </c>
      <c r="E1000">
        <v>0</v>
      </c>
      <c r="F1000">
        <v>0.75</v>
      </c>
      <c r="G1000">
        <v>0.38100624084472601</v>
      </c>
      <c r="H1000">
        <v>0</v>
      </c>
      <c r="I1000">
        <v>0</v>
      </c>
      <c r="J1000">
        <v>30</v>
      </c>
    </row>
    <row r="1001" spans="1:10" x14ac:dyDescent="0.25">
      <c r="A1001" t="s">
        <v>10</v>
      </c>
      <c r="B1001" t="s">
        <v>21</v>
      </c>
      <c r="C1001" t="s">
        <v>12</v>
      </c>
      <c r="D1001" t="s">
        <v>16</v>
      </c>
      <c r="E1001">
        <v>0</v>
      </c>
      <c r="F1001">
        <v>0.75</v>
      </c>
      <c r="G1001">
        <v>0.39150428771972601</v>
      </c>
      <c r="H1001">
        <v>0</v>
      </c>
      <c r="I1001">
        <v>0</v>
      </c>
      <c r="J1001">
        <v>30</v>
      </c>
    </row>
    <row r="1002" spans="1:10" x14ac:dyDescent="0.25">
      <c r="A1002" t="s">
        <v>10</v>
      </c>
      <c r="B1002" t="s">
        <v>21</v>
      </c>
      <c r="C1002" t="s">
        <v>12</v>
      </c>
      <c r="D1002" t="s">
        <v>16</v>
      </c>
      <c r="E1002">
        <v>0</v>
      </c>
      <c r="F1002">
        <v>0.75</v>
      </c>
      <c r="G1002">
        <v>0.40181922912597601</v>
      </c>
      <c r="H1002">
        <v>0</v>
      </c>
      <c r="I1002">
        <v>0</v>
      </c>
      <c r="J1002">
        <v>30</v>
      </c>
    </row>
    <row r="1003" spans="1:10" x14ac:dyDescent="0.25">
      <c r="A1003" t="s">
        <v>10</v>
      </c>
      <c r="B1003" t="s">
        <v>21</v>
      </c>
      <c r="C1003" t="s">
        <v>12</v>
      </c>
      <c r="D1003" t="s">
        <v>16</v>
      </c>
      <c r="E1003">
        <v>0</v>
      </c>
      <c r="F1003">
        <v>0.75</v>
      </c>
      <c r="G1003">
        <v>0.43038535118103</v>
      </c>
      <c r="H1003">
        <v>0</v>
      </c>
      <c r="I1003">
        <v>0</v>
      </c>
      <c r="J1003">
        <v>30</v>
      </c>
    </row>
    <row r="1004" spans="1:10" x14ac:dyDescent="0.25">
      <c r="A1004" t="s">
        <v>10</v>
      </c>
      <c r="B1004" t="s">
        <v>21</v>
      </c>
      <c r="C1004" t="s">
        <v>12</v>
      </c>
      <c r="D1004" t="s">
        <v>16</v>
      </c>
      <c r="E1004">
        <v>0</v>
      </c>
      <c r="F1004">
        <v>0.75</v>
      </c>
      <c r="G1004">
        <v>0.444416284561157</v>
      </c>
      <c r="H1004">
        <v>0</v>
      </c>
      <c r="I1004">
        <v>0</v>
      </c>
      <c r="J1004">
        <v>30</v>
      </c>
    </row>
    <row r="1005" spans="1:10" x14ac:dyDescent="0.25">
      <c r="A1005" t="s">
        <v>10</v>
      </c>
      <c r="B1005" t="s">
        <v>21</v>
      </c>
      <c r="C1005" t="s">
        <v>12</v>
      </c>
      <c r="D1005" t="s">
        <v>16</v>
      </c>
      <c r="E1005">
        <v>0</v>
      </c>
      <c r="F1005">
        <v>0.75</v>
      </c>
      <c r="G1005">
        <v>0.44858050346374501</v>
      </c>
      <c r="H1005">
        <v>0</v>
      </c>
      <c r="I1005">
        <v>0</v>
      </c>
      <c r="J1005">
        <v>30</v>
      </c>
    </row>
    <row r="1006" spans="1:10" x14ac:dyDescent="0.25">
      <c r="A1006" t="s">
        <v>10</v>
      </c>
      <c r="B1006" t="s">
        <v>21</v>
      </c>
      <c r="C1006" t="s">
        <v>12</v>
      </c>
      <c r="D1006" t="s">
        <v>16</v>
      </c>
      <c r="E1006">
        <v>0</v>
      </c>
      <c r="F1006">
        <v>0.75</v>
      </c>
      <c r="G1006">
        <v>0.45512413978576599</v>
      </c>
      <c r="H1006">
        <v>0</v>
      </c>
      <c r="I1006">
        <v>0</v>
      </c>
      <c r="J1006">
        <v>30</v>
      </c>
    </row>
    <row r="1007" spans="1:10" x14ac:dyDescent="0.25">
      <c r="A1007" t="s">
        <v>10</v>
      </c>
      <c r="B1007" t="s">
        <v>21</v>
      </c>
      <c r="C1007" t="s">
        <v>12</v>
      </c>
      <c r="D1007" t="s">
        <v>16</v>
      </c>
      <c r="E1007">
        <v>0</v>
      </c>
      <c r="F1007">
        <v>0.75</v>
      </c>
      <c r="G1007">
        <v>0.45812416076660101</v>
      </c>
      <c r="H1007">
        <v>0</v>
      </c>
      <c r="I1007">
        <v>0</v>
      </c>
      <c r="J1007">
        <v>30</v>
      </c>
    </row>
    <row r="1008" spans="1:10" x14ac:dyDescent="0.25">
      <c r="A1008" t="s">
        <v>10</v>
      </c>
      <c r="B1008" t="s">
        <v>21</v>
      </c>
      <c r="C1008" t="s">
        <v>12</v>
      </c>
      <c r="D1008" t="s">
        <v>16</v>
      </c>
      <c r="E1008">
        <v>0</v>
      </c>
      <c r="F1008">
        <v>0.75</v>
      </c>
      <c r="G1008">
        <v>0.45878028869628901</v>
      </c>
      <c r="H1008">
        <v>0</v>
      </c>
      <c r="I1008">
        <v>0</v>
      </c>
      <c r="J1008">
        <v>30</v>
      </c>
    </row>
    <row r="1009" spans="1:10" x14ac:dyDescent="0.25">
      <c r="A1009" t="s">
        <v>10</v>
      </c>
      <c r="B1009" t="s">
        <v>21</v>
      </c>
      <c r="C1009" t="s">
        <v>12</v>
      </c>
      <c r="D1009" t="s">
        <v>16</v>
      </c>
      <c r="E1009">
        <v>0</v>
      </c>
      <c r="F1009">
        <v>0.75</v>
      </c>
      <c r="G1009">
        <v>0.46290087699890098</v>
      </c>
      <c r="H1009">
        <v>0</v>
      </c>
      <c r="I1009">
        <v>0</v>
      </c>
      <c r="J1009">
        <v>30</v>
      </c>
    </row>
    <row r="1010" spans="1:10" x14ac:dyDescent="0.25">
      <c r="A1010" t="s">
        <v>10</v>
      </c>
      <c r="B1010" t="s">
        <v>21</v>
      </c>
      <c r="C1010" t="s">
        <v>12</v>
      </c>
      <c r="D1010" t="s">
        <v>16</v>
      </c>
      <c r="E1010">
        <v>0</v>
      </c>
      <c r="F1010">
        <v>0.75</v>
      </c>
      <c r="G1010">
        <v>0.48458456993103</v>
      </c>
      <c r="H1010">
        <v>0</v>
      </c>
      <c r="I1010">
        <v>0</v>
      </c>
      <c r="J1010">
        <v>30</v>
      </c>
    </row>
    <row r="1011" spans="1:10" x14ac:dyDescent="0.25">
      <c r="A1011" t="s">
        <v>10</v>
      </c>
      <c r="B1011" t="s">
        <v>21</v>
      </c>
      <c r="C1011" t="s">
        <v>12</v>
      </c>
      <c r="D1011" t="s">
        <v>16</v>
      </c>
      <c r="E1011">
        <v>0</v>
      </c>
      <c r="F1011">
        <v>0.75</v>
      </c>
      <c r="G1011">
        <v>0.48762202262878401</v>
      </c>
      <c r="H1011">
        <v>0</v>
      </c>
      <c r="I1011">
        <v>0</v>
      </c>
      <c r="J1011">
        <v>30</v>
      </c>
    </row>
    <row r="1012" spans="1:10" x14ac:dyDescent="0.25">
      <c r="A1012" t="s">
        <v>10</v>
      </c>
      <c r="B1012" t="s">
        <v>21</v>
      </c>
      <c r="C1012" t="s">
        <v>12</v>
      </c>
      <c r="D1012" t="s">
        <v>16</v>
      </c>
      <c r="E1012">
        <v>0</v>
      </c>
      <c r="F1012">
        <v>0.75</v>
      </c>
      <c r="G1012">
        <v>0.50657391548156705</v>
      </c>
      <c r="H1012">
        <v>0</v>
      </c>
      <c r="I1012">
        <v>0</v>
      </c>
      <c r="J1012">
        <v>30</v>
      </c>
    </row>
    <row r="1013" spans="1:10" x14ac:dyDescent="0.25">
      <c r="A1013" t="s">
        <v>10</v>
      </c>
      <c r="B1013" t="s">
        <v>21</v>
      </c>
      <c r="C1013" t="s">
        <v>12</v>
      </c>
      <c r="D1013" t="s">
        <v>16</v>
      </c>
      <c r="E1013">
        <v>0</v>
      </c>
      <c r="F1013">
        <v>0.75</v>
      </c>
      <c r="G1013">
        <v>0.50823807716369596</v>
      </c>
      <c r="H1013">
        <v>0</v>
      </c>
      <c r="I1013">
        <v>0</v>
      </c>
      <c r="J1013">
        <v>30</v>
      </c>
    </row>
    <row r="1014" spans="1:10" x14ac:dyDescent="0.25">
      <c r="A1014" t="s">
        <v>10</v>
      </c>
      <c r="B1014" t="s">
        <v>21</v>
      </c>
      <c r="C1014" t="s">
        <v>12</v>
      </c>
      <c r="D1014" t="s">
        <v>16</v>
      </c>
      <c r="E1014">
        <v>0</v>
      </c>
      <c r="F1014">
        <v>0.75</v>
      </c>
      <c r="G1014">
        <v>0.52168154716491699</v>
      </c>
      <c r="H1014">
        <v>0</v>
      </c>
      <c r="I1014">
        <v>0</v>
      </c>
      <c r="J1014">
        <v>30</v>
      </c>
    </row>
    <row r="1015" spans="1:10" x14ac:dyDescent="0.25">
      <c r="A1015" t="s">
        <v>10</v>
      </c>
      <c r="B1015" t="s">
        <v>21</v>
      </c>
      <c r="C1015" t="s">
        <v>12</v>
      </c>
      <c r="D1015" t="s">
        <v>16</v>
      </c>
      <c r="E1015">
        <v>0</v>
      </c>
      <c r="F1015">
        <v>0.75</v>
      </c>
      <c r="G1015">
        <v>0.52250480651855402</v>
      </c>
      <c r="H1015">
        <v>0</v>
      </c>
      <c r="I1015">
        <v>0</v>
      </c>
      <c r="J1015">
        <v>30</v>
      </c>
    </row>
    <row r="1016" spans="1:10" x14ac:dyDescent="0.25">
      <c r="A1016" t="s">
        <v>10</v>
      </c>
      <c r="B1016" t="s">
        <v>21</v>
      </c>
      <c r="C1016" t="s">
        <v>12</v>
      </c>
      <c r="D1016" t="s">
        <v>16</v>
      </c>
      <c r="E1016">
        <v>0</v>
      </c>
      <c r="F1016">
        <v>0.75</v>
      </c>
      <c r="G1016">
        <v>0.54063034057617099</v>
      </c>
      <c r="H1016">
        <v>0</v>
      </c>
      <c r="I1016">
        <v>0</v>
      </c>
      <c r="J1016">
        <v>30</v>
      </c>
    </row>
    <row r="1017" spans="1:10" x14ac:dyDescent="0.25">
      <c r="A1017" t="s">
        <v>10</v>
      </c>
      <c r="B1017" t="s">
        <v>21</v>
      </c>
      <c r="C1017" t="s">
        <v>12</v>
      </c>
      <c r="D1017" t="s">
        <v>16</v>
      </c>
      <c r="E1017">
        <v>0</v>
      </c>
      <c r="F1017">
        <v>0.75</v>
      </c>
      <c r="G1017">
        <v>0.54065942764282204</v>
      </c>
      <c r="H1017">
        <v>0</v>
      </c>
      <c r="I1017">
        <v>0</v>
      </c>
      <c r="J1017">
        <v>30</v>
      </c>
    </row>
    <row r="1018" spans="1:10" x14ac:dyDescent="0.25">
      <c r="A1018" t="s">
        <v>10</v>
      </c>
      <c r="B1018" t="s">
        <v>21</v>
      </c>
      <c r="C1018" t="s">
        <v>12</v>
      </c>
      <c r="D1018" t="s">
        <v>16</v>
      </c>
      <c r="E1018">
        <v>0</v>
      </c>
      <c r="F1018">
        <v>0.75</v>
      </c>
      <c r="G1018">
        <v>0.53149986267089799</v>
      </c>
      <c r="H1018">
        <v>0</v>
      </c>
      <c r="I1018">
        <v>0</v>
      </c>
      <c r="J1018">
        <v>30</v>
      </c>
    </row>
    <row r="1019" spans="1:10" x14ac:dyDescent="0.25">
      <c r="A1019" t="s">
        <v>10</v>
      </c>
      <c r="B1019" t="s">
        <v>21</v>
      </c>
      <c r="C1019" t="s">
        <v>12</v>
      </c>
      <c r="D1019" t="s">
        <v>16</v>
      </c>
      <c r="E1019">
        <v>0</v>
      </c>
      <c r="F1019">
        <v>0.75</v>
      </c>
      <c r="G1019">
        <v>0.540455102920532</v>
      </c>
      <c r="H1019">
        <v>0</v>
      </c>
      <c r="I1019">
        <v>0</v>
      </c>
      <c r="J1019">
        <v>30</v>
      </c>
    </row>
    <row r="1020" spans="1:10" x14ac:dyDescent="0.25">
      <c r="A1020" t="s">
        <v>10</v>
      </c>
      <c r="B1020" t="s">
        <v>21</v>
      </c>
      <c r="C1020" t="s">
        <v>12</v>
      </c>
      <c r="D1020" t="s">
        <v>16</v>
      </c>
      <c r="E1020">
        <v>0</v>
      </c>
      <c r="F1020">
        <v>0.75</v>
      </c>
      <c r="G1020">
        <v>0.53900599479675204</v>
      </c>
      <c r="H1020">
        <v>0</v>
      </c>
      <c r="I1020">
        <v>0</v>
      </c>
      <c r="J1020">
        <v>30</v>
      </c>
    </row>
    <row r="1021" spans="1:10" x14ac:dyDescent="0.25">
      <c r="A1021" t="s">
        <v>10</v>
      </c>
      <c r="B1021" t="s">
        <v>21</v>
      </c>
      <c r="C1021" t="s">
        <v>12</v>
      </c>
      <c r="D1021" t="s">
        <v>16</v>
      </c>
      <c r="E1021">
        <v>0</v>
      </c>
      <c r="F1021">
        <v>0.75</v>
      </c>
      <c r="G1021">
        <v>0.53900599479675204</v>
      </c>
      <c r="H1021">
        <v>0</v>
      </c>
      <c r="I1021">
        <v>0</v>
      </c>
      <c r="J1021">
        <v>30</v>
      </c>
    </row>
    <row r="1022" spans="1:10" x14ac:dyDescent="0.25">
      <c r="A1022" t="s">
        <v>10</v>
      </c>
      <c r="B1022" t="s">
        <v>21</v>
      </c>
      <c r="C1022" t="s">
        <v>12</v>
      </c>
      <c r="D1022" t="s">
        <v>17</v>
      </c>
      <c r="E1022">
        <v>0.5</v>
      </c>
      <c r="F1022">
        <v>0.75066286432499996</v>
      </c>
      <c r="G1022">
        <v>14.3779196739196</v>
      </c>
      <c r="H1022">
        <v>57</v>
      </c>
      <c r="I1022">
        <v>56</v>
      </c>
      <c r="J1022">
        <v>30</v>
      </c>
    </row>
    <row r="1023" spans="1:10" x14ac:dyDescent="0.25">
      <c r="A1023" t="s">
        <v>10</v>
      </c>
      <c r="B1023" t="s">
        <v>21</v>
      </c>
      <c r="C1023" t="s">
        <v>12</v>
      </c>
      <c r="D1023" t="s">
        <v>17</v>
      </c>
      <c r="E1023">
        <v>0.72222222222222199</v>
      </c>
      <c r="F1023">
        <v>0.80923001155277696</v>
      </c>
      <c r="G1023">
        <v>16.8701138496398</v>
      </c>
      <c r="H1023">
        <v>52</v>
      </c>
      <c r="I1023">
        <v>56</v>
      </c>
      <c r="J1023">
        <v>30</v>
      </c>
    </row>
    <row r="1024" spans="1:10" x14ac:dyDescent="0.25">
      <c r="A1024" t="s">
        <v>10</v>
      </c>
      <c r="B1024" t="s">
        <v>21</v>
      </c>
      <c r="C1024" t="s">
        <v>12</v>
      </c>
      <c r="D1024" t="s">
        <v>17</v>
      </c>
      <c r="E1024">
        <v>0.52777777777777701</v>
      </c>
      <c r="F1024">
        <v>0.75423951092499997</v>
      </c>
      <c r="G1024">
        <v>18.1367654800415</v>
      </c>
      <c r="H1024">
        <v>52</v>
      </c>
      <c r="I1024">
        <v>54</v>
      </c>
      <c r="J1024">
        <v>30</v>
      </c>
    </row>
    <row r="1025" spans="1:10" x14ac:dyDescent="0.25">
      <c r="A1025" t="s">
        <v>10</v>
      </c>
      <c r="B1025" t="s">
        <v>21</v>
      </c>
      <c r="C1025" t="s">
        <v>12</v>
      </c>
      <c r="D1025" t="s">
        <v>17</v>
      </c>
      <c r="E1025">
        <v>0.75</v>
      </c>
      <c r="F1025">
        <v>0.79100045380277695</v>
      </c>
      <c r="G1025">
        <v>19.000336170196501</v>
      </c>
      <c r="H1025">
        <v>61</v>
      </c>
      <c r="I1025">
        <v>66</v>
      </c>
      <c r="J1025">
        <v>30</v>
      </c>
    </row>
    <row r="1026" spans="1:10" x14ac:dyDescent="0.25">
      <c r="A1026" t="s">
        <v>10</v>
      </c>
      <c r="B1026" t="s">
        <v>21</v>
      </c>
      <c r="C1026" t="s">
        <v>12</v>
      </c>
      <c r="D1026" t="s">
        <v>17</v>
      </c>
      <c r="E1026">
        <v>0.63888888888888795</v>
      </c>
      <c r="F1026">
        <v>0.77105226588055498</v>
      </c>
      <c r="G1026">
        <v>19.585915803909302</v>
      </c>
      <c r="H1026">
        <v>58</v>
      </c>
      <c r="I1026">
        <v>60</v>
      </c>
      <c r="J1026">
        <v>30</v>
      </c>
    </row>
    <row r="1027" spans="1:10" x14ac:dyDescent="0.25">
      <c r="A1027" t="s">
        <v>10</v>
      </c>
      <c r="B1027" t="s">
        <v>21</v>
      </c>
      <c r="C1027" t="s">
        <v>12</v>
      </c>
      <c r="D1027" t="s">
        <v>17</v>
      </c>
      <c r="E1027">
        <v>0.58333333333333304</v>
      </c>
      <c r="F1027">
        <v>0.77601613743333298</v>
      </c>
      <c r="G1027">
        <v>19.969921588897702</v>
      </c>
      <c r="H1027">
        <v>53</v>
      </c>
      <c r="I1027">
        <v>53</v>
      </c>
      <c r="J1027">
        <v>30</v>
      </c>
    </row>
    <row r="1028" spans="1:10" x14ac:dyDescent="0.25">
      <c r="A1028" t="s">
        <v>10</v>
      </c>
      <c r="B1028" t="s">
        <v>21</v>
      </c>
      <c r="C1028" t="s">
        <v>12</v>
      </c>
      <c r="D1028" t="s">
        <v>17</v>
      </c>
      <c r="E1028">
        <v>0.63888888888888795</v>
      </c>
      <c r="F1028">
        <v>0.78426086276666596</v>
      </c>
      <c r="G1028">
        <v>20.1840448379516</v>
      </c>
      <c r="H1028">
        <v>62</v>
      </c>
      <c r="I1028">
        <v>59</v>
      </c>
      <c r="J1028">
        <v>30</v>
      </c>
    </row>
    <row r="1029" spans="1:10" x14ac:dyDescent="0.25">
      <c r="A1029" t="s">
        <v>10</v>
      </c>
      <c r="B1029" t="s">
        <v>21</v>
      </c>
      <c r="C1029" t="s">
        <v>12</v>
      </c>
      <c r="D1029" t="s">
        <v>17</v>
      </c>
      <c r="E1029">
        <v>0.69444444444444398</v>
      </c>
      <c r="F1029">
        <v>0.800642507591666</v>
      </c>
      <c r="G1029">
        <v>20.402654647827099</v>
      </c>
      <c r="H1029">
        <v>60</v>
      </c>
      <c r="I1029">
        <v>68</v>
      </c>
      <c r="J1029">
        <v>30</v>
      </c>
    </row>
    <row r="1030" spans="1:10" x14ac:dyDescent="0.25">
      <c r="A1030" t="s">
        <v>10</v>
      </c>
      <c r="B1030" t="s">
        <v>21</v>
      </c>
      <c r="C1030" t="s">
        <v>12</v>
      </c>
      <c r="D1030" t="s">
        <v>17</v>
      </c>
      <c r="E1030">
        <v>0.58333333333333304</v>
      </c>
      <c r="F1030">
        <v>0.75761596624444405</v>
      </c>
      <c r="G1030">
        <v>20.810060977935699</v>
      </c>
      <c r="H1030">
        <v>53</v>
      </c>
      <c r="I1030">
        <v>51</v>
      </c>
      <c r="J1030">
        <v>30</v>
      </c>
    </row>
    <row r="1031" spans="1:10" x14ac:dyDescent="0.25">
      <c r="A1031" t="s">
        <v>10</v>
      </c>
      <c r="B1031" t="s">
        <v>21</v>
      </c>
      <c r="C1031" t="s">
        <v>12</v>
      </c>
      <c r="D1031" t="s">
        <v>17</v>
      </c>
      <c r="E1031">
        <v>0.63888888888888795</v>
      </c>
      <c r="F1031">
        <v>0.76907501969166603</v>
      </c>
      <c r="G1031">
        <v>20.837886333465502</v>
      </c>
      <c r="H1031">
        <v>55</v>
      </c>
      <c r="I1031">
        <v>57</v>
      </c>
      <c r="J1031">
        <v>30</v>
      </c>
    </row>
    <row r="1032" spans="1:10" x14ac:dyDescent="0.25">
      <c r="A1032" t="s">
        <v>10</v>
      </c>
      <c r="B1032" t="s">
        <v>21</v>
      </c>
      <c r="C1032" t="s">
        <v>12</v>
      </c>
      <c r="D1032" t="s">
        <v>17</v>
      </c>
      <c r="E1032">
        <v>0.61111111111111105</v>
      </c>
      <c r="F1032">
        <v>0.76867752150000002</v>
      </c>
      <c r="G1032">
        <v>21.0832552909851</v>
      </c>
      <c r="H1032">
        <v>63</v>
      </c>
      <c r="I1032">
        <v>64</v>
      </c>
      <c r="J1032">
        <v>30</v>
      </c>
    </row>
    <row r="1033" spans="1:10" x14ac:dyDescent="0.25">
      <c r="A1033" t="s">
        <v>10</v>
      </c>
      <c r="B1033" t="s">
        <v>21</v>
      </c>
      <c r="C1033" t="s">
        <v>12</v>
      </c>
      <c r="D1033" t="s">
        <v>17</v>
      </c>
      <c r="E1033">
        <v>0.77777777777777701</v>
      </c>
      <c r="F1033">
        <v>0.79244585582777705</v>
      </c>
      <c r="G1033">
        <v>21.120893955230699</v>
      </c>
      <c r="H1033">
        <v>57</v>
      </c>
      <c r="I1033">
        <v>62</v>
      </c>
      <c r="J1033">
        <v>30</v>
      </c>
    </row>
    <row r="1034" spans="1:10" x14ac:dyDescent="0.25">
      <c r="A1034" t="s">
        <v>10</v>
      </c>
      <c r="B1034" t="s">
        <v>21</v>
      </c>
      <c r="C1034" t="s">
        <v>12</v>
      </c>
      <c r="D1034" t="s">
        <v>17</v>
      </c>
      <c r="E1034">
        <v>0.47222222222222199</v>
      </c>
      <c r="F1034">
        <v>0.74861286821388795</v>
      </c>
      <c r="G1034">
        <v>21.256418943405102</v>
      </c>
      <c r="H1034">
        <v>62</v>
      </c>
      <c r="I1034">
        <v>67</v>
      </c>
      <c r="J1034">
        <v>30</v>
      </c>
    </row>
    <row r="1035" spans="1:10" x14ac:dyDescent="0.25">
      <c r="A1035" t="s">
        <v>10</v>
      </c>
      <c r="B1035" t="s">
        <v>21</v>
      </c>
      <c r="C1035" t="s">
        <v>12</v>
      </c>
      <c r="D1035" t="s">
        <v>17</v>
      </c>
      <c r="E1035">
        <v>0.66666666666666596</v>
      </c>
      <c r="F1035">
        <v>0.79902115569722199</v>
      </c>
      <c r="G1035">
        <v>21.490751504898</v>
      </c>
      <c r="H1035">
        <v>55</v>
      </c>
      <c r="I1035">
        <v>52</v>
      </c>
      <c r="J1035">
        <v>30</v>
      </c>
    </row>
    <row r="1036" spans="1:10" x14ac:dyDescent="0.25">
      <c r="A1036" t="s">
        <v>10</v>
      </c>
      <c r="B1036" t="s">
        <v>21</v>
      </c>
      <c r="C1036" t="s">
        <v>12</v>
      </c>
      <c r="D1036" t="s">
        <v>17</v>
      </c>
      <c r="E1036">
        <v>0.52777777777777701</v>
      </c>
      <c r="F1036">
        <v>0.76297190263611103</v>
      </c>
      <c r="G1036">
        <v>21.507188558578399</v>
      </c>
      <c r="H1036">
        <v>54</v>
      </c>
      <c r="I1036">
        <v>57</v>
      </c>
      <c r="J1036">
        <v>30</v>
      </c>
    </row>
    <row r="1037" spans="1:10" x14ac:dyDescent="0.25">
      <c r="A1037" t="s">
        <v>10</v>
      </c>
      <c r="B1037" t="s">
        <v>21</v>
      </c>
      <c r="C1037" t="s">
        <v>12</v>
      </c>
      <c r="D1037" t="s">
        <v>17</v>
      </c>
      <c r="E1037">
        <v>0.66666666666666596</v>
      </c>
      <c r="F1037">
        <v>0.78047376673333302</v>
      </c>
      <c r="G1037">
        <v>21.514994859695399</v>
      </c>
      <c r="H1037">
        <v>63</v>
      </c>
      <c r="I1037">
        <v>65</v>
      </c>
      <c r="J1037">
        <v>30</v>
      </c>
    </row>
    <row r="1038" spans="1:10" x14ac:dyDescent="0.25">
      <c r="A1038" t="s">
        <v>10</v>
      </c>
      <c r="B1038" t="s">
        <v>21</v>
      </c>
      <c r="C1038" t="s">
        <v>12</v>
      </c>
      <c r="D1038" t="s">
        <v>17</v>
      </c>
      <c r="E1038">
        <v>0.47222222222222199</v>
      </c>
      <c r="F1038">
        <v>0.74135277901666596</v>
      </c>
      <c r="G1038">
        <v>21.572939634323099</v>
      </c>
      <c r="H1038">
        <v>67</v>
      </c>
      <c r="I1038">
        <v>73</v>
      </c>
      <c r="J1038">
        <v>30</v>
      </c>
    </row>
    <row r="1039" spans="1:10" x14ac:dyDescent="0.25">
      <c r="A1039" t="s">
        <v>10</v>
      </c>
      <c r="B1039" t="s">
        <v>21</v>
      </c>
      <c r="C1039" t="s">
        <v>12</v>
      </c>
      <c r="D1039" t="s">
        <v>17</v>
      </c>
      <c r="E1039">
        <v>0.75</v>
      </c>
      <c r="F1039">
        <v>0.79769732653611103</v>
      </c>
      <c r="G1039">
        <v>21.941035985946598</v>
      </c>
      <c r="H1039">
        <v>60</v>
      </c>
      <c r="I1039">
        <v>62</v>
      </c>
      <c r="J1039">
        <v>30</v>
      </c>
    </row>
    <row r="1040" spans="1:10" x14ac:dyDescent="0.25">
      <c r="A1040" t="s">
        <v>10</v>
      </c>
      <c r="B1040" t="s">
        <v>21</v>
      </c>
      <c r="C1040" t="s">
        <v>12</v>
      </c>
      <c r="D1040" t="s">
        <v>17</v>
      </c>
      <c r="E1040">
        <v>0.47222222222222199</v>
      </c>
      <c r="F1040">
        <v>0.74005586081388797</v>
      </c>
      <c r="G1040">
        <v>21.979486942291199</v>
      </c>
      <c r="H1040">
        <v>63</v>
      </c>
      <c r="I1040">
        <v>68</v>
      </c>
      <c r="J1040">
        <v>30</v>
      </c>
    </row>
    <row r="1041" spans="1:10" x14ac:dyDescent="0.25">
      <c r="A1041" t="s">
        <v>10</v>
      </c>
      <c r="B1041" t="s">
        <v>21</v>
      </c>
      <c r="C1041" t="s">
        <v>12</v>
      </c>
      <c r="D1041" t="s">
        <v>17</v>
      </c>
      <c r="E1041">
        <v>0.66666666666666596</v>
      </c>
      <c r="F1041">
        <v>0.78074635250833302</v>
      </c>
      <c r="G1041">
        <v>22.018634557723999</v>
      </c>
      <c r="H1041">
        <v>67</v>
      </c>
      <c r="I1041">
        <v>68</v>
      </c>
      <c r="J1041">
        <v>30</v>
      </c>
    </row>
    <row r="1042" spans="1:10" x14ac:dyDescent="0.25">
      <c r="A1042" t="s">
        <v>10</v>
      </c>
      <c r="B1042" t="s">
        <v>21</v>
      </c>
      <c r="C1042" t="s">
        <v>12</v>
      </c>
      <c r="D1042" t="s">
        <v>17</v>
      </c>
      <c r="E1042">
        <v>0.55555555555555503</v>
      </c>
      <c r="F1042">
        <v>0.756543025891666</v>
      </c>
      <c r="G1042">
        <v>22.022445678710898</v>
      </c>
      <c r="H1042">
        <v>64</v>
      </c>
      <c r="I1042">
        <v>68</v>
      </c>
      <c r="J1042">
        <v>30</v>
      </c>
    </row>
    <row r="1043" spans="1:10" x14ac:dyDescent="0.25">
      <c r="A1043" t="s">
        <v>10</v>
      </c>
      <c r="B1043" t="s">
        <v>21</v>
      </c>
      <c r="C1043" t="s">
        <v>12</v>
      </c>
      <c r="D1043" t="s">
        <v>17</v>
      </c>
      <c r="E1043">
        <v>0.58333333333333304</v>
      </c>
      <c r="F1043">
        <v>0.74707112775277695</v>
      </c>
      <c r="G1043">
        <v>22.197770595550502</v>
      </c>
      <c r="H1043">
        <v>61</v>
      </c>
      <c r="I1043">
        <v>68</v>
      </c>
      <c r="J1043">
        <v>30</v>
      </c>
    </row>
    <row r="1044" spans="1:10" x14ac:dyDescent="0.25">
      <c r="A1044" t="s">
        <v>10</v>
      </c>
      <c r="B1044" t="s">
        <v>21</v>
      </c>
      <c r="C1044" t="s">
        <v>12</v>
      </c>
      <c r="D1044" t="s">
        <v>17</v>
      </c>
      <c r="E1044">
        <v>0.58333333333333304</v>
      </c>
      <c r="F1044">
        <v>0.74454532128611095</v>
      </c>
      <c r="G1044">
        <v>22.2007718086242</v>
      </c>
      <c r="H1044">
        <v>60</v>
      </c>
      <c r="I1044">
        <v>61</v>
      </c>
      <c r="J1044">
        <v>30</v>
      </c>
    </row>
    <row r="1045" spans="1:10" x14ac:dyDescent="0.25">
      <c r="A1045" t="s">
        <v>10</v>
      </c>
      <c r="B1045" t="s">
        <v>21</v>
      </c>
      <c r="C1045" t="s">
        <v>12</v>
      </c>
      <c r="D1045" t="s">
        <v>17</v>
      </c>
      <c r="E1045">
        <v>0.69444444444444398</v>
      </c>
      <c r="F1045">
        <v>0.78682097230833303</v>
      </c>
      <c r="G1045">
        <v>22.273852109909001</v>
      </c>
      <c r="H1045">
        <v>62</v>
      </c>
      <c r="I1045">
        <v>69</v>
      </c>
      <c r="J1045">
        <v>30</v>
      </c>
    </row>
    <row r="1046" spans="1:10" x14ac:dyDescent="0.25">
      <c r="A1046" t="s">
        <v>10</v>
      </c>
      <c r="B1046" t="s">
        <v>21</v>
      </c>
      <c r="C1046" t="s">
        <v>12</v>
      </c>
      <c r="D1046" t="s">
        <v>17</v>
      </c>
      <c r="E1046">
        <v>0.69444444444444398</v>
      </c>
      <c r="F1046">
        <v>0.78049766414999999</v>
      </c>
      <c r="G1046">
        <v>22.2747189998626</v>
      </c>
      <c r="H1046">
        <v>62</v>
      </c>
      <c r="I1046">
        <v>67</v>
      </c>
      <c r="J1046">
        <v>30</v>
      </c>
    </row>
    <row r="1047" spans="1:10" x14ac:dyDescent="0.25">
      <c r="A1047" t="s">
        <v>10</v>
      </c>
      <c r="B1047" t="s">
        <v>21</v>
      </c>
      <c r="C1047" t="s">
        <v>12</v>
      </c>
      <c r="D1047" t="s">
        <v>17</v>
      </c>
      <c r="E1047">
        <v>0.61111111111111105</v>
      </c>
      <c r="F1047">
        <v>0.781696636716666</v>
      </c>
      <c r="G1047">
        <v>22.3251037597656</v>
      </c>
      <c r="H1047">
        <v>54</v>
      </c>
      <c r="I1047">
        <v>55</v>
      </c>
      <c r="J1047">
        <v>30</v>
      </c>
    </row>
    <row r="1048" spans="1:10" x14ac:dyDescent="0.25">
      <c r="A1048" t="s">
        <v>10</v>
      </c>
      <c r="B1048" t="s">
        <v>21</v>
      </c>
      <c r="C1048" t="s">
        <v>12</v>
      </c>
      <c r="D1048" t="s">
        <v>17</v>
      </c>
      <c r="E1048">
        <v>0.69444444444444398</v>
      </c>
      <c r="F1048">
        <v>0.80013512392777697</v>
      </c>
      <c r="G1048">
        <v>22.417533874511701</v>
      </c>
      <c r="H1048">
        <v>65</v>
      </c>
      <c r="I1048">
        <v>64</v>
      </c>
      <c r="J1048">
        <v>30</v>
      </c>
    </row>
    <row r="1049" spans="1:10" x14ac:dyDescent="0.25">
      <c r="A1049" t="s">
        <v>10</v>
      </c>
      <c r="B1049" t="s">
        <v>21</v>
      </c>
      <c r="C1049" t="s">
        <v>12</v>
      </c>
      <c r="D1049" t="s">
        <v>17</v>
      </c>
      <c r="E1049">
        <v>0.75</v>
      </c>
      <c r="F1049">
        <v>0.79507748095277697</v>
      </c>
      <c r="G1049">
        <v>22.468677282333299</v>
      </c>
      <c r="H1049">
        <v>62</v>
      </c>
      <c r="I1049">
        <v>62</v>
      </c>
      <c r="J1049">
        <v>30</v>
      </c>
    </row>
    <row r="1050" spans="1:10" x14ac:dyDescent="0.25">
      <c r="A1050" t="s">
        <v>10</v>
      </c>
      <c r="B1050" t="s">
        <v>21</v>
      </c>
      <c r="C1050" t="s">
        <v>12</v>
      </c>
      <c r="D1050" t="s">
        <v>17</v>
      </c>
      <c r="E1050">
        <v>0.72222222222222199</v>
      </c>
      <c r="F1050">
        <v>0.78553481761111099</v>
      </c>
      <c r="G1050">
        <v>22.512982130050599</v>
      </c>
      <c r="H1050">
        <v>59</v>
      </c>
      <c r="I1050">
        <v>58</v>
      </c>
      <c r="J1050">
        <v>30</v>
      </c>
    </row>
    <row r="1051" spans="1:10" x14ac:dyDescent="0.25">
      <c r="A1051" t="s">
        <v>10</v>
      </c>
      <c r="B1051" t="s">
        <v>21</v>
      </c>
      <c r="C1051" t="s">
        <v>12</v>
      </c>
      <c r="D1051" t="s">
        <v>17</v>
      </c>
      <c r="E1051">
        <v>0.5</v>
      </c>
      <c r="F1051">
        <v>0.73129383108333301</v>
      </c>
      <c r="G1051">
        <v>22.552550315856902</v>
      </c>
      <c r="H1051">
        <v>63</v>
      </c>
      <c r="I1051">
        <v>68</v>
      </c>
      <c r="J1051">
        <v>30</v>
      </c>
    </row>
    <row r="1052" spans="1:10" x14ac:dyDescent="0.25">
      <c r="A1052" t="s">
        <v>10</v>
      </c>
      <c r="B1052" t="s">
        <v>21</v>
      </c>
      <c r="C1052" t="s">
        <v>18</v>
      </c>
      <c r="D1052" t="s">
        <v>13</v>
      </c>
      <c r="E1052">
        <v>0.88888888888888795</v>
      </c>
      <c r="F1052">
        <v>0.89638877530277705</v>
      </c>
      <c r="G1052">
        <v>1.1500041484832699</v>
      </c>
      <c r="H1052">
        <v>6</v>
      </c>
      <c r="I1052">
        <v>6</v>
      </c>
      <c r="J1052">
        <v>30</v>
      </c>
    </row>
    <row r="1053" spans="1:10" x14ac:dyDescent="0.25">
      <c r="A1053" t="s">
        <v>10</v>
      </c>
      <c r="B1053" t="s">
        <v>21</v>
      </c>
      <c r="C1053" t="s">
        <v>18</v>
      </c>
      <c r="D1053" t="s">
        <v>13</v>
      </c>
      <c r="E1053">
        <v>0.94444444444444398</v>
      </c>
      <c r="F1053">
        <v>0.96494936685833299</v>
      </c>
      <c r="G1053">
        <v>1.1648473739623999</v>
      </c>
      <c r="H1053">
        <v>7</v>
      </c>
      <c r="I1053">
        <v>7</v>
      </c>
      <c r="J1053">
        <v>30</v>
      </c>
    </row>
    <row r="1054" spans="1:10" x14ac:dyDescent="0.25">
      <c r="A1054" t="s">
        <v>10</v>
      </c>
      <c r="B1054" t="s">
        <v>21</v>
      </c>
      <c r="C1054" t="s">
        <v>18</v>
      </c>
      <c r="D1054" t="s">
        <v>13</v>
      </c>
      <c r="E1054">
        <v>0.97222222222222199</v>
      </c>
      <c r="F1054">
        <v>0.98124804523055498</v>
      </c>
      <c r="G1054">
        <v>1.25000047683715</v>
      </c>
      <c r="H1054">
        <v>8</v>
      </c>
      <c r="I1054">
        <v>8</v>
      </c>
      <c r="J1054">
        <v>30</v>
      </c>
    </row>
    <row r="1055" spans="1:10" x14ac:dyDescent="0.25">
      <c r="A1055" t="s">
        <v>10</v>
      </c>
      <c r="B1055" t="s">
        <v>21</v>
      </c>
      <c r="C1055" t="s">
        <v>18</v>
      </c>
      <c r="D1055" t="s">
        <v>13</v>
      </c>
      <c r="E1055">
        <v>0.94444444444444398</v>
      </c>
      <c r="F1055">
        <v>0.96015720270833305</v>
      </c>
      <c r="G1055">
        <v>1.3601555824279701</v>
      </c>
      <c r="H1055">
        <v>8</v>
      </c>
      <c r="I1055">
        <v>8</v>
      </c>
      <c r="J1055">
        <v>30</v>
      </c>
    </row>
    <row r="1056" spans="1:10" x14ac:dyDescent="0.25">
      <c r="A1056" t="s">
        <v>10</v>
      </c>
      <c r="B1056" t="s">
        <v>21</v>
      </c>
      <c r="C1056" t="s">
        <v>18</v>
      </c>
      <c r="D1056" t="s">
        <v>13</v>
      </c>
      <c r="E1056">
        <v>0.94444444444444398</v>
      </c>
      <c r="F1056">
        <v>0.940801418697222</v>
      </c>
      <c r="G1056">
        <v>1.35949110984802</v>
      </c>
      <c r="H1056">
        <v>7</v>
      </c>
      <c r="I1056">
        <v>7</v>
      </c>
      <c r="J1056">
        <v>30</v>
      </c>
    </row>
    <row r="1057" spans="1:10" x14ac:dyDescent="0.25">
      <c r="A1057" t="s">
        <v>10</v>
      </c>
      <c r="B1057" t="s">
        <v>21</v>
      </c>
      <c r="C1057" t="s">
        <v>18</v>
      </c>
      <c r="D1057" t="s">
        <v>13</v>
      </c>
      <c r="E1057">
        <v>0.86111111111111105</v>
      </c>
      <c r="F1057">
        <v>0.89030478707777705</v>
      </c>
      <c r="G1057">
        <v>1.39873123168945</v>
      </c>
      <c r="H1057">
        <v>6</v>
      </c>
      <c r="I1057">
        <v>6</v>
      </c>
      <c r="J1057">
        <v>30</v>
      </c>
    </row>
    <row r="1058" spans="1:10" x14ac:dyDescent="0.25">
      <c r="A1058" t="s">
        <v>10</v>
      </c>
      <c r="B1058" t="s">
        <v>21</v>
      </c>
      <c r="C1058" t="s">
        <v>18</v>
      </c>
      <c r="D1058" t="s">
        <v>13</v>
      </c>
      <c r="E1058">
        <v>0.91666666666666596</v>
      </c>
      <c r="F1058">
        <v>0.927552498588888</v>
      </c>
      <c r="G1058">
        <v>1.4171557426452599</v>
      </c>
      <c r="H1058">
        <v>7</v>
      </c>
      <c r="I1058">
        <v>8</v>
      </c>
      <c r="J1058">
        <v>30</v>
      </c>
    </row>
    <row r="1059" spans="1:10" x14ac:dyDescent="0.25">
      <c r="A1059" t="s">
        <v>10</v>
      </c>
      <c r="B1059" t="s">
        <v>21</v>
      </c>
      <c r="C1059" t="s">
        <v>18</v>
      </c>
      <c r="D1059" t="s">
        <v>13</v>
      </c>
      <c r="E1059">
        <v>0.86111111111111105</v>
      </c>
      <c r="F1059">
        <v>0.89688420002500002</v>
      </c>
      <c r="G1059">
        <v>1.5322790145873999</v>
      </c>
      <c r="H1059">
        <v>7</v>
      </c>
      <c r="I1059">
        <v>7</v>
      </c>
      <c r="J1059">
        <v>30</v>
      </c>
    </row>
    <row r="1060" spans="1:10" x14ac:dyDescent="0.25">
      <c r="A1060" t="s">
        <v>10</v>
      </c>
      <c r="B1060" t="s">
        <v>21</v>
      </c>
      <c r="C1060" t="s">
        <v>18</v>
      </c>
      <c r="D1060" t="s">
        <v>13</v>
      </c>
      <c r="E1060">
        <v>0.88888888888888795</v>
      </c>
      <c r="F1060">
        <v>0.93337860076388801</v>
      </c>
      <c r="G1060">
        <v>1.54176902770996</v>
      </c>
      <c r="H1060">
        <v>8</v>
      </c>
      <c r="I1060">
        <v>8</v>
      </c>
      <c r="J1060">
        <v>30</v>
      </c>
    </row>
    <row r="1061" spans="1:10" x14ac:dyDescent="0.25">
      <c r="A1061" t="s">
        <v>10</v>
      </c>
      <c r="B1061" t="s">
        <v>21</v>
      </c>
      <c r="C1061" t="s">
        <v>18</v>
      </c>
      <c r="D1061" t="s">
        <v>13</v>
      </c>
      <c r="E1061">
        <v>0.91666666666666596</v>
      </c>
      <c r="F1061">
        <v>0.95391960781388896</v>
      </c>
      <c r="G1061">
        <v>1.5798373222351001</v>
      </c>
      <c r="H1061">
        <v>7</v>
      </c>
      <c r="I1061">
        <v>7</v>
      </c>
      <c r="J1061">
        <v>30</v>
      </c>
    </row>
    <row r="1062" spans="1:10" x14ac:dyDescent="0.25">
      <c r="A1062" t="s">
        <v>10</v>
      </c>
      <c r="B1062" t="s">
        <v>21</v>
      </c>
      <c r="C1062" t="s">
        <v>18</v>
      </c>
      <c r="D1062" t="s">
        <v>13</v>
      </c>
      <c r="E1062">
        <v>0.88888888888888795</v>
      </c>
      <c r="F1062">
        <v>0.89480507840000001</v>
      </c>
      <c r="G1062">
        <v>1.60097527503967</v>
      </c>
      <c r="H1062">
        <v>8</v>
      </c>
      <c r="I1062">
        <v>8</v>
      </c>
      <c r="J1062">
        <v>30</v>
      </c>
    </row>
    <row r="1063" spans="1:10" x14ac:dyDescent="0.25">
      <c r="A1063" t="s">
        <v>10</v>
      </c>
      <c r="B1063" t="s">
        <v>21</v>
      </c>
      <c r="C1063" t="s">
        <v>18</v>
      </c>
      <c r="D1063" t="s">
        <v>13</v>
      </c>
      <c r="E1063">
        <v>0.94444444444444398</v>
      </c>
      <c r="F1063">
        <v>0.94404697857777697</v>
      </c>
      <c r="G1063">
        <v>1.61278104782104</v>
      </c>
      <c r="H1063">
        <v>7</v>
      </c>
      <c r="I1063">
        <v>7</v>
      </c>
      <c r="J1063">
        <v>30</v>
      </c>
    </row>
    <row r="1064" spans="1:10" x14ac:dyDescent="0.25">
      <c r="A1064" t="s">
        <v>10</v>
      </c>
      <c r="B1064" t="s">
        <v>21</v>
      </c>
      <c r="C1064" t="s">
        <v>18</v>
      </c>
      <c r="D1064" t="s">
        <v>13</v>
      </c>
      <c r="E1064">
        <v>0.88888888888888795</v>
      </c>
      <c r="F1064">
        <v>0.90005273918888895</v>
      </c>
      <c r="G1064">
        <v>1.6450326442718499</v>
      </c>
      <c r="H1064">
        <v>7</v>
      </c>
      <c r="I1064">
        <v>7</v>
      </c>
      <c r="J1064">
        <v>30</v>
      </c>
    </row>
    <row r="1065" spans="1:10" x14ac:dyDescent="0.25">
      <c r="A1065" t="s">
        <v>10</v>
      </c>
      <c r="B1065" t="s">
        <v>21</v>
      </c>
      <c r="C1065" t="s">
        <v>18</v>
      </c>
      <c r="D1065" t="s">
        <v>13</v>
      </c>
      <c r="E1065">
        <v>0.94444444444444398</v>
      </c>
      <c r="F1065">
        <v>0.94634182641111098</v>
      </c>
      <c r="G1065">
        <v>1.6575946807861299</v>
      </c>
      <c r="H1065">
        <v>7</v>
      </c>
      <c r="I1065">
        <v>7</v>
      </c>
      <c r="J1065">
        <v>30</v>
      </c>
    </row>
    <row r="1066" spans="1:10" x14ac:dyDescent="0.25">
      <c r="A1066" t="s">
        <v>10</v>
      </c>
      <c r="B1066" t="s">
        <v>21</v>
      </c>
      <c r="C1066" t="s">
        <v>18</v>
      </c>
      <c r="D1066" t="s">
        <v>13</v>
      </c>
      <c r="E1066">
        <v>0.86111111111111105</v>
      </c>
      <c r="F1066">
        <v>0.89541740869999997</v>
      </c>
      <c r="G1066">
        <v>1.71934938430786</v>
      </c>
      <c r="H1066">
        <v>6</v>
      </c>
      <c r="I1066">
        <v>6</v>
      </c>
      <c r="J1066">
        <v>30</v>
      </c>
    </row>
    <row r="1067" spans="1:10" x14ac:dyDescent="0.25">
      <c r="A1067" t="s">
        <v>10</v>
      </c>
      <c r="B1067" t="s">
        <v>21</v>
      </c>
      <c r="C1067" t="s">
        <v>18</v>
      </c>
      <c r="D1067" t="s">
        <v>13</v>
      </c>
      <c r="E1067">
        <v>0.91666666666666596</v>
      </c>
      <c r="F1067">
        <v>0.92059827104722203</v>
      </c>
      <c r="G1067">
        <v>1.7537097930908201</v>
      </c>
      <c r="H1067">
        <v>7</v>
      </c>
      <c r="I1067">
        <v>7</v>
      </c>
      <c r="J1067">
        <v>30</v>
      </c>
    </row>
    <row r="1068" spans="1:10" x14ac:dyDescent="0.25">
      <c r="A1068" t="s">
        <v>10</v>
      </c>
      <c r="B1068" t="s">
        <v>21</v>
      </c>
      <c r="C1068" t="s">
        <v>18</v>
      </c>
      <c r="D1068" t="s">
        <v>13</v>
      </c>
      <c r="E1068">
        <v>0.94444444444444398</v>
      </c>
      <c r="F1068">
        <v>0.95320302813333302</v>
      </c>
      <c r="G1068">
        <v>1.7724061012268</v>
      </c>
      <c r="H1068">
        <v>7</v>
      </c>
      <c r="I1068">
        <v>7</v>
      </c>
      <c r="J1068">
        <v>30</v>
      </c>
    </row>
    <row r="1069" spans="1:10" x14ac:dyDescent="0.25">
      <c r="A1069" t="s">
        <v>10</v>
      </c>
      <c r="B1069" t="s">
        <v>21</v>
      </c>
      <c r="C1069" t="s">
        <v>18</v>
      </c>
      <c r="D1069" t="s">
        <v>13</v>
      </c>
      <c r="E1069">
        <v>0.88888888888888795</v>
      </c>
      <c r="F1069">
        <v>0.953273728102777</v>
      </c>
      <c r="G1069">
        <v>1.7792379856109599</v>
      </c>
      <c r="H1069">
        <v>6</v>
      </c>
      <c r="I1069">
        <v>6</v>
      </c>
      <c r="J1069">
        <v>30</v>
      </c>
    </row>
    <row r="1070" spans="1:10" x14ac:dyDescent="0.25">
      <c r="A1070" t="s">
        <v>10</v>
      </c>
      <c r="B1070" t="s">
        <v>21</v>
      </c>
      <c r="C1070" t="s">
        <v>18</v>
      </c>
      <c r="D1070" t="s">
        <v>13</v>
      </c>
      <c r="E1070">
        <v>0.97222222222222199</v>
      </c>
      <c r="F1070">
        <v>0.96877058445555497</v>
      </c>
      <c r="G1070">
        <v>1.7994844913482599</v>
      </c>
      <c r="H1070">
        <v>8</v>
      </c>
      <c r="I1070">
        <v>8</v>
      </c>
      <c r="J1070">
        <v>30</v>
      </c>
    </row>
    <row r="1071" spans="1:10" x14ac:dyDescent="0.25">
      <c r="A1071" t="s">
        <v>10</v>
      </c>
      <c r="B1071" t="s">
        <v>21</v>
      </c>
      <c r="C1071" t="s">
        <v>18</v>
      </c>
      <c r="D1071" t="s">
        <v>13</v>
      </c>
      <c r="E1071">
        <v>0.88888888888888795</v>
      </c>
      <c r="F1071">
        <v>0.93665501307222199</v>
      </c>
      <c r="G1071">
        <v>1.83005023002624</v>
      </c>
      <c r="H1071">
        <v>7</v>
      </c>
      <c r="I1071">
        <v>7</v>
      </c>
      <c r="J1071">
        <v>30</v>
      </c>
    </row>
    <row r="1072" spans="1:10" x14ac:dyDescent="0.25">
      <c r="A1072" t="s">
        <v>10</v>
      </c>
      <c r="B1072" t="s">
        <v>21</v>
      </c>
      <c r="C1072" t="s">
        <v>18</v>
      </c>
      <c r="D1072" t="s">
        <v>13</v>
      </c>
      <c r="E1072">
        <v>0.94444444444444398</v>
      </c>
      <c r="F1072">
        <v>0.94395858177500003</v>
      </c>
      <c r="G1072">
        <v>1.8470108509063701</v>
      </c>
      <c r="H1072">
        <v>7</v>
      </c>
      <c r="I1072">
        <v>7</v>
      </c>
      <c r="J1072">
        <v>30</v>
      </c>
    </row>
    <row r="1073" spans="1:10" x14ac:dyDescent="0.25">
      <c r="A1073" t="s">
        <v>10</v>
      </c>
      <c r="B1073" t="s">
        <v>21</v>
      </c>
      <c r="C1073" t="s">
        <v>18</v>
      </c>
      <c r="D1073" t="s">
        <v>13</v>
      </c>
      <c r="E1073">
        <v>0.97222222222222199</v>
      </c>
      <c r="F1073">
        <v>0.97216206620000001</v>
      </c>
      <c r="G1073">
        <v>1.87371921539306</v>
      </c>
      <c r="H1073">
        <v>6</v>
      </c>
      <c r="I1073">
        <v>6</v>
      </c>
      <c r="J1073">
        <v>30</v>
      </c>
    </row>
    <row r="1074" spans="1:10" x14ac:dyDescent="0.25">
      <c r="A1074" t="s">
        <v>10</v>
      </c>
      <c r="B1074" t="s">
        <v>21</v>
      </c>
      <c r="C1074" t="s">
        <v>18</v>
      </c>
      <c r="D1074" t="s">
        <v>13</v>
      </c>
      <c r="E1074">
        <v>0.97222222222222199</v>
      </c>
      <c r="F1074">
        <v>0.96706347974999995</v>
      </c>
      <c r="G1074">
        <v>1.8808302879333401</v>
      </c>
      <c r="H1074">
        <v>6</v>
      </c>
      <c r="I1074">
        <v>6</v>
      </c>
      <c r="J1074">
        <v>30</v>
      </c>
    </row>
    <row r="1075" spans="1:10" x14ac:dyDescent="0.25">
      <c r="A1075" t="s">
        <v>10</v>
      </c>
      <c r="B1075" t="s">
        <v>21</v>
      </c>
      <c r="C1075" t="s">
        <v>18</v>
      </c>
      <c r="D1075" t="s">
        <v>13</v>
      </c>
      <c r="E1075">
        <v>1</v>
      </c>
      <c r="F1075">
        <v>0.98710340829999998</v>
      </c>
      <c r="G1075">
        <v>1.8766899108886701</v>
      </c>
      <c r="H1075">
        <v>8</v>
      </c>
      <c r="I1075">
        <v>9</v>
      </c>
      <c r="J1075">
        <v>30</v>
      </c>
    </row>
    <row r="1076" spans="1:10" x14ac:dyDescent="0.25">
      <c r="A1076" t="s">
        <v>10</v>
      </c>
      <c r="B1076" t="s">
        <v>21</v>
      </c>
      <c r="C1076" t="s">
        <v>18</v>
      </c>
      <c r="D1076" t="s">
        <v>13</v>
      </c>
      <c r="E1076">
        <v>1</v>
      </c>
      <c r="F1076">
        <v>0.98785853982222205</v>
      </c>
      <c r="G1076">
        <v>1.89019131660461</v>
      </c>
      <c r="H1076">
        <v>8</v>
      </c>
      <c r="I1076">
        <v>8</v>
      </c>
      <c r="J1076">
        <v>30</v>
      </c>
    </row>
    <row r="1077" spans="1:10" x14ac:dyDescent="0.25">
      <c r="A1077" t="s">
        <v>10</v>
      </c>
      <c r="B1077" t="s">
        <v>21</v>
      </c>
      <c r="C1077" t="s">
        <v>18</v>
      </c>
      <c r="D1077" t="s">
        <v>13</v>
      </c>
      <c r="E1077">
        <v>1</v>
      </c>
      <c r="F1077">
        <v>0.99055247839444405</v>
      </c>
      <c r="G1077">
        <v>1.91847348213195</v>
      </c>
      <c r="H1077">
        <v>7</v>
      </c>
      <c r="I1077">
        <v>7</v>
      </c>
      <c r="J1077">
        <v>30</v>
      </c>
    </row>
    <row r="1078" spans="1:10" x14ac:dyDescent="0.25">
      <c r="A1078" t="s">
        <v>10</v>
      </c>
      <c r="B1078" t="s">
        <v>21</v>
      </c>
      <c r="C1078" t="s">
        <v>18</v>
      </c>
      <c r="D1078" t="s">
        <v>13</v>
      </c>
      <c r="E1078">
        <v>0.97222222222222199</v>
      </c>
      <c r="F1078">
        <v>0.96739975442500004</v>
      </c>
      <c r="G1078">
        <v>1.9365432262420601</v>
      </c>
      <c r="H1078">
        <v>8</v>
      </c>
      <c r="I1078">
        <v>8</v>
      </c>
      <c r="J1078">
        <v>30</v>
      </c>
    </row>
    <row r="1079" spans="1:10" x14ac:dyDescent="0.25">
      <c r="A1079" t="s">
        <v>10</v>
      </c>
      <c r="B1079" t="s">
        <v>21</v>
      </c>
      <c r="C1079" t="s">
        <v>18</v>
      </c>
      <c r="D1079" t="s">
        <v>13</v>
      </c>
      <c r="E1079">
        <v>0.97222222222222199</v>
      </c>
      <c r="F1079">
        <v>0.96449200008611102</v>
      </c>
      <c r="G1079">
        <v>1.9287312030792201</v>
      </c>
      <c r="H1079">
        <v>8</v>
      </c>
      <c r="I1079">
        <v>8</v>
      </c>
      <c r="J1079">
        <v>30</v>
      </c>
    </row>
    <row r="1080" spans="1:10" x14ac:dyDescent="0.25">
      <c r="A1080" t="s">
        <v>10</v>
      </c>
      <c r="B1080" t="s">
        <v>21</v>
      </c>
      <c r="C1080" t="s">
        <v>18</v>
      </c>
      <c r="D1080" t="s">
        <v>13</v>
      </c>
      <c r="E1080">
        <v>0.94444444444444398</v>
      </c>
      <c r="F1080">
        <v>0.94824501714444398</v>
      </c>
      <c r="G1080">
        <v>1.9410307407379099</v>
      </c>
      <c r="H1080">
        <v>7</v>
      </c>
      <c r="I1080">
        <v>7</v>
      </c>
      <c r="J1080">
        <v>30</v>
      </c>
    </row>
    <row r="1081" spans="1:10" x14ac:dyDescent="0.25">
      <c r="A1081" t="s">
        <v>10</v>
      </c>
      <c r="B1081" t="s">
        <v>21</v>
      </c>
      <c r="C1081" t="s">
        <v>18</v>
      </c>
      <c r="D1081" t="s">
        <v>13</v>
      </c>
      <c r="E1081">
        <v>0.94444444444444398</v>
      </c>
      <c r="F1081">
        <v>0.95508849176944399</v>
      </c>
      <c r="G1081">
        <v>1.9235315322875901</v>
      </c>
      <c r="H1081">
        <v>8</v>
      </c>
      <c r="I1081">
        <v>9</v>
      </c>
      <c r="J1081">
        <v>30</v>
      </c>
    </row>
    <row r="1082" spans="1:10" x14ac:dyDescent="0.25">
      <c r="A1082" t="s">
        <v>10</v>
      </c>
      <c r="B1082" t="s">
        <v>21</v>
      </c>
      <c r="C1082" t="s">
        <v>18</v>
      </c>
      <c r="D1082" t="s">
        <v>14</v>
      </c>
      <c r="E1082">
        <v>0.97222222222222199</v>
      </c>
      <c r="F1082">
        <v>0.97047685106944404</v>
      </c>
      <c r="G1082">
        <v>0.54501581192016602</v>
      </c>
      <c r="H1082">
        <v>7</v>
      </c>
      <c r="I1082">
        <v>7</v>
      </c>
      <c r="J1082">
        <v>30</v>
      </c>
    </row>
    <row r="1083" spans="1:10" x14ac:dyDescent="0.25">
      <c r="A1083" t="s">
        <v>10</v>
      </c>
      <c r="B1083" t="s">
        <v>21</v>
      </c>
      <c r="C1083" t="s">
        <v>18</v>
      </c>
      <c r="D1083" t="s">
        <v>14</v>
      </c>
      <c r="E1083">
        <v>0.97222222222222199</v>
      </c>
      <c r="F1083">
        <v>0.96685216041111099</v>
      </c>
      <c r="G1083">
        <v>0.62583494186401301</v>
      </c>
      <c r="H1083">
        <v>7</v>
      </c>
      <c r="I1083">
        <v>7</v>
      </c>
      <c r="J1083">
        <v>30</v>
      </c>
    </row>
    <row r="1084" spans="1:10" x14ac:dyDescent="0.25">
      <c r="A1084" t="s">
        <v>10</v>
      </c>
      <c r="B1084" t="s">
        <v>21</v>
      </c>
      <c r="C1084" t="s">
        <v>18</v>
      </c>
      <c r="D1084" t="s">
        <v>14</v>
      </c>
      <c r="E1084">
        <v>0.97222222222222199</v>
      </c>
      <c r="F1084">
        <v>0.96546553554444403</v>
      </c>
      <c r="G1084">
        <v>0.67269706726074197</v>
      </c>
      <c r="H1084">
        <v>7</v>
      </c>
      <c r="I1084">
        <v>7</v>
      </c>
      <c r="J1084">
        <v>30</v>
      </c>
    </row>
    <row r="1085" spans="1:10" x14ac:dyDescent="0.25">
      <c r="A1085" t="s">
        <v>10</v>
      </c>
      <c r="B1085" t="s">
        <v>21</v>
      </c>
      <c r="C1085" t="s">
        <v>18</v>
      </c>
      <c r="D1085" t="s">
        <v>14</v>
      </c>
      <c r="E1085">
        <v>0.88888888888888795</v>
      </c>
      <c r="F1085">
        <v>0.91464002417500001</v>
      </c>
      <c r="G1085">
        <v>0.72068595886230402</v>
      </c>
      <c r="H1085">
        <v>6</v>
      </c>
      <c r="I1085">
        <v>6</v>
      </c>
      <c r="J1085">
        <v>30</v>
      </c>
    </row>
    <row r="1086" spans="1:10" x14ac:dyDescent="0.25">
      <c r="A1086" t="s">
        <v>10</v>
      </c>
      <c r="B1086" t="s">
        <v>21</v>
      </c>
      <c r="C1086" t="s">
        <v>18</v>
      </c>
      <c r="D1086" t="s">
        <v>14</v>
      </c>
      <c r="E1086">
        <v>0.97222222222222199</v>
      </c>
      <c r="F1086">
        <v>0.96569337106111097</v>
      </c>
      <c r="G1086">
        <v>0.73919081687927202</v>
      </c>
      <c r="H1086">
        <v>7</v>
      </c>
      <c r="I1086">
        <v>7</v>
      </c>
      <c r="J1086">
        <v>30</v>
      </c>
    </row>
    <row r="1087" spans="1:10" x14ac:dyDescent="0.25">
      <c r="A1087" t="s">
        <v>10</v>
      </c>
      <c r="B1087" t="s">
        <v>21</v>
      </c>
      <c r="C1087" t="s">
        <v>18</v>
      </c>
      <c r="D1087" t="s">
        <v>14</v>
      </c>
      <c r="E1087">
        <v>0.94444444444444398</v>
      </c>
      <c r="F1087">
        <v>0.95466682787500001</v>
      </c>
      <c r="G1087">
        <v>0.76102375984191895</v>
      </c>
      <c r="H1087">
        <v>6</v>
      </c>
      <c r="I1087">
        <v>6</v>
      </c>
      <c r="J1087">
        <v>30</v>
      </c>
    </row>
    <row r="1088" spans="1:10" x14ac:dyDescent="0.25">
      <c r="A1088" t="s">
        <v>10</v>
      </c>
      <c r="B1088" t="s">
        <v>21</v>
      </c>
      <c r="C1088" t="s">
        <v>18</v>
      </c>
      <c r="D1088" t="s">
        <v>14</v>
      </c>
      <c r="E1088">
        <v>0.97222222222222199</v>
      </c>
      <c r="F1088">
        <v>0.95374440764722201</v>
      </c>
      <c r="G1088">
        <v>0.76609063148498502</v>
      </c>
      <c r="H1088">
        <v>7</v>
      </c>
      <c r="I1088">
        <v>7</v>
      </c>
      <c r="J1088">
        <v>30</v>
      </c>
    </row>
    <row r="1089" spans="1:10" x14ac:dyDescent="0.25">
      <c r="A1089" t="s">
        <v>10</v>
      </c>
      <c r="B1089" t="s">
        <v>21</v>
      </c>
      <c r="C1089" t="s">
        <v>18</v>
      </c>
      <c r="D1089" t="s">
        <v>14</v>
      </c>
      <c r="E1089">
        <v>0.91666666666666596</v>
      </c>
      <c r="F1089">
        <v>0.92915261641111102</v>
      </c>
      <c r="G1089">
        <v>0.76307487487792902</v>
      </c>
      <c r="H1089">
        <v>6</v>
      </c>
      <c r="I1089">
        <v>6</v>
      </c>
      <c r="J1089">
        <v>30</v>
      </c>
    </row>
    <row r="1090" spans="1:10" x14ac:dyDescent="0.25">
      <c r="A1090" t="s">
        <v>10</v>
      </c>
      <c r="B1090" t="s">
        <v>21</v>
      </c>
      <c r="C1090" t="s">
        <v>18</v>
      </c>
      <c r="D1090" t="s">
        <v>14</v>
      </c>
      <c r="E1090">
        <v>0.97222222222222199</v>
      </c>
      <c r="F1090">
        <v>0.96462647415833302</v>
      </c>
      <c r="G1090">
        <v>0.79234027862548795</v>
      </c>
      <c r="H1090">
        <v>7</v>
      </c>
      <c r="I1090">
        <v>7</v>
      </c>
      <c r="J1090">
        <v>30</v>
      </c>
    </row>
    <row r="1091" spans="1:10" x14ac:dyDescent="0.25">
      <c r="A1091" t="s">
        <v>10</v>
      </c>
      <c r="B1091" t="s">
        <v>21</v>
      </c>
      <c r="C1091" t="s">
        <v>18</v>
      </c>
      <c r="D1091" t="s">
        <v>14</v>
      </c>
      <c r="E1091">
        <v>0.97222222222222199</v>
      </c>
      <c r="F1091">
        <v>0.96986005188333302</v>
      </c>
      <c r="G1091">
        <v>0.79588794708251898</v>
      </c>
      <c r="H1091">
        <v>7</v>
      </c>
      <c r="I1091">
        <v>7</v>
      </c>
      <c r="J1091">
        <v>30</v>
      </c>
    </row>
    <row r="1092" spans="1:10" x14ac:dyDescent="0.25">
      <c r="A1092" t="s">
        <v>10</v>
      </c>
      <c r="B1092" t="s">
        <v>21</v>
      </c>
      <c r="C1092" t="s">
        <v>18</v>
      </c>
      <c r="D1092" t="s">
        <v>14</v>
      </c>
      <c r="E1092">
        <v>1</v>
      </c>
      <c r="F1092">
        <v>0.97445021797499998</v>
      </c>
      <c r="G1092">
        <v>0.82358288764953602</v>
      </c>
      <c r="H1092">
        <v>8</v>
      </c>
      <c r="I1092">
        <v>8</v>
      </c>
      <c r="J1092">
        <v>30</v>
      </c>
    </row>
    <row r="1093" spans="1:10" x14ac:dyDescent="0.25">
      <c r="A1093" t="s">
        <v>10</v>
      </c>
      <c r="B1093" t="s">
        <v>21</v>
      </c>
      <c r="C1093" t="s">
        <v>18</v>
      </c>
      <c r="D1093" t="s">
        <v>14</v>
      </c>
      <c r="E1093">
        <v>0.97222222222222199</v>
      </c>
      <c r="F1093">
        <v>0.97131256306111102</v>
      </c>
      <c r="G1093">
        <v>0.842959403991699</v>
      </c>
      <c r="H1093">
        <v>7</v>
      </c>
      <c r="I1093">
        <v>7</v>
      </c>
      <c r="J1093">
        <v>30</v>
      </c>
    </row>
    <row r="1094" spans="1:10" x14ac:dyDescent="0.25">
      <c r="A1094" t="s">
        <v>10</v>
      </c>
      <c r="B1094" t="s">
        <v>21</v>
      </c>
      <c r="C1094" t="s">
        <v>18</v>
      </c>
      <c r="D1094" t="s">
        <v>14</v>
      </c>
      <c r="E1094">
        <v>1</v>
      </c>
      <c r="F1094">
        <v>0.97955423903333305</v>
      </c>
      <c r="G1094">
        <v>0.90646719932556097</v>
      </c>
      <c r="H1094">
        <v>7</v>
      </c>
      <c r="I1094">
        <v>7</v>
      </c>
      <c r="J1094">
        <v>30</v>
      </c>
    </row>
    <row r="1095" spans="1:10" x14ac:dyDescent="0.25">
      <c r="A1095" t="s">
        <v>10</v>
      </c>
      <c r="B1095" t="s">
        <v>21</v>
      </c>
      <c r="C1095" t="s">
        <v>18</v>
      </c>
      <c r="D1095" t="s">
        <v>14</v>
      </c>
      <c r="E1095">
        <v>0.86111111111111105</v>
      </c>
      <c r="F1095">
        <v>0.87567901784444402</v>
      </c>
      <c r="G1095">
        <v>0.92108750343322698</v>
      </c>
      <c r="H1095">
        <v>7</v>
      </c>
      <c r="I1095">
        <v>7</v>
      </c>
      <c r="J1095">
        <v>30</v>
      </c>
    </row>
    <row r="1096" spans="1:10" x14ac:dyDescent="0.25">
      <c r="A1096" t="s">
        <v>10</v>
      </c>
      <c r="B1096" t="s">
        <v>21</v>
      </c>
      <c r="C1096" t="s">
        <v>18</v>
      </c>
      <c r="D1096" t="s">
        <v>14</v>
      </c>
      <c r="E1096">
        <v>0.94444444444444398</v>
      </c>
      <c r="F1096">
        <v>0.95801928309722195</v>
      </c>
      <c r="G1096">
        <v>0.92872858047485296</v>
      </c>
      <c r="H1096">
        <v>7</v>
      </c>
      <c r="I1096">
        <v>7</v>
      </c>
      <c r="J1096">
        <v>30</v>
      </c>
    </row>
    <row r="1097" spans="1:10" x14ac:dyDescent="0.25">
      <c r="A1097" t="s">
        <v>10</v>
      </c>
      <c r="B1097" t="s">
        <v>21</v>
      </c>
      <c r="C1097" t="s">
        <v>18</v>
      </c>
      <c r="D1097" t="s">
        <v>14</v>
      </c>
      <c r="E1097">
        <v>0.91666666666666596</v>
      </c>
      <c r="F1097">
        <v>0.92156982394999998</v>
      </c>
      <c r="G1097">
        <v>0.96512365341186501</v>
      </c>
      <c r="H1097">
        <v>7</v>
      </c>
      <c r="I1097">
        <v>7</v>
      </c>
      <c r="J1097">
        <v>30</v>
      </c>
    </row>
    <row r="1098" spans="1:10" x14ac:dyDescent="0.25">
      <c r="A1098" t="s">
        <v>10</v>
      </c>
      <c r="B1098" t="s">
        <v>21</v>
      </c>
      <c r="C1098" t="s">
        <v>18</v>
      </c>
      <c r="D1098" t="s">
        <v>14</v>
      </c>
      <c r="E1098">
        <v>0.97222222222222199</v>
      </c>
      <c r="F1098">
        <v>0.96721300185000003</v>
      </c>
      <c r="G1098">
        <v>0.97834753990173295</v>
      </c>
      <c r="H1098">
        <v>7</v>
      </c>
      <c r="I1098">
        <v>7</v>
      </c>
      <c r="J1098">
        <v>30</v>
      </c>
    </row>
    <row r="1099" spans="1:10" x14ac:dyDescent="0.25">
      <c r="A1099" t="s">
        <v>10</v>
      </c>
      <c r="B1099" t="s">
        <v>21</v>
      </c>
      <c r="C1099" t="s">
        <v>18</v>
      </c>
      <c r="D1099" t="s">
        <v>14</v>
      </c>
      <c r="E1099">
        <v>0.88888888888888795</v>
      </c>
      <c r="F1099">
        <v>0.90516057727499999</v>
      </c>
      <c r="G1099">
        <v>0.97978425025939897</v>
      </c>
      <c r="H1099">
        <v>6</v>
      </c>
      <c r="I1099">
        <v>6</v>
      </c>
      <c r="J1099">
        <v>30</v>
      </c>
    </row>
    <row r="1100" spans="1:10" x14ac:dyDescent="0.25">
      <c r="A1100" t="s">
        <v>10</v>
      </c>
      <c r="B1100" t="s">
        <v>21</v>
      </c>
      <c r="C1100" t="s">
        <v>18</v>
      </c>
      <c r="D1100" t="s">
        <v>14</v>
      </c>
      <c r="E1100">
        <v>0.88888888888888795</v>
      </c>
      <c r="F1100">
        <v>0.91280945230277699</v>
      </c>
      <c r="G1100">
        <v>0.99785137176513605</v>
      </c>
      <c r="H1100">
        <v>7</v>
      </c>
      <c r="I1100">
        <v>7</v>
      </c>
      <c r="J1100">
        <v>30</v>
      </c>
    </row>
    <row r="1101" spans="1:10" x14ac:dyDescent="0.25">
      <c r="A1101" t="s">
        <v>10</v>
      </c>
      <c r="B1101" t="s">
        <v>21</v>
      </c>
      <c r="C1101" t="s">
        <v>18</v>
      </c>
      <c r="D1101" t="s">
        <v>14</v>
      </c>
      <c r="E1101">
        <v>0.97222222222222199</v>
      </c>
      <c r="F1101">
        <v>0.96127430278611103</v>
      </c>
      <c r="G1101">
        <v>1.01782798767089</v>
      </c>
      <c r="H1101">
        <v>9</v>
      </c>
      <c r="I1101">
        <v>9</v>
      </c>
      <c r="J1101">
        <v>30</v>
      </c>
    </row>
    <row r="1102" spans="1:10" x14ac:dyDescent="0.25">
      <c r="A1102" t="s">
        <v>10</v>
      </c>
      <c r="B1102" t="s">
        <v>21</v>
      </c>
      <c r="C1102" t="s">
        <v>18</v>
      </c>
      <c r="D1102" t="s">
        <v>14</v>
      </c>
      <c r="E1102">
        <v>0.97222222222222199</v>
      </c>
      <c r="F1102">
        <v>0.98062551712222201</v>
      </c>
      <c r="G1102">
        <v>1.0227687358856199</v>
      </c>
      <c r="H1102">
        <v>7</v>
      </c>
      <c r="I1102">
        <v>7</v>
      </c>
      <c r="J1102">
        <v>30</v>
      </c>
    </row>
    <row r="1103" spans="1:10" x14ac:dyDescent="0.25">
      <c r="A1103" t="s">
        <v>10</v>
      </c>
      <c r="B1103" t="s">
        <v>21</v>
      </c>
      <c r="C1103" t="s">
        <v>18</v>
      </c>
      <c r="D1103" t="s">
        <v>14</v>
      </c>
      <c r="E1103">
        <v>0.97222222222222199</v>
      </c>
      <c r="F1103">
        <v>0.96767355038888803</v>
      </c>
      <c r="G1103">
        <v>1.0374014377593901</v>
      </c>
      <c r="H1103">
        <v>7</v>
      </c>
      <c r="I1103">
        <v>7</v>
      </c>
      <c r="J1103">
        <v>30</v>
      </c>
    </row>
    <row r="1104" spans="1:10" x14ac:dyDescent="0.25">
      <c r="A1104" t="s">
        <v>10</v>
      </c>
      <c r="B1104" t="s">
        <v>21</v>
      </c>
      <c r="C1104" t="s">
        <v>18</v>
      </c>
      <c r="D1104" t="s">
        <v>14</v>
      </c>
      <c r="E1104">
        <v>0.91666666666666596</v>
      </c>
      <c r="F1104">
        <v>0.91696236808055498</v>
      </c>
      <c r="G1104">
        <v>1.06279850006103</v>
      </c>
      <c r="H1104">
        <v>7</v>
      </c>
      <c r="I1104">
        <v>7</v>
      </c>
      <c r="J1104">
        <v>30</v>
      </c>
    </row>
    <row r="1105" spans="1:10" x14ac:dyDescent="0.25">
      <c r="A1105" t="s">
        <v>10</v>
      </c>
      <c r="B1105" t="s">
        <v>21</v>
      </c>
      <c r="C1105" t="s">
        <v>18</v>
      </c>
      <c r="D1105" t="s">
        <v>14</v>
      </c>
      <c r="E1105">
        <v>0.88888888888888795</v>
      </c>
      <c r="F1105">
        <v>0.90331628491111104</v>
      </c>
      <c r="G1105">
        <v>1.0684330463409399</v>
      </c>
      <c r="H1105">
        <v>6</v>
      </c>
      <c r="I1105">
        <v>6</v>
      </c>
      <c r="J1105">
        <v>30</v>
      </c>
    </row>
    <row r="1106" spans="1:10" x14ac:dyDescent="0.25">
      <c r="A1106" t="s">
        <v>10</v>
      </c>
      <c r="B1106" t="s">
        <v>21</v>
      </c>
      <c r="C1106" t="s">
        <v>18</v>
      </c>
      <c r="D1106" t="s">
        <v>14</v>
      </c>
      <c r="E1106">
        <v>0.97222222222222199</v>
      </c>
      <c r="F1106">
        <v>0.96599569253055495</v>
      </c>
      <c r="G1106">
        <v>1.0927772521972601</v>
      </c>
      <c r="H1106">
        <v>7</v>
      </c>
      <c r="I1106">
        <v>7</v>
      </c>
      <c r="J1106">
        <v>30</v>
      </c>
    </row>
    <row r="1107" spans="1:10" x14ac:dyDescent="0.25">
      <c r="A1107" t="s">
        <v>10</v>
      </c>
      <c r="B1107" t="s">
        <v>21</v>
      </c>
      <c r="C1107" t="s">
        <v>18</v>
      </c>
      <c r="D1107" t="s">
        <v>14</v>
      </c>
      <c r="E1107">
        <v>0.94444444444444398</v>
      </c>
      <c r="F1107">
        <v>0.943818459738888</v>
      </c>
      <c r="G1107">
        <v>1.0813891887664699</v>
      </c>
      <c r="H1107">
        <v>7</v>
      </c>
      <c r="I1107">
        <v>7</v>
      </c>
      <c r="J1107">
        <v>30</v>
      </c>
    </row>
    <row r="1108" spans="1:10" x14ac:dyDescent="0.25">
      <c r="A1108" t="s">
        <v>10</v>
      </c>
      <c r="B1108" t="s">
        <v>21</v>
      </c>
      <c r="C1108" t="s">
        <v>18</v>
      </c>
      <c r="D1108" t="s">
        <v>14</v>
      </c>
      <c r="E1108">
        <v>0.97222222222222199</v>
      </c>
      <c r="F1108">
        <v>0.96688179625277704</v>
      </c>
      <c r="G1108">
        <v>1.09276247024536</v>
      </c>
      <c r="H1108">
        <v>7</v>
      </c>
      <c r="I1108">
        <v>7</v>
      </c>
      <c r="J1108">
        <v>30</v>
      </c>
    </row>
    <row r="1109" spans="1:10" x14ac:dyDescent="0.25">
      <c r="A1109" t="s">
        <v>10</v>
      </c>
      <c r="B1109" t="s">
        <v>21</v>
      </c>
      <c r="C1109" t="s">
        <v>18</v>
      </c>
      <c r="D1109" t="s">
        <v>14</v>
      </c>
      <c r="E1109">
        <v>0.94444444444444398</v>
      </c>
      <c r="F1109">
        <v>0.92247151587777698</v>
      </c>
      <c r="G1109">
        <v>1.0852530002593901</v>
      </c>
      <c r="H1109">
        <v>7</v>
      </c>
      <c r="I1109">
        <v>7</v>
      </c>
      <c r="J1109">
        <v>30</v>
      </c>
    </row>
    <row r="1110" spans="1:10" x14ac:dyDescent="0.25">
      <c r="A1110" t="s">
        <v>10</v>
      </c>
      <c r="B1110" t="s">
        <v>21</v>
      </c>
      <c r="C1110" t="s">
        <v>18</v>
      </c>
      <c r="D1110" t="s">
        <v>14</v>
      </c>
      <c r="E1110">
        <v>0.94444444444444398</v>
      </c>
      <c r="F1110">
        <v>0.94621692850000005</v>
      </c>
      <c r="G1110">
        <v>1.0673031806945801</v>
      </c>
      <c r="H1110">
        <v>7</v>
      </c>
      <c r="I1110">
        <v>7</v>
      </c>
      <c r="J1110">
        <v>30</v>
      </c>
    </row>
    <row r="1111" spans="1:10" x14ac:dyDescent="0.25">
      <c r="A1111" t="s">
        <v>10</v>
      </c>
      <c r="B1111" t="s">
        <v>21</v>
      </c>
      <c r="C1111" t="s">
        <v>18</v>
      </c>
      <c r="D1111" t="s">
        <v>14</v>
      </c>
      <c r="E1111">
        <v>0.94444444444444398</v>
      </c>
      <c r="F1111">
        <v>0.95089424292777702</v>
      </c>
      <c r="G1111">
        <v>1.0892539024353001</v>
      </c>
      <c r="H1111">
        <v>7</v>
      </c>
      <c r="I1111">
        <v>7</v>
      </c>
      <c r="J1111">
        <v>30</v>
      </c>
    </row>
    <row r="1112" spans="1:10" x14ac:dyDescent="0.25">
      <c r="A1112" t="s">
        <v>10</v>
      </c>
      <c r="B1112" t="s">
        <v>21</v>
      </c>
      <c r="C1112" t="s">
        <v>18</v>
      </c>
      <c r="D1112" t="s">
        <v>15</v>
      </c>
      <c r="E1112">
        <v>0</v>
      </c>
      <c r="F1112">
        <v>0.75</v>
      </c>
      <c r="G1112">
        <v>3.2061567306518501</v>
      </c>
      <c r="H1112">
        <v>2</v>
      </c>
      <c r="I1112">
        <v>6</v>
      </c>
      <c r="J1112">
        <v>30</v>
      </c>
    </row>
    <row r="1113" spans="1:10" x14ac:dyDescent="0.25">
      <c r="A1113" t="s">
        <v>10</v>
      </c>
      <c r="B1113" t="s">
        <v>21</v>
      </c>
      <c r="C1113" t="s">
        <v>18</v>
      </c>
      <c r="D1113" t="s">
        <v>15</v>
      </c>
      <c r="E1113">
        <v>0</v>
      </c>
      <c r="F1113">
        <v>0.75</v>
      </c>
      <c r="G1113">
        <v>3.9398810863494802</v>
      </c>
      <c r="H1113">
        <v>2</v>
      </c>
      <c r="I1113">
        <v>6</v>
      </c>
      <c r="J1113">
        <v>30</v>
      </c>
    </row>
    <row r="1114" spans="1:10" x14ac:dyDescent="0.25">
      <c r="A1114" t="s">
        <v>10</v>
      </c>
      <c r="B1114" t="s">
        <v>21</v>
      </c>
      <c r="C1114" t="s">
        <v>18</v>
      </c>
      <c r="D1114" t="s">
        <v>15</v>
      </c>
      <c r="E1114">
        <v>0</v>
      </c>
      <c r="F1114">
        <v>0.75</v>
      </c>
      <c r="G1114">
        <v>4.7711977958679199</v>
      </c>
      <c r="H1114">
        <v>2</v>
      </c>
      <c r="I1114">
        <v>7</v>
      </c>
      <c r="J1114">
        <v>30</v>
      </c>
    </row>
    <row r="1115" spans="1:10" x14ac:dyDescent="0.25">
      <c r="A1115" t="s">
        <v>10</v>
      </c>
      <c r="B1115" t="s">
        <v>21</v>
      </c>
      <c r="C1115" t="s">
        <v>18</v>
      </c>
      <c r="D1115" t="s">
        <v>15</v>
      </c>
      <c r="E1115">
        <v>0</v>
      </c>
      <c r="F1115">
        <v>0.75</v>
      </c>
      <c r="G1115">
        <v>5.1710219383239702</v>
      </c>
      <c r="H1115">
        <v>2</v>
      </c>
      <c r="I1115">
        <v>7</v>
      </c>
      <c r="J1115">
        <v>30</v>
      </c>
    </row>
    <row r="1116" spans="1:10" x14ac:dyDescent="0.25">
      <c r="A1116" t="s">
        <v>10</v>
      </c>
      <c r="B1116" t="s">
        <v>21</v>
      </c>
      <c r="C1116" t="s">
        <v>18</v>
      </c>
      <c r="D1116" t="s">
        <v>15</v>
      </c>
      <c r="E1116">
        <v>5.5555555555555497E-2</v>
      </c>
      <c r="F1116">
        <v>0.75263888888888797</v>
      </c>
      <c r="G1116">
        <v>5.6722824573516801</v>
      </c>
      <c r="H1116">
        <v>3</v>
      </c>
      <c r="I1116">
        <v>9</v>
      </c>
      <c r="J1116">
        <v>30</v>
      </c>
    </row>
    <row r="1117" spans="1:10" x14ac:dyDescent="0.25">
      <c r="A1117" t="s">
        <v>10</v>
      </c>
      <c r="B1117" t="s">
        <v>21</v>
      </c>
      <c r="C1117" t="s">
        <v>18</v>
      </c>
      <c r="D1117" t="s">
        <v>15</v>
      </c>
      <c r="E1117">
        <v>2.77777777777777E-2</v>
      </c>
      <c r="F1117">
        <v>0.75131944444444398</v>
      </c>
      <c r="G1117">
        <v>5.7428643703460596</v>
      </c>
      <c r="H1117">
        <v>4</v>
      </c>
      <c r="I1117">
        <v>11</v>
      </c>
      <c r="J1117">
        <v>30</v>
      </c>
    </row>
    <row r="1118" spans="1:10" x14ac:dyDescent="0.25">
      <c r="A1118" t="s">
        <v>10</v>
      </c>
      <c r="B1118" t="s">
        <v>21</v>
      </c>
      <c r="C1118" t="s">
        <v>18</v>
      </c>
      <c r="D1118" t="s">
        <v>15</v>
      </c>
      <c r="E1118">
        <v>5.5555555555555497E-2</v>
      </c>
      <c r="F1118">
        <v>0.75263888888888797</v>
      </c>
      <c r="G1118">
        <v>6.4261944293975803</v>
      </c>
      <c r="H1118">
        <v>1</v>
      </c>
      <c r="I1118">
        <v>3</v>
      </c>
      <c r="J1118">
        <v>30</v>
      </c>
    </row>
    <row r="1119" spans="1:10" x14ac:dyDescent="0.25">
      <c r="A1119" t="s">
        <v>10</v>
      </c>
      <c r="B1119" t="s">
        <v>21</v>
      </c>
      <c r="C1119" t="s">
        <v>18</v>
      </c>
      <c r="D1119" t="s">
        <v>15</v>
      </c>
      <c r="E1119">
        <v>0</v>
      </c>
      <c r="F1119">
        <v>0.75</v>
      </c>
      <c r="G1119">
        <v>8.6665959358215297</v>
      </c>
      <c r="H1119">
        <v>5</v>
      </c>
      <c r="I1119">
        <v>11</v>
      </c>
      <c r="J1119">
        <v>30</v>
      </c>
    </row>
    <row r="1120" spans="1:10" x14ac:dyDescent="0.25">
      <c r="A1120" t="s">
        <v>10</v>
      </c>
      <c r="B1120" t="s">
        <v>21</v>
      </c>
      <c r="C1120" t="s">
        <v>18</v>
      </c>
      <c r="D1120" t="s">
        <v>15</v>
      </c>
      <c r="E1120">
        <v>2.77777777777777E-2</v>
      </c>
      <c r="F1120">
        <v>0.75131944444444398</v>
      </c>
      <c r="G1120">
        <v>9.1192791461944491</v>
      </c>
      <c r="H1120">
        <v>4</v>
      </c>
      <c r="I1120">
        <v>13</v>
      </c>
      <c r="J1120">
        <v>30</v>
      </c>
    </row>
    <row r="1121" spans="1:10" x14ac:dyDescent="0.25">
      <c r="A1121" t="s">
        <v>10</v>
      </c>
      <c r="B1121" t="s">
        <v>21</v>
      </c>
      <c r="C1121" t="s">
        <v>18</v>
      </c>
      <c r="D1121" t="s">
        <v>15</v>
      </c>
      <c r="E1121">
        <v>0</v>
      </c>
      <c r="F1121">
        <v>0.75</v>
      </c>
      <c r="G1121">
        <v>9.6032047271728498</v>
      </c>
      <c r="H1121">
        <v>5</v>
      </c>
      <c r="I1121">
        <v>13</v>
      </c>
      <c r="J1121">
        <v>30</v>
      </c>
    </row>
    <row r="1122" spans="1:10" x14ac:dyDescent="0.25">
      <c r="A1122" t="s">
        <v>10</v>
      </c>
      <c r="B1122" t="s">
        <v>21</v>
      </c>
      <c r="C1122" t="s">
        <v>18</v>
      </c>
      <c r="D1122" t="s">
        <v>15</v>
      </c>
      <c r="E1122">
        <v>5.5555555555555497E-2</v>
      </c>
      <c r="F1122">
        <v>0.75263888888888797</v>
      </c>
      <c r="G1122">
        <v>10.0917420387268</v>
      </c>
      <c r="H1122">
        <v>6</v>
      </c>
      <c r="I1122">
        <v>15</v>
      </c>
      <c r="J1122">
        <v>30</v>
      </c>
    </row>
    <row r="1123" spans="1:10" x14ac:dyDescent="0.25">
      <c r="A1123" t="s">
        <v>10</v>
      </c>
      <c r="B1123" t="s">
        <v>21</v>
      </c>
      <c r="C1123" t="s">
        <v>18</v>
      </c>
      <c r="D1123" t="s">
        <v>15</v>
      </c>
      <c r="E1123">
        <v>0</v>
      </c>
      <c r="F1123">
        <v>0.75</v>
      </c>
      <c r="G1123">
        <v>10.4449863433837</v>
      </c>
      <c r="H1123">
        <v>9</v>
      </c>
      <c r="I1123">
        <v>26</v>
      </c>
      <c r="J1123">
        <v>30</v>
      </c>
    </row>
    <row r="1124" spans="1:10" x14ac:dyDescent="0.25">
      <c r="A1124" t="s">
        <v>10</v>
      </c>
      <c r="B1124" t="s">
        <v>21</v>
      </c>
      <c r="C1124" t="s">
        <v>18</v>
      </c>
      <c r="D1124" t="s">
        <v>15</v>
      </c>
      <c r="E1124">
        <v>5.5555555555555497E-2</v>
      </c>
      <c r="F1124">
        <v>0.75118055555555496</v>
      </c>
      <c r="G1124">
        <v>11.192137956619201</v>
      </c>
      <c r="H1124">
        <v>8</v>
      </c>
      <c r="I1124">
        <v>24</v>
      </c>
      <c r="J1124">
        <v>30</v>
      </c>
    </row>
    <row r="1125" spans="1:10" x14ac:dyDescent="0.25">
      <c r="A1125" t="s">
        <v>10</v>
      </c>
      <c r="B1125" t="s">
        <v>21</v>
      </c>
      <c r="C1125" t="s">
        <v>18</v>
      </c>
      <c r="D1125" t="s">
        <v>15</v>
      </c>
      <c r="E1125">
        <v>0</v>
      </c>
      <c r="F1125">
        <v>0.75</v>
      </c>
      <c r="G1125">
        <v>11.7988691329956</v>
      </c>
      <c r="H1125">
        <v>9</v>
      </c>
      <c r="I1125">
        <v>30</v>
      </c>
      <c r="J1125">
        <v>30</v>
      </c>
    </row>
    <row r="1126" spans="1:10" x14ac:dyDescent="0.25">
      <c r="A1126" t="s">
        <v>10</v>
      </c>
      <c r="B1126" t="s">
        <v>21</v>
      </c>
      <c r="C1126" t="s">
        <v>18</v>
      </c>
      <c r="D1126" t="s">
        <v>15</v>
      </c>
      <c r="E1126">
        <v>5.5555555555555497E-2</v>
      </c>
      <c r="F1126">
        <v>0.75263888888888797</v>
      </c>
      <c r="G1126">
        <v>12.952817916870099</v>
      </c>
      <c r="H1126">
        <v>9</v>
      </c>
      <c r="I1126">
        <v>28</v>
      </c>
      <c r="J1126">
        <v>30</v>
      </c>
    </row>
    <row r="1127" spans="1:10" x14ac:dyDescent="0.25">
      <c r="A1127" t="s">
        <v>10</v>
      </c>
      <c r="B1127" t="s">
        <v>21</v>
      </c>
      <c r="C1127" t="s">
        <v>18</v>
      </c>
      <c r="D1127" t="s">
        <v>15</v>
      </c>
      <c r="E1127">
        <v>0</v>
      </c>
      <c r="F1127">
        <v>0.75</v>
      </c>
      <c r="G1127">
        <v>13.720816612243601</v>
      </c>
      <c r="H1127">
        <v>8</v>
      </c>
      <c r="I1127">
        <v>22</v>
      </c>
      <c r="J1127">
        <v>30</v>
      </c>
    </row>
    <row r="1128" spans="1:10" x14ac:dyDescent="0.25">
      <c r="A1128" t="s">
        <v>10</v>
      </c>
      <c r="B1128" t="s">
        <v>21</v>
      </c>
      <c r="C1128" t="s">
        <v>18</v>
      </c>
      <c r="D1128" t="s">
        <v>15</v>
      </c>
      <c r="E1128">
        <v>2.77777777777777E-2</v>
      </c>
      <c r="F1128">
        <v>0.75131944444444398</v>
      </c>
      <c r="G1128">
        <v>13.787312030792201</v>
      </c>
      <c r="H1128">
        <v>8</v>
      </c>
      <c r="I1128">
        <v>22</v>
      </c>
      <c r="J1128">
        <v>30</v>
      </c>
    </row>
    <row r="1129" spans="1:10" x14ac:dyDescent="0.25">
      <c r="A1129" t="s">
        <v>10</v>
      </c>
      <c r="B1129" t="s">
        <v>21</v>
      </c>
      <c r="C1129" t="s">
        <v>18</v>
      </c>
      <c r="D1129" t="s">
        <v>15</v>
      </c>
      <c r="E1129">
        <v>0</v>
      </c>
      <c r="F1129">
        <v>0.75</v>
      </c>
      <c r="G1129">
        <v>14.2266781330108</v>
      </c>
      <c r="H1129">
        <v>3</v>
      </c>
      <c r="I1129">
        <v>10</v>
      </c>
      <c r="J1129">
        <v>30</v>
      </c>
    </row>
    <row r="1130" spans="1:10" x14ac:dyDescent="0.25">
      <c r="A1130" t="s">
        <v>10</v>
      </c>
      <c r="B1130" t="s">
        <v>21</v>
      </c>
      <c r="C1130" t="s">
        <v>18</v>
      </c>
      <c r="D1130" t="s">
        <v>15</v>
      </c>
      <c r="E1130">
        <v>2.77777777777777E-2</v>
      </c>
      <c r="F1130">
        <v>0.75131944444444398</v>
      </c>
      <c r="G1130">
        <v>14.7568991184234</v>
      </c>
      <c r="H1130">
        <v>7</v>
      </c>
      <c r="I1130">
        <v>21</v>
      </c>
      <c r="J1130">
        <v>30</v>
      </c>
    </row>
    <row r="1131" spans="1:10" x14ac:dyDescent="0.25">
      <c r="A1131" t="s">
        <v>10</v>
      </c>
      <c r="B1131" t="s">
        <v>21</v>
      </c>
      <c r="C1131" t="s">
        <v>18</v>
      </c>
      <c r="D1131" t="s">
        <v>15</v>
      </c>
      <c r="E1131">
        <v>5.5555555555555497E-2</v>
      </c>
      <c r="F1131">
        <v>0.75263888888888797</v>
      </c>
      <c r="G1131">
        <v>15.308503389358499</v>
      </c>
      <c r="H1131">
        <v>8</v>
      </c>
      <c r="I1131">
        <v>26</v>
      </c>
      <c r="J1131">
        <v>30</v>
      </c>
    </row>
    <row r="1132" spans="1:10" x14ac:dyDescent="0.25">
      <c r="A1132" t="s">
        <v>10</v>
      </c>
      <c r="B1132" t="s">
        <v>21</v>
      </c>
      <c r="C1132" t="s">
        <v>18</v>
      </c>
      <c r="D1132" t="s">
        <v>15</v>
      </c>
      <c r="E1132">
        <v>2.77777777777777E-2</v>
      </c>
      <c r="F1132">
        <v>0.75131944444444398</v>
      </c>
      <c r="G1132">
        <v>15.3710186481475</v>
      </c>
      <c r="H1132">
        <v>6</v>
      </c>
      <c r="I1132">
        <v>19</v>
      </c>
      <c r="J1132">
        <v>30</v>
      </c>
    </row>
    <row r="1133" spans="1:10" x14ac:dyDescent="0.25">
      <c r="A1133" t="s">
        <v>10</v>
      </c>
      <c r="B1133" t="s">
        <v>21</v>
      </c>
      <c r="C1133" t="s">
        <v>18</v>
      </c>
      <c r="D1133" t="s">
        <v>15</v>
      </c>
      <c r="E1133">
        <v>5.5555555555555497E-2</v>
      </c>
      <c r="F1133">
        <v>0.75263888888888797</v>
      </c>
      <c r="G1133">
        <v>15.894925832748401</v>
      </c>
      <c r="H1133">
        <v>7</v>
      </c>
      <c r="I1133">
        <v>30</v>
      </c>
      <c r="J1133">
        <v>30</v>
      </c>
    </row>
    <row r="1134" spans="1:10" x14ac:dyDescent="0.25">
      <c r="A1134" t="s">
        <v>10</v>
      </c>
      <c r="B1134" t="s">
        <v>21</v>
      </c>
      <c r="C1134" t="s">
        <v>18</v>
      </c>
      <c r="D1134" t="s">
        <v>15</v>
      </c>
      <c r="E1134">
        <v>0</v>
      </c>
      <c r="F1134">
        <v>0.74854166666666599</v>
      </c>
      <c r="G1134">
        <v>16.223945140838602</v>
      </c>
      <c r="H1134">
        <v>10</v>
      </c>
      <c r="I1134">
        <v>34</v>
      </c>
      <c r="J1134">
        <v>30</v>
      </c>
    </row>
    <row r="1135" spans="1:10" x14ac:dyDescent="0.25">
      <c r="A1135" t="s">
        <v>10</v>
      </c>
      <c r="B1135" t="s">
        <v>21</v>
      </c>
      <c r="C1135" t="s">
        <v>18</v>
      </c>
      <c r="D1135" t="s">
        <v>15</v>
      </c>
      <c r="E1135">
        <v>0</v>
      </c>
      <c r="F1135">
        <v>0.75</v>
      </c>
      <c r="G1135">
        <v>17.3520634174346</v>
      </c>
      <c r="H1135">
        <v>8</v>
      </c>
      <c r="I1135">
        <v>32</v>
      </c>
      <c r="J1135">
        <v>30</v>
      </c>
    </row>
    <row r="1136" spans="1:10" x14ac:dyDescent="0.25">
      <c r="A1136" t="s">
        <v>10</v>
      </c>
      <c r="B1136" t="s">
        <v>21</v>
      </c>
      <c r="C1136" t="s">
        <v>18</v>
      </c>
      <c r="D1136" t="s">
        <v>15</v>
      </c>
      <c r="E1136">
        <v>2.77777777777777E-2</v>
      </c>
      <c r="F1136">
        <v>0.75131944444444398</v>
      </c>
      <c r="G1136">
        <v>17.379444837570102</v>
      </c>
      <c r="H1136">
        <v>10</v>
      </c>
      <c r="I1136">
        <v>36</v>
      </c>
      <c r="J1136">
        <v>30</v>
      </c>
    </row>
    <row r="1137" spans="1:10" x14ac:dyDescent="0.25">
      <c r="A1137" t="s">
        <v>10</v>
      </c>
      <c r="B1137" t="s">
        <v>21</v>
      </c>
      <c r="C1137" t="s">
        <v>18</v>
      </c>
      <c r="D1137" t="s">
        <v>15</v>
      </c>
      <c r="E1137">
        <v>8.3333333333333301E-2</v>
      </c>
      <c r="F1137">
        <v>0.75395833333333295</v>
      </c>
      <c r="G1137">
        <v>19.319194793701101</v>
      </c>
      <c r="H1137">
        <v>8</v>
      </c>
      <c r="I1137">
        <v>34</v>
      </c>
      <c r="J1137">
        <v>30</v>
      </c>
    </row>
    <row r="1138" spans="1:10" x14ac:dyDescent="0.25">
      <c r="A1138" t="s">
        <v>10</v>
      </c>
      <c r="B1138" t="s">
        <v>21</v>
      </c>
      <c r="C1138" t="s">
        <v>18</v>
      </c>
      <c r="D1138" t="s">
        <v>15</v>
      </c>
      <c r="E1138">
        <v>5.5555555555555497E-2</v>
      </c>
      <c r="F1138">
        <v>0.75263888888888797</v>
      </c>
      <c r="G1138">
        <v>19.426930665969799</v>
      </c>
      <c r="H1138">
        <v>8</v>
      </c>
      <c r="I1138">
        <v>32</v>
      </c>
      <c r="J1138">
        <v>30</v>
      </c>
    </row>
    <row r="1139" spans="1:10" x14ac:dyDescent="0.25">
      <c r="A1139" t="s">
        <v>10</v>
      </c>
      <c r="B1139" t="s">
        <v>21</v>
      </c>
      <c r="C1139" t="s">
        <v>18</v>
      </c>
      <c r="D1139" t="s">
        <v>15</v>
      </c>
      <c r="E1139">
        <v>5.5555555555555497E-2</v>
      </c>
      <c r="F1139">
        <v>0.75118055555555496</v>
      </c>
      <c r="G1139">
        <v>20.605942010879499</v>
      </c>
      <c r="H1139">
        <v>19</v>
      </c>
      <c r="I1139">
        <v>66</v>
      </c>
      <c r="J1139">
        <v>30</v>
      </c>
    </row>
    <row r="1140" spans="1:10" x14ac:dyDescent="0.25">
      <c r="A1140" t="s">
        <v>10</v>
      </c>
      <c r="B1140" t="s">
        <v>21</v>
      </c>
      <c r="C1140" t="s">
        <v>18</v>
      </c>
      <c r="D1140" t="s">
        <v>15</v>
      </c>
      <c r="E1140">
        <v>2.77777777777777E-2</v>
      </c>
      <c r="F1140">
        <v>0.74986111111111098</v>
      </c>
      <c r="G1140">
        <v>20.643765449523901</v>
      </c>
      <c r="H1140">
        <v>15</v>
      </c>
      <c r="I1140">
        <v>53</v>
      </c>
      <c r="J1140">
        <v>30</v>
      </c>
    </row>
    <row r="1141" spans="1:10" x14ac:dyDescent="0.25">
      <c r="A1141" t="s">
        <v>10</v>
      </c>
      <c r="B1141" t="s">
        <v>21</v>
      </c>
      <c r="C1141" t="s">
        <v>18</v>
      </c>
      <c r="D1141" t="s">
        <v>15</v>
      </c>
      <c r="E1141">
        <v>8.3333333333333301E-2</v>
      </c>
      <c r="F1141">
        <v>0.75395833333333295</v>
      </c>
      <c r="G1141">
        <v>20.721614122390701</v>
      </c>
      <c r="H1141">
        <v>20</v>
      </c>
      <c r="I1141">
        <v>60</v>
      </c>
      <c r="J1141">
        <v>30</v>
      </c>
    </row>
    <row r="1142" spans="1:10" x14ac:dyDescent="0.25">
      <c r="A1142" t="s">
        <v>10</v>
      </c>
      <c r="B1142" t="s">
        <v>21</v>
      </c>
      <c r="C1142" t="s">
        <v>18</v>
      </c>
      <c r="D1142" t="s">
        <v>16</v>
      </c>
      <c r="E1142">
        <v>0</v>
      </c>
      <c r="F1142">
        <v>0.75</v>
      </c>
      <c r="G1142">
        <v>0.229872226715087</v>
      </c>
      <c r="H1142">
        <v>0</v>
      </c>
      <c r="I1142">
        <v>0</v>
      </c>
      <c r="J1142">
        <v>30</v>
      </c>
    </row>
    <row r="1143" spans="1:10" x14ac:dyDescent="0.25">
      <c r="A1143" t="s">
        <v>10</v>
      </c>
      <c r="B1143" t="s">
        <v>21</v>
      </c>
      <c r="C1143" t="s">
        <v>18</v>
      </c>
      <c r="D1143" t="s">
        <v>16</v>
      </c>
      <c r="E1143">
        <v>0</v>
      </c>
      <c r="F1143">
        <v>0.75</v>
      </c>
      <c r="G1143">
        <v>0.27717828750610302</v>
      </c>
      <c r="H1143">
        <v>0</v>
      </c>
      <c r="I1143">
        <v>0</v>
      </c>
      <c r="J1143">
        <v>30</v>
      </c>
    </row>
    <row r="1144" spans="1:10" x14ac:dyDescent="0.25">
      <c r="A1144" t="s">
        <v>10</v>
      </c>
      <c r="B1144" t="s">
        <v>21</v>
      </c>
      <c r="C1144" t="s">
        <v>18</v>
      </c>
      <c r="D1144" t="s">
        <v>16</v>
      </c>
      <c r="E1144">
        <v>0</v>
      </c>
      <c r="F1144">
        <v>0.75</v>
      </c>
      <c r="G1144">
        <v>0.29629254341125399</v>
      </c>
      <c r="H1144">
        <v>0</v>
      </c>
      <c r="I1144">
        <v>0</v>
      </c>
      <c r="J1144">
        <v>30</v>
      </c>
    </row>
    <row r="1145" spans="1:10" x14ac:dyDescent="0.25">
      <c r="A1145" t="s">
        <v>10</v>
      </c>
      <c r="B1145" t="s">
        <v>21</v>
      </c>
      <c r="C1145" t="s">
        <v>18</v>
      </c>
      <c r="D1145" t="s">
        <v>16</v>
      </c>
      <c r="E1145">
        <v>0</v>
      </c>
      <c r="F1145">
        <v>0.75</v>
      </c>
      <c r="G1145">
        <v>0.32759165763854903</v>
      </c>
      <c r="H1145">
        <v>0</v>
      </c>
      <c r="I1145">
        <v>0</v>
      </c>
      <c r="J1145">
        <v>30</v>
      </c>
    </row>
    <row r="1146" spans="1:10" x14ac:dyDescent="0.25">
      <c r="A1146" t="s">
        <v>10</v>
      </c>
      <c r="B1146" t="s">
        <v>21</v>
      </c>
      <c r="C1146" t="s">
        <v>18</v>
      </c>
      <c r="D1146" t="s">
        <v>16</v>
      </c>
      <c r="E1146">
        <v>0</v>
      </c>
      <c r="F1146">
        <v>0.75</v>
      </c>
      <c r="G1146">
        <v>0.34982275962829501</v>
      </c>
      <c r="H1146">
        <v>0</v>
      </c>
      <c r="I1146">
        <v>0</v>
      </c>
      <c r="J1146">
        <v>30</v>
      </c>
    </row>
    <row r="1147" spans="1:10" x14ac:dyDescent="0.25">
      <c r="A1147" t="s">
        <v>10</v>
      </c>
      <c r="B1147" t="s">
        <v>21</v>
      </c>
      <c r="C1147" t="s">
        <v>18</v>
      </c>
      <c r="D1147" t="s">
        <v>16</v>
      </c>
      <c r="E1147">
        <v>0</v>
      </c>
      <c r="F1147">
        <v>0.75</v>
      </c>
      <c r="G1147">
        <v>0.38030457496643</v>
      </c>
      <c r="H1147">
        <v>0</v>
      </c>
      <c r="I1147">
        <v>0</v>
      </c>
      <c r="J1147">
        <v>30</v>
      </c>
    </row>
    <row r="1148" spans="1:10" x14ac:dyDescent="0.25">
      <c r="A1148" t="s">
        <v>10</v>
      </c>
      <c r="B1148" t="s">
        <v>21</v>
      </c>
      <c r="C1148" t="s">
        <v>18</v>
      </c>
      <c r="D1148" t="s">
        <v>16</v>
      </c>
      <c r="E1148">
        <v>0</v>
      </c>
      <c r="F1148">
        <v>0.75</v>
      </c>
      <c r="G1148">
        <v>0.392335414886474</v>
      </c>
      <c r="H1148">
        <v>0</v>
      </c>
      <c r="I1148">
        <v>0</v>
      </c>
      <c r="J1148">
        <v>30</v>
      </c>
    </row>
    <row r="1149" spans="1:10" x14ac:dyDescent="0.25">
      <c r="A1149" t="s">
        <v>10</v>
      </c>
      <c r="B1149" t="s">
        <v>21</v>
      </c>
      <c r="C1149" t="s">
        <v>18</v>
      </c>
      <c r="D1149" t="s">
        <v>16</v>
      </c>
      <c r="E1149">
        <v>0</v>
      </c>
      <c r="F1149">
        <v>0.75</v>
      </c>
      <c r="G1149">
        <v>0.41179847717285101</v>
      </c>
      <c r="H1149">
        <v>0</v>
      </c>
      <c r="I1149">
        <v>0</v>
      </c>
      <c r="J1149">
        <v>30</v>
      </c>
    </row>
    <row r="1150" spans="1:10" x14ac:dyDescent="0.25">
      <c r="A1150" t="s">
        <v>10</v>
      </c>
      <c r="B1150" t="s">
        <v>21</v>
      </c>
      <c r="C1150" t="s">
        <v>18</v>
      </c>
      <c r="D1150" t="s">
        <v>16</v>
      </c>
      <c r="E1150">
        <v>0</v>
      </c>
      <c r="F1150">
        <v>0.75</v>
      </c>
      <c r="G1150">
        <v>0.421266078948974</v>
      </c>
      <c r="H1150">
        <v>0</v>
      </c>
      <c r="I1150">
        <v>0</v>
      </c>
      <c r="J1150">
        <v>30</v>
      </c>
    </row>
    <row r="1151" spans="1:10" x14ac:dyDescent="0.25">
      <c r="A1151" t="s">
        <v>10</v>
      </c>
      <c r="B1151" t="s">
        <v>21</v>
      </c>
      <c r="C1151" t="s">
        <v>18</v>
      </c>
      <c r="D1151" t="s">
        <v>16</v>
      </c>
      <c r="E1151">
        <v>0</v>
      </c>
      <c r="F1151">
        <v>0.75</v>
      </c>
      <c r="G1151">
        <v>0.42450308799743602</v>
      </c>
      <c r="H1151">
        <v>0</v>
      </c>
      <c r="I1151">
        <v>0</v>
      </c>
      <c r="J1151">
        <v>30</v>
      </c>
    </row>
    <row r="1152" spans="1:10" x14ac:dyDescent="0.25">
      <c r="A1152" t="s">
        <v>10</v>
      </c>
      <c r="B1152" t="s">
        <v>21</v>
      </c>
      <c r="C1152" t="s">
        <v>18</v>
      </c>
      <c r="D1152" t="s">
        <v>16</v>
      </c>
      <c r="E1152">
        <v>0</v>
      </c>
      <c r="F1152">
        <v>0.75</v>
      </c>
      <c r="G1152">
        <v>0.44219231605529702</v>
      </c>
      <c r="H1152">
        <v>0</v>
      </c>
      <c r="I1152">
        <v>0</v>
      </c>
      <c r="J1152">
        <v>30</v>
      </c>
    </row>
    <row r="1153" spans="1:10" x14ac:dyDescent="0.25">
      <c r="A1153" t="s">
        <v>10</v>
      </c>
      <c r="B1153" t="s">
        <v>21</v>
      </c>
      <c r="C1153" t="s">
        <v>18</v>
      </c>
      <c r="D1153" t="s">
        <v>16</v>
      </c>
      <c r="E1153">
        <v>0</v>
      </c>
      <c r="F1153">
        <v>0.75</v>
      </c>
      <c r="G1153">
        <v>0.44019293785095198</v>
      </c>
      <c r="H1153">
        <v>0</v>
      </c>
      <c r="I1153">
        <v>0</v>
      </c>
      <c r="J1153">
        <v>30</v>
      </c>
    </row>
    <row r="1154" spans="1:10" x14ac:dyDescent="0.25">
      <c r="A1154" t="s">
        <v>10</v>
      </c>
      <c r="B1154" t="s">
        <v>21</v>
      </c>
      <c r="C1154" t="s">
        <v>18</v>
      </c>
      <c r="D1154" t="s">
        <v>16</v>
      </c>
      <c r="E1154">
        <v>0</v>
      </c>
      <c r="F1154">
        <v>0.75</v>
      </c>
      <c r="G1154">
        <v>0.46723413467407199</v>
      </c>
      <c r="H1154">
        <v>0</v>
      </c>
      <c r="I1154">
        <v>0</v>
      </c>
      <c r="J1154">
        <v>30</v>
      </c>
    </row>
    <row r="1155" spans="1:10" x14ac:dyDescent="0.25">
      <c r="A1155" t="s">
        <v>10</v>
      </c>
      <c r="B1155" t="s">
        <v>21</v>
      </c>
      <c r="C1155" t="s">
        <v>18</v>
      </c>
      <c r="D1155" t="s">
        <v>16</v>
      </c>
      <c r="E1155">
        <v>0</v>
      </c>
      <c r="F1155">
        <v>0.75</v>
      </c>
      <c r="G1155">
        <v>0.44369578361511203</v>
      </c>
      <c r="H1155">
        <v>0</v>
      </c>
      <c r="I1155">
        <v>0</v>
      </c>
      <c r="J1155">
        <v>30</v>
      </c>
    </row>
    <row r="1156" spans="1:10" x14ac:dyDescent="0.25">
      <c r="A1156" t="s">
        <v>10</v>
      </c>
      <c r="B1156" t="s">
        <v>21</v>
      </c>
      <c r="C1156" t="s">
        <v>18</v>
      </c>
      <c r="D1156" t="s">
        <v>16</v>
      </c>
      <c r="E1156">
        <v>0</v>
      </c>
      <c r="F1156">
        <v>0.75</v>
      </c>
      <c r="G1156">
        <v>0.47114658355712802</v>
      </c>
      <c r="H1156">
        <v>0</v>
      </c>
      <c r="I1156">
        <v>0</v>
      </c>
      <c r="J1156">
        <v>30</v>
      </c>
    </row>
    <row r="1157" spans="1:10" x14ac:dyDescent="0.25">
      <c r="A1157" t="s">
        <v>10</v>
      </c>
      <c r="B1157" t="s">
        <v>21</v>
      </c>
      <c r="C1157" t="s">
        <v>18</v>
      </c>
      <c r="D1157" t="s">
        <v>16</v>
      </c>
      <c r="E1157">
        <v>0</v>
      </c>
      <c r="F1157">
        <v>0.75</v>
      </c>
      <c r="G1157">
        <v>0.47765064239501898</v>
      </c>
      <c r="H1157">
        <v>0</v>
      </c>
      <c r="I1157">
        <v>0</v>
      </c>
      <c r="J1157">
        <v>30</v>
      </c>
    </row>
    <row r="1158" spans="1:10" x14ac:dyDescent="0.25">
      <c r="A1158" t="s">
        <v>10</v>
      </c>
      <c r="B1158" t="s">
        <v>21</v>
      </c>
      <c r="C1158" t="s">
        <v>18</v>
      </c>
      <c r="D1158" t="s">
        <v>16</v>
      </c>
      <c r="E1158">
        <v>0</v>
      </c>
      <c r="F1158">
        <v>0.75</v>
      </c>
      <c r="G1158">
        <v>0.44664955139160101</v>
      </c>
      <c r="H1158">
        <v>0</v>
      </c>
      <c r="I1158">
        <v>0</v>
      </c>
      <c r="J1158">
        <v>30</v>
      </c>
    </row>
    <row r="1159" spans="1:10" x14ac:dyDescent="0.25">
      <c r="A1159" t="s">
        <v>10</v>
      </c>
      <c r="B1159" t="s">
        <v>21</v>
      </c>
      <c r="C1159" t="s">
        <v>18</v>
      </c>
      <c r="D1159" t="s">
        <v>16</v>
      </c>
      <c r="E1159">
        <v>0</v>
      </c>
      <c r="F1159">
        <v>0.75</v>
      </c>
      <c r="G1159">
        <v>0.48367881774902299</v>
      </c>
      <c r="H1159">
        <v>0</v>
      </c>
      <c r="I1159">
        <v>0</v>
      </c>
      <c r="J1159">
        <v>30</v>
      </c>
    </row>
    <row r="1160" spans="1:10" x14ac:dyDescent="0.25">
      <c r="A1160" t="s">
        <v>10</v>
      </c>
      <c r="B1160" t="s">
        <v>21</v>
      </c>
      <c r="C1160" t="s">
        <v>18</v>
      </c>
      <c r="D1160" t="s">
        <v>16</v>
      </c>
      <c r="E1160">
        <v>0</v>
      </c>
      <c r="F1160">
        <v>0.75</v>
      </c>
      <c r="G1160">
        <v>0.48367881774902299</v>
      </c>
      <c r="H1160">
        <v>0</v>
      </c>
      <c r="I1160">
        <v>0</v>
      </c>
      <c r="J1160">
        <v>30</v>
      </c>
    </row>
    <row r="1161" spans="1:10" x14ac:dyDescent="0.25">
      <c r="A1161" t="s">
        <v>10</v>
      </c>
      <c r="B1161" t="s">
        <v>21</v>
      </c>
      <c r="C1161" t="s">
        <v>18</v>
      </c>
      <c r="D1161" t="s">
        <v>16</v>
      </c>
      <c r="E1161">
        <v>0</v>
      </c>
      <c r="F1161">
        <v>0.75</v>
      </c>
      <c r="G1161">
        <v>0.51207566261291504</v>
      </c>
      <c r="H1161">
        <v>0</v>
      </c>
      <c r="I1161">
        <v>0</v>
      </c>
      <c r="J1161">
        <v>30</v>
      </c>
    </row>
    <row r="1162" spans="1:10" x14ac:dyDescent="0.25">
      <c r="A1162" t="s">
        <v>10</v>
      </c>
      <c r="B1162" t="s">
        <v>21</v>
      </c>
      <c r="C1162" t="s">
        <v>18</v>
      </c>
      <c r="D1162" t="s">
        <v>16</v>
      </c>
      <c r="E1162">
        <v>0</v>
      </c>
      <c r="F1162">
        <v>0.75</v>
      </c>
      <c r="G1162">
        <v>0.53084325790405196</v>
      </c>
      <c r="H1162">
        <v>0</v>
      </c>
      <c r="I1162">
        <v>0</v>
      </c>
      <c r="J1162">
        <v>30</v>
      </c>
    </row>
    <row r="1163" spans="1:10" x14ac:dyDescent="0.25">
      <c r="A1163" t="s">
        <v>10</v>
      </c>
      <c r="B1163" t="s">
        <v>21</v>
      </c>
      <c r="C1163" t="s">
        <v>18</v>
      </c>
      <c r="D1163" t="s">
        <v>16</v>
      </c>
      <c r="E1163">
        <v>0</v>
      </c>
      <c r="F1163">
        <v>0.75</v>
      </c>
      <c r="G1163">
        <v>0.51213407516479403</v>
      </c>
      <c r="H1163">
        <v>0</v>
      </c>
      <c r="I1163">
        <v>0</v>
      </c>
      <c r="J1163">
        <v>30</v>
      </c>
    </row>
    <row r="1164" spans="1:10" x14ac:dyDescent="0.25">
      <c r="A1164" t="s">
        <v>10</v>
      </c>
      <c r="B1164" t="s">
        <v>21</v>
      </c>
      <c r="C1164" t="s">
        <v>18</v>
      </c>
      <c r="D1164" t="s">
        <v>16</v>
      </c>
      <c r="E1164">
        <v>0</v>
      </c>
      <c r="F1164">
        <v>0.75</v>
      </c>
      <c r="G1164">
        <v>0.52639031410217196</v>
      </c>
      <c r="H1164">
        <v>0</v>
      </c>
      <c r="I1164">
        <v>0</v>
      </c>
      <c r="J1164">
        <v>30</v>
      </c>
    </row>
    <row r="1165" spans="1:10" x14ac:dyDescent="0.25">
      <c r="A1165" t="s">
        <v>10</v>
      </c>
      <c r="B1165" t="s">
        <v>21</v>
      </c>
      <c r="C1165" t="s">
        <v>18</v>
      </c>
      <c r="D1165" t="s">
        <v>16</v>
      </c>
      <c r="E1165">
        <v>0</v>
      </c>
      <c r="F1165">
        <v>0.75</v>
      </c>
      <c r="G1165">
        <v>0.53489446640014604</v>
      </c>
      <c r="H1165">
        <v>0</v>
      </c>
      <c r="I1165">
        <v>0</v>
      </c>
      <c r="J1165">
        <v>30</v>
      </c>
    </row>
    <row r="1166" spans="1:10" x14ac:dyDescent="0.25">
      <c r="A1166" t="s">
        <v>10</v>
      </c>
      <c r="B1166" t="s">
        <v>21</v>
      </c>
      <c r="C1166" t="s">
        <v>18</v>
      </c>
      <c r="D1166" t="s">
        <v>16</v>
      </c>
      <c r="E1166">
        <v>0</v>
      </c>
      <c r="F1166">
        <v>0.75</v>
      </c>
      <c r="G1166">
        <v>0.54787421226501398</v>
      </c>
      <c r="H1166">
        <v>0</v>
      </c>
      <c r="I1166">
        <v>0</v>
      </c>
      <c r="J1166">
        <v>30</v>
      </c>
    </row>
    <row r="1167" spans="1:10" x14ac:dyDescent="0.25">
      <c r="A1167" t="s">
        <v>10</v>
      </c>
      <c r="B1167" t="s">
        <v>21</v>
      </c>
      <c r="C1167" t="s">
        <v>18</v>
      </c>
      <c r="D1167" t="s">
        <v>16</v>
      </c>
      <c r="E1167">
        <v>0</v>
      </c>
      <c r="F1167">
        <v>0.75</v>
      </c>
      <c r="G1167">
        <v>0.551241874694824</v>
      </c>
      <c r="H1167">
        <v>0</v>
      </c>
      <c r="I1167">
        <v>0</v>
      </c>
      <c r="J1167">
        <v>30</v>
      </c>
    </row>
    <row r="1168" spans="1:10" x14ac:dyDescent="0.25">
      <c r="A1168" t="s">
        <v>10</v>
      </c>
      <c r="B1168" t="s">
        <v>21</v>
      </c>
      <c r="C1168" t="s">
        <v>18</v>
      </c>
      <c r="D1168" t="s">
        <v>16</v>
      </c>
      <c r="E1168">
        <v>0</v>
      </c>
      <c r="F1168">
        <v>0.75</v>
      </c>
      <c r="G1168">
        <v>0.56141638755798295</v>
      </c>
      <c r="H1168">
        <v>0</v>
      </c>
      <c r="I1168">
        <v>0</v>
      </c>
      <c r="J1168">
        <v>30</v>
      </c>
    </row>
    <row r="1169" spans="1:10" x14ac:dyDescent="0.25">
      <c r="A1169" t="s">
        <v>10</v>
      </c>
      <c r="B1169" t="s">
        <v>21</v>
      </c>
      <c r="C1169" t="s">
        <v>18</v>
      </c>
      <c r="D1169" t="s">
        <v>16</v>
      </c>
      <c r="E1169">
        <v>0</v>
      </c>
      <c r="F1169">
        <v>0.75</v>
      </c>
      <c r="G1169">
        <v>0.56913685798644997</v>
      </c>
      <c r="H1169">
        <v>0</v>
      </c>
      <c r="I1169">
        <v>0</v>
      </c>
      <c r="J1169">
        <v>30</v>
      </c>
    </row>
    <row r="1170" spans="1:10" x14ac:dyDescent="0.25">
      <c r="A1170" t="s">
        <v>10</v>
      </c>
      <c r="B1170" t="s">
        <v>21</v>
      </c>
      <c r="C1170" t="s">
        <v>18</v>
      </c>
      <c r="D1170" t="s">
        <v>16</v>
      </c>
      <c r="E1170">
        <v>0</v>
      </c>
      <c r="F1170">
        <v>0.75</v>
      </c>
      <c r="G1170">
        <v>0.55941629409789995</v>
      </c>
      <c r="H1170">
        <v>0</v>
      </c>
      <c r="I1170">
        <v>0</v>
      </c>
      <c r="J1170">
        <v>30</v>
      </c>
    </row>
    <row r="1171" spans="1:10" x14ac:dyDescent="0.25">
      <c r="A1171" t="s">
        <v>10</v>
      </c>
      <c r="B1171" t="s">
        <v>21</v>
      </c>
      <c r="C1171" t="s">
        <v>18</v>
      </c>
      <c r="D1171" t="s">
        <v>16</v>
      </c>
      <c r="E1171">
        <v>0</v>
      </c>
      <c r="F1171">
        <v>0.75</v>
      </c>
      <c r="G1171">
        <v>0.57464814186096103</v>
      </c>
      <c r="H1171">
        <v>0</v>
      </c>
      <c r="I1171">
        <v>0</v>
      </c>
      <c r="J1171">
        <v>30</v>
      </c>
    </row>
    <row r="1172" spans="1:10" x14ac:dyDescent="0.25">
      <c r="A1172" t="s">
        <v>10</v>
      </c>
      <c r="B1172" t="s">
        <v>21</v>
      </c>
      <c r="C1172" t="s">
        <v>18</v>
      </c>
      <c r="D1172" t="s">
        <v>17</v>
      </c>
      <c r="E1172">
        <v>0.72222222222222199</v>
      </c>
      <c r="F1172">
        <v>0.79176210222222199</v>
      </c>
      <c r="G1172">
        <v>19.320668458938599</v>
      </c>
      <c r="H1172">
        <v>63</v>
      </c>
      <c r="I1172">
        <v>65</v>
      </c>
      <c r="J1172">
        <v>30</v>
      </c>
    </row>
    <row r="1173" spans="1:10" x14ac:dyDescent="0.25">
      <c r="A1173" t="s">
        <v>10</v>
      </c>
      <c r="B1173" t="s">
        <v>21</v>
      </c>
      <c r="C1173" t="s">
        <v>18</v>
      </c>
      <c r="D1173" t="s">
        <v>17</v>
      </c>
      <c r="E1173">
        <v>0.63888888888888795</v>
      </c>
      <c r="F1173">
        <v>0.79629020512777704</v>
      </c>
      <c r="G1173">
        <v>19.586848974227902</v>
      </c>
      <c r="H1173">
        <v>58</v>
      </c>
      <c r="I1173">
        <v>57</v>
      </c>
      <c r="J1173">
        <v>30</v>
      </c>
    </row>
    <row r="1174" spans="1:10" x14ac:dyDescent="0.25">
      <c r="A1174" t="s">
        <v>10</v>
      </c>
      <c r="B1174" t="s">
        <v>21</v>
      </c>
      <c r="C1174" t="s">
        <v>18</v>
      </c>
      <c r="D1174" t="s">
        <v>17</v>
      </c>
      <c r="E1174">
        <v>0.63888888888888795</v>
      </c>
      <c r="F1174">
        <v>0.77078922314999998</v>
      </c>
      <c r="G1174">
        <v>19.7949361801147</v>
      </c>
      <c r="H1174">
        <v>58</v>
      </c>
      <c r="I1174">
        <v>56</v>
      </c>
      <c r="J1174">
        <v>30</v>
      </c>
    </row>
    <row r="1175" spans="1:10" x14ac:dyDescent="0.25">
      <c r="A1175" t="s">
        <v>10</v>
      </c>
      <c r="B1175" t="s">
        <v>21</v>
      </c>
      <c r="C1175" t="s">
        <v>18</v>
      </c>
      <c r="D1175" t="s">
        <v>17</v>
      </c>
      <c r="E1175">
        <v>0.63888888888888795</v>
      </c>
      <c r="F1175">
        <v>0.78329599301111097</v>
      </c>
      <c r="G1175">
        <v>20.798088788986199</v>
      </c>
      <c r="H1175">
        <v>58</v>
      </c>
      <c r="I1175">
        <v>62</v>
      </c>
      <c r="J1175">
        <v>30</v>
      </c>
    </row>
    <row r="1176" spans="1:10" x14ac:dyDescent="0.25">
      <c r="A1176" t="s">
        <v>10</v>
      </c>
      <c r="B1176" t="s">
        <v>21</v>
      </c>
      <c r="C1176" t="s">
        <v>18</v>
      </c>
      <c r="D1176" t="s">
        <v>17</v>
      </c>
      <c r="E1176">
        <v>0.69444444444444398</v>
      </c>
      <c r="F1176">
        <v>0.79363364696111105</v>
      </c>
      <c r="G1176">
        <v>20.933790683746299</v>
      </c>
      <c r="H1176">
        <v>64</v>
      </c>
      <c r="I1176">
        <v>67</v>
      </c>
      <c r="J1176">
        <v>30</v>
      </c>
    </row>
    <row r="1177" spans="1:10" x14ac:dyDescent="0.25">
      <c r="A1177" t="s">
        <v>10</v>
      </c>
      <c r="B1177" t="s">
        <v>21</v>
      </c>
      <c r="C1177" t="s">
        <v>18</v>
      </c>
      <c r="D1177" t="s">
        <v>17</v>
      </c>
      <c r="E1177">
        <v>0.63888888888888795</v>
      </c>
      <c r="F1177">
        <v>0.78512544761944403</v>
      </c>
      <c r="G1177">
        <v>21.278280496597201</v>
      </c>
      <c r="H1177">
        <v>66</v>
      </c>
      <c r="I1177">
        <v>68</v>
      </c>
      <c r="J1177">
        <v>30</v>
      </c>
    </row>
    <row r="1178" spans="1:10" x14ac:dyDescent="0.25">
      <c r="A1178" t="s">
        <v>10</v>
      </c>
      <c r="B1178" t="s">
        <v>21</v>
      </c>
      <c r="C1178" t="s">
        <v>18</v>
      </c>
      <c r="D1178" t="s">
        <v>17</v>
      </c>
      <c r="E1178">
        <v>0.75</v>
      </c>
      <c r="F1178">
        <v>0.79148670655277698</v>
      </c>
      <c r="G1178">
        <v>21.287404298782299</v>
      </c>
      <c r="H1178">
        <v>53</v>
      </c>
      <c r="I1178">
        <v>56</v>
      </c>
      <c r="J1178">
        <v>30</v>
      </c>
    </row>
    <row r="1179" spans="1:10" x14ac:dyDescent="0.25">
      <c r="A1179" t="s">
        <v>10</v>
      </c>
      <c r="B1179" t="s">
        <v>21</v>
      </c>
      <c r="C1179" t="s">
        <v>18</v>
      </c>
      <c r="D1179" t="s">
        <v>17</v>
      </c>
      <c r="E1179">
        <v>0.58333333333333304</v>
      </c>
      <c r="F1179">
        <v>0.75358580398611097</v>
      </c>
      <c r="G1179">
        <v>21.319405317306501</v>
      </c>
      <c r="H1179">
        <v>54</v>
      </c>
      <c r="I1179">
        <v>57</v>
      </c>
      <c r="J1179">
        <v>30</v>
      </c>
    </row>
    <row r="1180" spans="1:10" x14ac:dyDescent="0.25">
      <c r="A1180" t="s">
        <v>10</v>
      </c>
      <c r="B1180" t="s">
        <v>21</v>
      </c>
      <c r="C1180" t="s">
        <v>18</v>
      </c>
      <c r="D1180" t="s">
        <v>17</v>
      </c>
      <c r="E1180">
        <v>0.66666666666666596</v>
      </c>
      <c r="F1180">
        <v>0.78705610857222197</v>
      </c>
      <c r="G1180">
        <v>21.337926864623999</v>
      </c>
      <c r="H1180">
        <v>59</v>
      </c>
      <c r="I1180">
        <v>59</v>
      </c>
      <c r="J1180">
        <v>30</v>
      </c>
    </row>
    <row r="1181" spans="1:10" x14ac:dyDescent="0.25">
      <c r="A1181" t="s">
        <v>10</v>
      </c>
      <c r="B1181" t="s">
        <v>21</v>
      </c>
      <c r="C1181" t="s">
        <v>18</v>
      </c>
      <c r="D1181" t="s">
        <v>17</v>
      </c>
      <c r="E1181">
        <v>0.66666666666666596</v>
      </c>
      <c r="F1181">
        <v>0.78079839311666599</v>
      </c>
      <c r="G1181">
        <v>21.3854446411132</v>
      </c>
      <c r="H1181">
        <v>55</v>
      </c>
      <c r="I1181">
        <v>50</v>
      </c>
      <c r="J1181">
        <v>30</v>
      </c>
    </row>
    <row r="1182" spans="1:10" x14ac:dyDescent="0.25">
      <c r="A1182" t="s">
        <v>10</v>
      </c>
      <c r="B1182" t="s">
        <v>21</v>
      </c>
      <c r="C1182" t="s">
        <v>18</v>
      </c>
      <c r="D1182" t="s">
        <v>17</v>
      </c>
      <c r="E1182">
        <v>0.63888888888888795</v>
      </c>
      <c r="F1182">
        <v>0.78272005513888798</v>
      </c>
      <c r="G1182">
        <v>21.5187134742736</v>
      </c>
      <c r="H1182">
        <v>52</v>
      </c>
      <c r="I1182">
        <v>56</v>
      </c>
      <c r="J1182">
        <v>30</v>
      </c>
    </row>
    <row r="1183" spans="1:10" x14ac:dyDescent="0.25">
      <c r="A1183" t="s">
        <v>10</v>
      </c>
      <c r="B1183" t="s">
        <v>21</v>
      </c>
      <c r="C1183" t="s">
        <v>18</v>
      </c>
      <c r="D1183" t="s">
        <v>17</v>
      </c>
      <c r="E1183">
        <v>0.61111111111111105</v>
      </c>
      <c r="F1183">
        <v>0.77932949714999999</v>
      </c>
      <c r="G1183">
        <v>21.597936630248999</v>
      </c>
      <c r="H1183">
        <v>58</v>
      </c>
      <c r="I1183">
        <v>62</v>
      </c>
      <c r="J1183">
        <v>30</v>
      </c>
    </row>
    <row r="1184" spans="1:10" x14ac:dyDescent="0.25">
      <c r="A1184" t="s">
        <v>10</v>
      </c>
      <c r="B1184" t="s">
        <v>21</v>
      </c>
      <c r="C1184" t="s">
        <v>18</v>
      </c>
      <c r="D1184" t="s">
        <v>17</v>
      </c>
      <c r="E1184">
        <v>0.52777777777777701</v>
      </c>
      <c r="F1184">
        <v>0.75394284289722202</v>
      </c>
      <c r="G1184">
        <v>21.8889417648315</v>
      </c>
      <c r="H1184">
        <v>54</v>
      </c>
      <c r="I1184">
        <v>53</v>
      </c>
      <c r="J1184">
        <v>30</v>
      </c>
    </row>
    <row r="1185" spans="1:10" x14ac:dyDescent="0.25">
      <c r="A1185" t="s">
        <v>10</v>
      </c>
      <c r="B1185" t="s">
        <v>21</v>
      </c>
      <c r="C1185" t="s">
        <v>18</v>
      </c>
      <c r="D1185" t="s">
        <v>17</v>
      </c>
      <c r="E1185">
        <v>0.55555555555555503</v>
      </c>
      <c r="F1185">
        <v>0.76206053161388798</v>
      </c>
      <c r="G1185">
        <v>21.9820363521575</v>
      </c>
      <c r="H1185">
        <v>45</v>
      </c>
      <c r="I1185">
        <v>45</v>
      </c>
      <c r="J1185">
        <v>30</v>
      </c>
    </row>
    <row r="1186" spans="1:10" x14ac:dyDescent="0.25">
      <c r="A1186" t="s">
        <v>10</v>
      </c>
      <c r="B1186" t="s">
        <v>21</v>
      </c>
      <c r="C1186" t="s">
        <v>18</v>
      </c>
      <c r="D1186" t="s">
        <v>17</v>
      </c>
      <c r="E1186">
        <v>0.66666666666666596</v>
      </c>
      <c r="F1186">
        <v>0.78300289861666605</v>
      </c>
      <c r="G1186">
        <v>22.0168905258178</v>
      </c>
      <c r="H1186">
        <v>51</v>
      </c>
      <c r="I1186">
        <v>52</v>
      </c>
      <c r="J1186">
        <v>30</v>
      </c>
    </row>
    <row r="1187" spans="1:10" x14ac:dyDescent="0.25">
      <c r="A1187" t="s">
        <v>10</v>
      </c>
      <c r="B1187" t="s">
        <v>21</v>
      </c>
      <c r="C1187" t="s">
        <v>18</v>
      </c>
      <c r="D1187" t="s">
        <v>17</v>
      </c>
      <c r="E1187">
        <v>0.61111111111111105</v>
      </c>
      <c r="F1187">
        <v>0.75454791082499995</v>
      </c>
      <c r="G1187">
        <v>22.049405097961401</v>
      </c>
      <c r="H1187">
        <v>55</v>
      </c>
      <c r="I1187">
        <v>58</v>
      </c>
      <c r="J1187">
        <v>30</v>
      </c>
    </row>
    <row r="1188" spans="1:10" x14ac:dyDescent="0.25">
      <c r="A1188" t="s">
        <v>10</v>
      </c>
      <c r="B1188" t="s">
        <v>21</v>
      </c>
      <c r="C1188" t="s">
        <v>18</v>
      </c>
      <c r="D1188" t="s">
        <v>17</v>
      </c>
      <c r="E1188">
        <v>0.75</v>
      </c>
      <c r="F1188">
        <v>0.79039601342499999</v>
      </c>
      <c r="G1188">
        <v>22.075927019119199</v>
      </c>
      <c r="H1188">
        <v>47</v>
      </c>
      <c r="I1188">
        <v>48</v>
      </c>
      <c r="J1188">
        <v>30</v>
      </c>
    </row>
    <row r="1189" spans="1:10" x14ac:dyDescent="0.25">
      <c r="A1189" t="s">
        <v>10</v>
      </c>
      <c r="B1189" t="s">
        <v>21</v>
      </c>
      <c r="C1189" t="s">
        <v>18</v>
      </c>
      <c r="D1189" t="s">
        <v>17</v>
      </c>
      <c r="E1189">
        <v>0.52777777777777701</v>
      </c>
      <c r="F1189">
        <v>0.749958633180555</v>
      </c>
      <c r="G1189">
        <v>22.175542831420898</v>
      </c>
      <c r="H1189">
        <v>62</v>
      </c>
      <c r="I1189">
        <v>67</v>
      </c>
      <c r="J1189">
        <v>30</v>
      </c>
    </row>
    <row r="1190" spans="1:10" x14ac:dyDescent="0.25">
      <c r="A1190" t="s">
        <v>10</v>
      </c>
      <c r="B1190" t="s">
        <v>21</v>
      </c>
      <c r="C1190" t="s">
        <v>18</v>
      </c>
      <c r="D1190" t="s">
        <v>17</v>
      </c>
      <c r="E1190">
        <v>0.63888888888888795</v>
      </c>
      <c r="F1190">
        <v>0.77151656202222196</v>
      </c>
      <c r="G1190">
        <v>22.2129645347595</v>
      </c>
      <c r="H1190">
        <v>53</v>
      </c>
      <c r="I1190">
        <v>56</v>
      </c>
      <c r="J1190">
        <v>30</v>
      </c>
    </row>
    <row r="1191" spans="1:10" x14ac:dyDescent="0.25">
      <c r="A1191" t="s">
        <v>10</v>
      </c>
      <c r="B1191" t="s">
        <v>21</v>
      </c>
      <c r="C1191" t="s">
        <v>18</v>
      </c>
      <c r="D1191" t="s">
        <v>17</v>
      </c>
      <c r="E1191">
        <v>0.72222222222222199</v>
      </c>
      <c r="F1191">
        <v>0.77909621978055499</v>
      </c>
      <c r="G1191">
        <v>22.217376232147199</v>
      </c>
      <c r="H1191">
        <v>59</v>
      </c>
      <c r="I1191">
        <v>60</v>
      </c>
      <c r="J1191">
        <v>30</v>
      </c>
    </row>
    <row r="1192" spans="1:10" x14ac:dyDescent="0.25">
      <c r="A1192" t="s">
        <v>10</v>
      </c>
      <c r="B1192" t="s">
        <v>21</v>
      </c>
      <c r="C1192" t="s">
        <v>18</v>
      </c>
      <c r="D1192" t="s">
        <v>17</v>
      </c>
      <c r="E1192">
        <v>0.66666666666666596</v>
      </c>
      <c r="F1192">
        <v>0.76977106525000005</v>
      </c>
      <c r="G1192">
        <v>22.3739237785339</v>
      </c>
      <c r="H1192">
        <v>66</v>
      </c>
      <c r="I1192">
        <v>68</v>
      </c>
      <c r="J1192">
        <v>30</v>
      </c>
    </row>
    <row r="1193" spans="1:10" x14ac:dyDescent="0.25">
      <c r="A1193" t="s">
        <v>10</v>
      </c>
      <c r="B1193" t="s">
        <v>21</v>
      </c>
      <c r="C1193" t="s">
        <v>18</v>
      </c>
      <c r="D1193" t="s">
        <v>17</v>
      </c>
      <c r="E1193">
        <v>0.72222222222222199</v>
      </c>
      <c r="F1193">
        <v>0.79239333715555504</v>
      </c>
      <c r="G1193">
        <v>22.466459989547701</v>
      </c>
      <c r="H1193">
        <v>61</v>
      </c>
      <c r="I1193">
        <v>65</v>
      </c>
      <c r="J1193">
        <v>30</v>
      </c>
    </row>
    <row r="1194" spans="1:10" x14ac:dyDescent="0.25">
      <c r="A1194" t="s">
        <v>10</v>
      </c>
      <c r="B1194" t="s">
        <v>21</v>
      </c>
      <c r="C1194" t="s">
        <v>18</v>
      </c>
      <c r="D1194" t="s">
        <v>17</v>
      </c>
      <c r="E1194">
        <v>0.66666666666666596</v>
      </c>
      <c r="F1194">
        <v>0.78172703557222201</v>
      </c>
      <c r="G1194">
        <v>22.487149953842099</v>
      </c>
      <c r="H1194">
        <v>63</v>
      </c>
      <c r="I1194">
        <v>66</v>
      </c>
      <c r="J1194">
        <v>30</v>
      </c>
    </row>
    <row r="1195" spans="1:10" x14ac:dyDescent="0.25">
      <c r="A1195" t="s">
        <v>10</v>
      </c>
      <c r="B1195" t="s">
        <v>21</v>
      </c>
      <c r="C1195" t="s">
        <v>18</v>
      </c>
      <c r="D1195" t="s">
        <v>17</v>
      </c>
      <c r="E1195">
        <v>0.61111111111111105</v>
      </c>
      <c r="F1195">
        <v>0.76317578829444399</v>
      </c>
      <c r="G1195">
        <v>22.5166049003601</v>
      </c>
      <c r="H1195">
        <v>54</v>
      </c>
      <c r="I1195">
        <v>57</v>
      </c>
      <c r="J1195">
        <v>30</v>
      </c>
    </row>
    <row r="1196" spans="1:10" x14ac:dyDescent="0.25">
      <c r="A1196" t="s">
        <v>10</v>
      </c>
      <c r="B1196" t="s">
        <v>21</v>
      </c>
      <c r="C1196" t="s">
        <v>18</v>
      </c>
      <c r="D1196" t="s">
        <v>17</v>
      </c>
      <c r="E1196">
        <v>0.80555555555555503</v>
      </c>
      <c r="F1196">
        <v>0.81181059191666605</v>
      </c>
      <c r="G1196">
        <v>22.576328039169301</v>
      </c>
      <c r="H1196">
        <v>61</v>
      </c>
      <c r="I1196">
        <v>65</v>
      </c>
      <c r="J1196">
        <v>30</v>
      </c>
    </row>
    <row r="1197" spans="1:10" x14ac:dyDescent="0.25">
      <c r="A1197" t="s">
        <v>10</v>
      </c>
      <c r="B1197" t="s">
        <v>21</v>
      </c>
      <c r="C1197" t="s">
        <v>18</v>
      </c>
      <c r="D1197" t="s">
        <v>17</v>
      </c>
      <c r="E1197">
        <v>0.69444444444444398</v>
      </c>
      <c r="F1197">
        <v>0.78343059391111103</v>
      </c>
      <c r="G1197">
        <v>22.714562892913801</v>
      </c>
      <c r="H1197">
        <v>63</v>
      </c>
      <c r="I1197">
        <v>66</v>
      </c>
      <c r="J1197">
        <v>30</v>
      </c>
    </row>
    <row r="1198" spans="1:10" x14ac:dyDescent="0.25">
      <c r="A1198" t="s">
        <v>10</v>
      </c>
      <c r="B1198" t="s">
        <v>21</v>
      </c>
      <c r="C1198" t="s">
        <v>18</v>
      </c>
      <c r="D1198" t="s">
        <v>17</v>
      </c>
      <c r="E1198">
        <v>0.75</v>
      </c>
      <c r="F1198">
        <v>0.79433148094999995</v>
      </c>
      <c r="G1198">
        <v>22.858355283737101</v>
      </c>
      <c r="H1198">
        <v>57</v>
      </c>
      <c r="I1198">
        <v>61</v>
      </c>
      <c r="J1198">
        <v>30</v>
      </c>
    </row>
    <row r="1199" spans="1:10" x14ac:dyDescent="0.25">
      <c r="A1199" t="s">
        <v>10</v>
      </c>
      <c r="B1199" t="s">
        <v>21</v>
      </c>
      <c r="C1199" t="s">
        <v>18</v>
      </c>
      <c r="D1199" t="s">
        <v>17</v>
      </c>
      <c r="E1199">
        <v>0.77777777777777701</v>
      </c>
      <c r="F1199">
        <v>0.82058019996944398</v>
      </c>
      <c r="G1199">
        <v>22.869550943374598</v>
      </c>
      <c r="H1199">
        <v>60</v>
      </c>
      <c r="I1199">
        <v>64</v>
      </c>
      <c r="J1199">
        <v>30</v>
      </c>
    </row>
    <row r="1200" spans="1:10" x14ac:dyDescent="0.25">
      <c r="A1200" t="s">
        <v>10</v>
      </c>
      <c r="B1200" t="s">
        <v>21</v>
      </c>
      <c r="C1200" t="s">
        <v>18</v>
      </c>
      <c r="D1200" t="s">
        <v>17</v>
      </c>
      <c r="E1200">
        <v>0.66666666666666596</v>
      </c>
      <c r="F1200">
        <v>0.76979088541111096</v>
      </c>
      <c r="G1200">
        <v>22.897739171981801</v>
      </c>
      <c r="H1200">
        <v>63</v>
      </c>
      <c r="I1200">
        <v>69</v>
      </c>
      <c r="J1200">
        <v>30</v>
      </c>
    </row>
    <row r="1201" spans="1:10" x14ac:dyDescent="0.25">
      <c r="A1201" t="s">
        <v>10</v>
      </c>
      <c r="B1201" t="s">
        <v>21</v>
      </c>
      <c r="C1201" t="s">
        <v>18</v>
      </c>
      <c r="D1201" t="s">
        <v>17</v>
      </c>
      <c r="E1201">
        <v>0.77777777777777701</v>
      </c>
      <c r="F1201">
        <v>0.81327043383055497</v>
      </c>
      <c r="G1201">
        <v>22.922719240188599</v>
      </c>
      <c r="H1201">
        <v>62</v>
      </c>
      <c r="I1201">
        <v>58</v>
      </c>
      <c r="J1201">
        <v>30</v>
      </c>
    </row>
    <row r="1202" spans="1:10" x14ac:dyDescent="0.25">
      <c r="A1202" t="s">
        <v>22</v>
      </c>
      <c r="B1202" t="s">
        <v>11</v>
      </c>
      <c r="C1202" t="s">
        <v>12</v>
      </c>
      <c r="D1202" t="s">
        <v>13</v>
      </c>
      <c r="E1202">
        <v>0.88235294117647001</v>
      </c>
      <c r="F1202">
        <v>0.89671723079999999</v>
      </c>
      <c r="G1202">
        <v>1.93838262557983</v>
      </c>
      <c r="H1202">
        <v>31</v>
      </c>
      <c r="I1202">
        <v>36</v>
      </c>
      <c r="J1202">
        <v>30</v>
      </c>
    </row>
    <row r="1203" spans="1:10" x14ac:dyDescent="0.25">
      <c r="A1203" t="s">
        <v>22</v>
      </c>
      <c r="B1203" t="s">
        <v>11</v>
      </c>
      <c r="C1203" t="s">
        <v>12</v>
      </c>
      <c r="D1203" t="s">
        <v>13</v>
      </c>
      <c r="E1203">
        <v>0.80882352941176405</v>
      </c>
      <c r="F1203">
        <v>0.87516643654117598</v>
      </c>
      <c r="G1203">
        <v>2.01777911186218</v>
      </c>
      <c r="H1203">
        <v>39</v>
      </c>
      <c r="I1203">
        <v>53</v>
      </c>
      <c r="J1203">
        <v>30</v>
      </c>
    </row>
    <row r="1204" spans="1:10" x14ac:dyDescent="0.25">
      <c r="A1204" t="s">
        <v>22</v>
      </c>
      <c r="B1204" t="s">
        <v>11</v>
      </c>
      <c r="C1204" t="s">
        <v>12</v>
      </c>
      <c r="D1204" t="s">
        <v>13</v>
      </c>
      <c r="E1204">
        <v>0.79411764705882304</v>
      </c>
      <c r="F1204">
        <v>0.83510375559852901</v>
      </c>
      <c r="G1204">
        <v>2.1305372714996298</v>
      </c>
      <c r="H1204">
        <v>34</v>
      </c>
      <c r="I1204">
        <v>39</v>
      </c>
      <c r="J1204">
        <v>30</v>
      </c>
    </row>
    <row r="1205" spans="1:10" x14ac:dyDescent="0.25">
      <c r="A1205" t="s">
        <v>22</v>
      </c>
      <c r="B1205" t="s">
        <v>11</v>
      </c>
      <c r="C1205" t="s">
        <v>12</v>
      </c>
      <c r="D1205" t="s">
        <v>13</v>
      </c>
      <c r="E1205">
        <v>0.82352941176470495</v>
      </c>
      <c r="F1205">
        <v>0.88183523793235297</v>
      </c>
      <c r="G1205">
        <v>2.65728735923767</v>
      </c>
      <c r="H1205">
        <v>40</v>
      </c>
      <c r="I1205">
        <v>50</v>
      </c>
      <c r="J1205">
        <v>30</v>
      </c>
    </row>
    <row r="1206" spans="1:10" x14ac:dyDescent="0.25">
      <c r="A1206" t="s">
        <v>22</v>
      </c>
      <c r="B1206" t="s">
        <v>11</v>
      </c>
      <c r="C1206" t="s">
        <v>12</v>
      </c>
      <c r="D1206" t="s">
        <v>13</v>
      </c>
      <c r="E1206">
        <v>0.64705882352941102</v>
      </c>
      <c r="F1206">
        <v>0.73537463393088198</v>
      </c>
      <c r="G1206">
        <v>2.6611227989196702</v>
      </c>
      <c r="H1206">
        <v>39</v>
      </c>
      <c r="I1206">
        <v>43</v>
      </c>
      <c r="J1206">
        <v>30</v>
      </c>
    </row>
    <row r="1207" spans="1:10" x14ac:dyDescent="0.25">
      <c r="A1207" t="s">
        <v>22</v>
      </c>
      <c r="B1207" t="s">
        <v>11</v>
      </c>
      <c r="C1207" t="s">
        <v>12</v>
      </c>
      <c r="D1207" t="s">
        <v>13</v>
      </c>
      <c r="E1207">
        <v>0.79411764705882304</v>
      </c>
      <c r="F1207">
        <v>0.86372414244705797</v>
      </c>
      <c r="G1207">
        <v>2.73319411277771</v>
      </c>
      <c r="H1207">
        <v>41</v>
      </c>
      <c r="I1207">
        <v>48</v>
      </c>
      <c r="J1207">
        <v>30</v>
      </c>
    </row>
    <row r="1208" spans="1:10" x14ac:dyDescent="0.25">
      <c r="A1208" t="s">
        <v>22</v>
      </c>
      <c r="B1208" t="s">
        <v>11</v>
      </c>
      <c r="C1208" t="s">
        <v>12</v>
      </c>
      <c r="D1208" t="s">
        <v>13</v>
      </c>
      <c r="E1208">
        <v>0.75</v>
      </c>
      <c r="F1208">
        <v>0.85133476433823496</v>
      </c>
      <c r="G1208">
        <v>2.7273280620574898</v>
      </c>
      <c r="H1208">
        <v>41</v>
      </c>
      <c r="I1208">
        <v>51</v>
      </c>
      <c r="J1208">
        <v>30</v>
      </c>
    </row>
    <row r="1209" spans="1:10" x14ac:dyDescent="0.25">
      <c r="A1209" t="s">
        <v>22</v>
      </c>
      <c r="B1209" t="s">
        <v>11</v>
      </c>
      <c r="C1209" t="s">
        <v>12</v>
      </c>
      <c r="D1209" t="s">
        <v>13</v>
      </c>
      <c r="E1209">
        <v>0.79411764705882304</v>
      </c>
      <c r="F1209">
        <v>0.86814485388823504</v>
      </c>
      <c r="G1209">
        <v>2.8235220909118599</v>
      </c>
      <c r="H1209">
        <v>34</v>
      </c>
      <c r="I1209">
        <v>36</v>
      </c>
      <c r="J1209">
        <v>30</v>
      </c>
    </row>
    <row r="1210" spans="1:10" x14ac:dyDescent="0.25">
      <c r="A1210" t="s">
        <v>22</v>
      </c>
      <c r="B1210" t="s">
        <v>11</v>
      </c>
      <c r="C1210" t="s">
        <v>12</v>
      </c>
      <c r="D1210" t="s">
        <v>13</v>
      </c>
      <c r="E1210">
        <v>0.76470588235294101</v>
      </c>
      <c r="F1210">
        <v>0.84650428857500004</v>
      </c>
      <c r="G1210">
        <v>2.90198802947998</v>
      </c>
      <c r="H1210">
        <v>41</v>
      </c>
      <c r="I1210">
        <v>47</v>
      </c>
      <c r="J1210">
        <v>30</v>
      </c>
    </row>
    <row r="1211" spans="1:10" x14ac:dyDescent="0.25">
      <c r="A1211" t="s">
        <v>22</v>
      </c>
      <c r="B1211" t="s">
        <v>11</v>
      </c>
      <c r="C1211" t="s">
        <v>12</v>
      </c>
      <c r="D1211" t="s">
        <v>13</v>
      </c>
      <c r="E1211">
        <v>0.76470588235294101</v>
      </c>
      <c r="F1211">
        <v>0.84253564992205798</v>
      </c>
      <c r="G1211">
        <v>2.9275770187377899</v>
      </c>
      <c r="H1211">
        <v>36</v>
      </c>
      <c r="I1211">
        <v>46</v>
      </c>
      <c r="J1211">
        <v>30</v>
      </c>
    </row>
    <row r="1212" spans="1:10" x14ac:dyDescent="0.25">
      <c r="A1212" t="s">
        <v>22</v>
      </c>
      <c r="B1212" t="s">
        <v>11</v>
      </c>
      <c r="C1212" t="s">
        <v>12</v>
      </c>
      <c r="D1212" t="s">
        <v>13</v>
      </c>
      <c r="E1212">
        <v>0.76470588235294101</v>
      </c>
      <c r="F1212">
        <v>0.868800040075</v>
      </c>
      <c r="G1212">
        <v>2.9834716320037802</v>
      </c>
      <c r="H1212">
        <v>42</v>
      </c>
      <c r="I1212">
        <v>57</v>
      </c>
      <c r="J1212">
        <v>30</v>
      </c>
    </row>
    <row r="1213" spans="1:10" x14ac:dyDescent="0.25">
      <c r="A1213" t="s">
        <v>22</v>
      </c>
      <c r="B1213" t="s">
        <v>11</v>
      </c>
      <c r="C1213" t="s">
        <v>12</v>
      </c>
      <c r="D1213" t="s">
        <v>13</v>
      </c>
      <c r="E1213">
        <v>0.77941176470588203</v>
      </c>
      <c r="F1213">
        <v>0.85955919523088198</v>
      </c>
      <c r="G1213">
        <v>2.9840116500854399</v>
      </c>
      <c r="H1213">
        <v>38</v>
      </c>
      <c r="I1213">
        <v>52</v>
      </c>
      <c r="J1213">
        <v>30</v>
      </c>
    </row>
    <row r="1214" spans="1:10" x14ac:dyDescent="0.25">
      <c r="A1214" t="s">
        <v>22</v>
      </c>
      <c r="B1214" t="s">
        <v>11</v>
      </c>
      <c r="C1214" t="s">
        <v>12</v>
      </c>
      <c r="D1214" t="s">
        <v>13</v>
      </c>
      <c r="E1214">
        <v>0.82352941176470495</v>
      </c>
      <c r="F1214">
        <v>0.89129994389705802</v>
      </c>
      <c r="G1214">
        <v>2.9981656074523899</v>
      </c>
      <c r="H1214">
        <v>47</v>
      </c>
      <c r="I1214">
        <v>56</v>
      </c>
      <c r="J1214">
        <v>30</v>
      </c>
    </row>
    <row r="1215" spans="1:10" x14ac:dyDescent="0.25">
      <c r="A1215" t="s">
        <v>22</v>
      </c>
      <c r="B1215" t="s">
        <v>11</v>
      </c>
      <c r="C1215" t="s">
        <v>12</v>
      </c>
      <c r="D1215" t="s">
        <v>13</v>
      </c>
      <c r="E1215">
        <v>0.80882352941176405</v>
      </c>
      <c r="F1215">
        <v>0.87935409538823495</v>
      </c>
      <c r="G1215">
        <v>3.0148248672485298</v>
      </c>
      <c r="H1215">
        <v>41</v>
      </c>
      <c r="I1215">
        <v>53</v>
      </c>
      <c r="J1215">
        <v>30</v>
      </c>
    </row>
    <row r="1216" spans="1:10" x14ac:dyDescent="0.25">
      <c r="A1216" t="s">
        <v>22</v>
      </c>
      <c r="B1216" t="s">
        <v>11</v>
      </c>
      <c r="C1216" t="s">
        <v>12</v>
      </c>
      <c r="D1216" t="s">
        <v>13</v>
      </c>
      <c r="E1216">
        <v>0.75</v>
      </c>
      <c r="F1216">
        <v>0.83945950798529401</v>
      </c>
      <c r="G1216">
        <v>3.0249273777007999</v>
      </c>
      <c r="H1216">
        <v>41</v>
      </c>
      <c r="I1216">
        <v>46</v>
      </c>
      <c r="J1216">
        <v>30</v>
      </c>
    </row>
    <row r="1217" spans="1:10" x14ac:dyDescent="0.25">
      <c r="A1217" t="s">
        <v>22</v>
      </c>
      <c r="B1217" t="s">
        <v>11</v>
      </c>
      <c r="C1217" t="s">
        <v>12</v>
      </c>
      <c r="D1217" t="s">
        <v>13</v>
      </c>
      <c r="E1217">
        <v>0.73529411764705799</v>
      </c>
      <c r="F1217">
        <v>0.84551099479705805</v>
      </c>
      <c r="G1217">
        <v>3.0482625961303702</v>
      </c>
      <c r="H1217">
        <v>35</v>
      </c>
      <c r="I1217">
        <v>42</v>
      </c>
      <c r="J1217">
        <v>30</v>
      </c>
    </row>
    <row r="1218" spans="1:10" x14ac:dyDescent="0.25">
      <c r="A1218" t="s">
        <v>22</v>
      </c>
      <c r="B1218" t="s">
        <v>11</v>
      </c>
      <c r="C1218" t="s">
        <v>12</v>
      </c>
      <c r="D1218" t="s">
        <v>13</v>
      </c>
      <c r="E1218">
        <v>0.82352941176470495</v>
      </c>
      <c r="F1218">
        <v>0.87889423289117596</v>
      </c>
      <c r="G1218">
        <v>3.0648839473724299</v>
      </c>
      <c r="H1218">
        <v>42</v>
      </c>
      <c r="I1218">
        <v>52</v>
      </c>
      <c r="J1218">
        <v>30</v>
      </c>
    </row>
    <row r="1219" spans="1:10" x14ac:dyDescent="0.25">
      <c r="A1219" t="s">
        <v>22</v>
      </c>
      <c r="B1219" t="s">
        <v>11</v>
      </c>
      <c r="C1219" t="s">
        <v>12</v>
      </c>
      <c r="D1219" t="s">
        <v>13</v>
      </c>
      <c r="E1219">
        <v>0.82352941176470495</v>
      </c>
      <c r="F1219">
        <v>0.88465234954264704</v>
      </c>
      <c r="G1219">
        <v>3.05619120597839</v>
      </c>
      <c r="H1219">
        <v>39</v>
      </c>
      <c r="I1219">
        <v>49</v>
      </c>
      <c r="J1219">
        <v>30</v>
      </c>
    </row>
    <row r="1220" spans="1:10" x14ac:dyDescent="0.25">
      <c r="A1220" t="s">
        <v>22</v>
      </c>
      <c r="B1220" t="s">
        <v>11</v>
      </c>
      <c r="C1220" t="s">
        <v>12</v>
      </c>
      <c r="D1220" t="s">
        <v>13</v>
      </c>
      <c r="E1220">
        <v>0.86764705882352899</v>
      </c>
      <c r="F1220">
        <v>0.90364998619558801</v>
      </c>
      <c r="G1220">
        <v>3.0419991016387899</v>
      </c>
      <c r="H1220">
        <v>43</v>
      </c>
      <c r="I1220">
        <v>52</v>
      </c>
      <c r="J1220">
        <v>30</v>
      </c>
    </row>
    <row r="1221" spans="1:10" x14ac:dyDescent="0.25">
      <c r="A1221" t="s">
        <v>22</v>
      </c>
      <c r="B1221" t="s">
        <v>11</v>
      </c>
      <c r="C1221" t="s">
        <v>12</v>
      </c>
      <c r="D1221" t="s">
        <v>13</v>
      </c>
      <c r="E1221">
        <v>0.77941176470588203</v>
      </c>
      <c r="F1221">
        <v>0.84411773776029397</v>
      </c>
      <c r="G1221">
        <v>3.0978200435638401</v>
      </c>
      <c r="H1221">
        <v>42</v>
      </c>
      <c r="I1221">
        <v>49</v>
      </c>
      <c r="J1221">
        <v>30</v>
      </c>
    </row>
    <row r="1222" spans="1:10" x14ac:dyDescent="0.25">
      <c r="A1222" t="s">
        <v>22</v>
      </c>
      <c r="B1222" t="s">
        <v>11</v>
      </c>
      <c r="C1222" t="s">
        <v>12</v>
      </c>
      <c r="D1222" t="s">
        <v>13</v>
      </c>
      <c r="E1222">
        <v>0.82352941176470495</v>
      </c>
      <c r="F1222">
        <v>0.85865786384264697</v>
      </c>
      <c r="G1222">
        <v>3.10015869140625</v>
      </c>
      <c r="H1222">
        <v>40</v>
      </c>
      <c r="I1222">
        <v>55</v>
      </c>
      <c r="J1222">
        <v>30</v>
      </c>
    </row>
    <row r="1223" spans="1:10" x14ac:dyDescent="0.25">
      <c r="A1223" t="s">
        <v>22</v>
      </c>
      <c r="B1223" t="s">
        <v>11</v>
      </c>
      <c r="C1223" t="s">
        <v>12</v>
      </c>
      <c r="D1223" t="s">
        <v>13</v>
      </c>
      <c r="E1223">
        <v>0.80882352941176405</v>
      </c>
      <c r="F1223">
        <v>0.87255010870294103</v>
      </c>
      <c r="G1223">
        <v>3.1311993598937899</v>
      </c>
      <c r="H1223">
        <v>38</v>
      </c>
      <c r="I1223">
        <v>48</v>
      </c>
      <c r="J1223">
        <v>30</v>
      </c>
    </row>
    <row r="1224" spans="1:10" x14ac:dyDescent="0.25">
      <c r="A1224" t="s">
        <v>22</v>
      </c>
      <c r="B1224" t="s">
        <v>11</v>
      </c>
      <c r="C1224" t="s">
        <v>12</v>
      </c>
      <c r="D1224" t="s">
        <v>13</v>
      </c>
      <c r="E1224">
        <v>0.76470588235294101</v>
      </c>
      <c r="F1224">
        <v>0.85094483248529396</v>
      </c>
      <c r="G1224">
        <v>3.15088891983032</v>
      </c>
      <c r="H1224">
        <v>44</v>
      </c>
      <c r="I1224">
        <v>53</v>
      </c>
      <c r="J1224">
        <v>30</v>
      </c>
    </row>
    <row r="1225" spans="1:10" x14ac:dyDescent="0.25">
      <c r="A1225" t="s">
        <v>22</v>
      </c>
      <c r="B1225" t="s">
        <v>11</v>
      </c>
      <c r="C1225" t="s">
        <v>12</v>
      </c>
      <c r="D1225" t="s">
        <v>13</v>
      </c>
      <c r="E1225">
        <v>0.76470588235294101</v>
      </c>
      <c r="F1225">
        <v>0.82403425270882302</v>
      </c>
      <c r="G1225">
        <v>3.1380016803741402</v>
      </c>
      <c r="H1225">
        <v>46</v>
      </c>
      <c r="I1225">
        <v>50</v>
      </c>
      <c r="J1225">
        <v>30</v>
      </c>
    </row>
    <row r="1226" spans="1:10" x14ac:dyDescent="0.25">
      <c r="A1226" t="s">
        <v>22</v>
      </c>
      <c r="B1226" t="s">
        <v>11</v>
      </c>
      <c r="C1226" t="s">
        <v>12</v>
      </c>
      <c r="D1226" t="s">
        <v>13</v>
      </c>
      <c r="E1226">
        <v>0.76470588235294101</v>
      </c>
      <c r="F1226">
        <v>0.82531487237058798</v>
      </c>
      <c r="G1226">
        <v>3.1635324954986501</v>
      </c>
      <c r="H1226">
        <v>40</v>
      </c>
      <c r="I1226">
        <v>48</v>
      </c>
      <c r="J1226">
        <v>30</v>
      </c>
    </row>
    <row r="1227" spans="1:10" x14ac:dyDescent="0.25">
      <c r="A1227" t="s">
        <v>22</v>
      </c>
      <c r="B1227" t="s">
        <v>11</v>
      </c>
      <c r="C1227" t="s">
        <v>12</v>
      </c>
      <c r="D1227" t="s">
        <v>13</v>
      </c>
      <c r="E1227">
        <v>0.75</v>
      </c>
      <c r="F1227">
        <v>0.86068292024705795</v>
      </c>
      <c r="G1227">
        <v>3.18356108665466</v>
      </c>
      <c r="H1227">
        <v>38</v>
      </c>
      <c r="I1227">
        <v>49</v>
      </c>
      <c r="J1227">
        <v>30</v>
      </c>
    </row>
    <row r="1228" spans="1:10" x14ac:dyDescent="0.25">
      <c r="A1228" t="s">
        <v>22</v>
      </c>
      <c r="B1228" t="s">
        <v>11</v>
      </c>
      <c r="C1228" t="s">
        <v>12</v>
      </c>
      <c r="D1228" t="s">
        <v>13</v>
      </c>
      <c r="E1228">
        <v>0.83823529411764697</v>
      </c>
      <c r="F1228">
        <v>0.89384694388382302</v>
      </c>
      <c r="G1228">
        <v>3.18356108665466</v>
      </c>
      <c r="H1228">
        <v>42</v>
      </c>
      <c r="I1228">
        <v>54</v>
      </c>
      <c r="J1228">
        <v>30</v>
      </c>
    </row>
    <row r="1229" spans="1:10" x14ac:dyDescent="0.25">
      <c r="A1229" t="s">
        <v>22</v>
      </c>
      <c r="B1229" t="s">
        <v>11</v>
      </c>
      <c r="C1229" t="s">
        <v>12</v>
      </c>
      <c r="D1229" t="s">
        <v>13</v>
      </c>
      <c r="E1229">
        <v>0.76470588235294101</v>
      </c>
      <c r="F1229">
        <v>0.83228237910441105</v>
      </c>
      <c r="G1229">
        <v>3.20003318786621</v>
      </c>
      <c r="H1229">
        <v>38</v>
      </c>
      <c r="I1229">
        <v>43</v>
      </c>
      <c r="J1229">
        <v>30</v>
      </c>
    </row>
    <row r="1230" spans="1:10" x14ac:dyDescent="0.25">
      <c r="A1230" t="s">
        <v>22</v>
      </c>
      <c r="B1230" t="s">
        <v>11</v>
      </c>
      <c r="C1230" t="s">
        <v>12</v>
      </c>
      <c r="D1230" t="s">
        <v>13</v>
      </c>
      <c r="E1230">
        <v>0.75</v>
      </c>
      <c r="F1230">
        <v>0.81619154832205798</v>
      </c>
      <c r="G1230">
        <v>3.20063281059265</v>
      </c>
      <c r="H1230">
        <v>43</v>
      </c>
      <c r="I1230">
        <v>51</v>
      </c>
      <c r="J1230">
        <v>30</v>
      </c>
    </row>
    <row r="1231" spans="1:10" x14ac:dyDescent="0.25">
      <c r="A1231" t="s">
        <v>22</v>
      </c>
      <c r="B1231" t="s">
        <v>11</v>
      </c>
      <c r="C1231" t="s">
        <v>12</v>
      </c>
      <c r="D1231" t="s">
        <v>13</v>
      </c>
      <c r="E1231">
        <v>0.89705882352941102</v>
      </c>
      <c r="F1231">
        <v>0.94386328946323494</v>
      </c>
      <c r="G1231">
        <v>3.1896545886993399</v>
      </c>
      <c r="H1231">
        <v>44</v>
      </c>
      <c r="I1231">
        <v>63</v>
      </c>
      <c r="J1231">
        <v>30</v>
      </c>
    </row>
    <row r="1232" spans="1:10" x14ac:dyDescent="0.25">
      <c r="A1232" t="s">
        <v>22</v>
      </c>
      <c r="B1232" t="s">
        <v>11</v>
      </c>
      <c r="C1232" t="s">
        <v>12</v>
      </c>
      <c r="D1232" t="s">
        <v>14</v>
      </c>
      <c r="E1232">
        <v>0.80882352941176405</v>
      </c>
      <c r="F1232">
        <v>0.83480020410147004</v>
      </c>
      <c r="G1232">
        <v>1.8898134231567301</v>
      </c>
      <c r="H1232">
        <v>56</v>
      </c>
      <c r="I1232">
        <v>50</v>
      </c>
      <c r="J1232">
        <v>30</v>
      </c>
    </row>
    <row r="1233" spans="1:10" x14ac:dyDescent="0.25">
      <c r="A1233" t="s">
        <v>22</v>
      </c>
      <c r="B1233" t="s">
        <v>11</v>
      </c>
      <c r="C1233" t="s">
        <v>12</v>
      </c>
      <c r="D1233" t="s">
        <v>14</v>
      </c>
      <c r="E1233">
        <v>0.80882352941176405</v>
      </c>
      <c r="F1233">
        <v>0.83143702037205802</v>
      </c>
      <c r="G1233">
        <v>2.3776116371154701</v>
      </c>
      <c r="H1233">
        <v>70</v>
      </c>
      <c r="I1233">
        <v>60</v>
      </c>
      <c r="J1233">
        <v>30</v>
      </c>
    </row>
    <row r="1234" spans="1:10" x14ac:dyDescent="0.25">
      <c r="A1234" t="s">
        <v>22</v>
      </c>
      <c r="B1234" t="s">
        <v>11</v>
      </c>
      <c r="C1234" t="s">
        <v>12</v>
      </c>
      <c r="D1234" t="s">
        <v>14</v>
      </c>
      <c r="E1234">
        <v>0.66176470588235203</v>
      </c>
      <c r="F1234">
        <v>0.81842406582646998</v>
      </c>
      <c r="G1234">
        <v>3.7635114192962602</v>
      </c>
      <c r="H1234">
        <v>131</v>
      </c>
      <c r="I1234">
        <v>126</v>
      </c>
      <c r="J1234">
        <v>30</v>
      </c>
    </row>
    <row r="1235" spans="1:10" x14ac:dyDescent="0.25">
      <c r="A1235" t="s">
        <v>22</v>
      </c>
      <c r="B1235" t="s">
        <v>11</v>
      </c>
      <c r="C1235" t="s">
        <v>12</v>
      </c>
      <c r="D1235" t="s">
        <v>14</v>
      </c>
      <c r="E1235">
        <v>0.64705882352941102</v>
      </c>
      <c r="F1235">
        <v>0.81789787618382304</v>
      </c>
      <c r="G1235">
        <v>3.8189442157745299</v>
      </c>
      <c r="H1235">
        <v>116</v>
      </c>
      <c r="I1235">
        <v>112</v>
      </c>
      <c r="J1235">
        <v>30</v>
      </c>
    </row>
    <row r="1236" spans="1:10" x14ac:dyDescent="0.25">
      <c r="A1236" t="s">
        <v>22</v>
      </c>
      <c r="B1236" t="s">
        <v>11</v>
      </c>
      <c r="C1236" t="s">
        <v>12</v>
      </c>
      <c r="D1236" t="s">
        <v>14</v>
      </c>
      <c r="E1236">
        <v>0.61764705882352899</v>
      </c>
      <c r="F1236">
        <v>0.84513635487352901</v>
      </c>
      <c r="G1236">
        <v>3.8353128433227499</v>
      </c>
      <c r="H1236">
        <v>131</v>
      </c>
      <c r="I1236">
        <v>125</v>
      </c>
      <c r="J1236">
        <v>30</v>
      </c>
    </row>
    <row r="1237" spans="1:10" x14ac:dyDescent="0.25">
      <c r="A1237" t="s">
        <v>22</v>
      </c>
      <c r="B1237" t="s">
        <v>11</v>
      </c>
      <c r="C1237" t="s">
        <v>12</v>
      </c>
      <c r="D1237" t="s">
        <v>14</v>
      </c>
      <c r="E1237">
        <v>0.64705882352941102</v>
      </c>
      <c r="F1237">
        <v>0.83751956432352903</v>
      </c>
      <c r="G1237">
        <v>3.8726119995117099</v>
      </c>
      <c r="H1237">
        <v>117</v>
      </c>
      <c r="I1237">
        <v>113</v>
      </c>
      <c r="J1237">
        <v>30</v>
      </c>
    </row>
    <row r="1238" spans="1:10" x14ac:dyDescent="0.25">
      <c r="A1238" t="s">
        <v>22</v>
      </c>
      <c r="B1238" t="s">
        <v>11</v>
      </c>
      <c r="C1238" t="s">
        <v>12</v>
      </c>
      <c r="D1238" t="s">
        <v>14</v>
      </c>
      <c r="E1238">
        <v>0.67647058823529405</v>
      </c>
      <c r="F1238">
        <v>0.83980512720294098</v>
      </c>
      <c r="G1238">
        <v>3.9386782646179199</v>
      </c>
      <c r="H1238">
        <v>135</v>
      </c>
      <c r="I1238">
        <v>127</v>
      </c>
      <c r="J1238">
        <v>30</v>
      </c>
    </row>
    <row r="1239" spans="1:10" x14ac:dyDescent="0.25">
      <c r="A1239" t="s">
        <v>22</v>
      </c>
      <c r="B1239" t="s">
        <v>11</v>
      </c>
      <c r="C1239" t="s">
        <v>12</v>
      </c>
      <c r="D1239" t="s">
        <v>14</v>
      </c>
      <c r="E1239">
        <v>0.54411764705882304</v>
      </c>
      <c r="F1239">
        <v>0.83071427393235298</v>
      </c>
      <c r="G1239">
        <v>4.0281562805175701</v>
      </c>
      <c r="H1239">
        <v>129</v>
      </c>
      <c r="I1239">
        <v>124</v>
      </c>
      <c r="J1239">
        <v>30</v>
      </c>
    </row>
    <row r="1240" spans="1:10" x14ac:dyDescent="0.25">
      <c r="A1240" t="s">
        <v>22</v>
      </c>
      <c r="B1240" t="s">
        <v>11</v>
      </c>
      <c r="C1240" t="s">
        <v>12</v>
      </c>
      <c r="D1240" t="s">
        <v>14</v>
      </c>
      <c r="E1240">
        <v>0.57352941176470495</v>
      </c>
      <c r="F1240">
        <v>0.84983541920146999</v>
      </c>
      <c r="G1240">
        <v>4.04205226898193</v>
      </c>
      <c r="H1240">
        <v>137</v>
      </c>
      <c r="I1240">
        <v>132</v>
      </c>
      <c r="J1240">
        <v>30</v>
      </c>
    </row>
    <row r="1241" spans="1:10" x14ac:dyDescent="0.25">
      <c r="A1241" t="s">
        <v>22</v>
      </c>
      <c r="B1241" t="s">
        <v>11</v>
      </c>
      <c r="C1241" t="s">
        <v>12</v>
      </c>
      <c r="D1241" t="s">
        <v>14</v>
      </c>
      <c r="E1241">
        <v>0.70588235294117596</v>
      </c>
      <c r="F1241">
        <v>0.81910492150735204</v>
      </c>
      <c r="G1241">
        <v>4.1201214790344203</v>
      </c>
      <c r="H1241">
        <v>128</v>
      </c>
      <c r="I1241">
        <v>124</v>
      </c>
      <c r="J1241">
        <v>30</v>
      </c>
    </row>
    <row r="1242" spans="1:10" x14ac:dyDescent="0.25">
      <c r="A1242" t="s">
        <v>22</v>
      </c>
      <c r="B1242" t="s">
        <v>11</v>
      </c>
      <c r="C1242" t="s">
        <v>12</v>
      </c>
      <c r="D1242" t="s">
        <v>14</v>
      </c>
      <c r="E1242">
        <v>0.63235294117647001</v>
      </c>
      <c r="F1242">
        <v>0.812394672479411</v>
      </c>
      <c r="G1242">
        <v>4.1490414142608598</v>
      </c>
      <c r="H1242">
        <v>128</v>
      </c>
      <c r="I1242">
        <v>126</v>
      </c>
      <c r="J1242">
        <v>30</v>
      </c>
    </row>
    <row r="1243" spans="1:10" x14ac:dyDescent="0.25">
      <c r="A1243" t="s">
        <v>22</v>
      </c>
      <c r="B1243" t="s">
        <v>11</v>
      </c>
      <c r="C1243" t="s">
        <v>12</v>
      </c>
      <c r="D1243" t="s">
        <v>14</v>
      </c>
      <c r="E1243">
        <v>0.57352941176470495</v>
      </c>
      <c r="F1243">
        <v>0.82503767614411705</v>
      </c>
      <c r="G1243">
        <v>4.1885721683502197</v>
      </c>
      <c r="H1243">
        <v>129</v>
      </c>
      <c r="I1243">
        <v>124</v>
      </c>
      <c r="J1243">
        <v>30</v>
      </c>
    </row>
    <row r="1244" spans="1:10" x14ac:dyDescent="0.25">
      <c r="A1244" t="s">
        <v>22</v>
      </c>
      <c r="B1244" t="s">
        <v>11</v>
      </c>
      <c r="C1244" t="s">
        <v>12</v>
      </c>
      <c r="D1244" t="s">
        <v>14</v>
      </c>
      <c r="E1244">
        <v>0.51470588235294101</v>
      </c>
      <c r="F1244">
        <v>0.84302242252058801</v>
      </c>
      <c r="G1244">
        <v>4.2031974792480398</v>
      </c>
      <c r="H1244">
        <v>136</v>
      </c>
      <c r="I1244">
        <v>132</v>
      </c>
      <c r="J1244">
        <v>30</v>
      </c>
    </row>
    <row r="1245" spans="1:10" x14ac:dyDescent="0.25">
      <c r="A1245" t="s">
        <v>22</v>
      </c>
      <c r="B1245" t="s">
        <v>11</v>
      </c>
      <c r="C1245" t="s">
        <v>12</v>
      </c>
      <c r="D1245" t="s">
        <v>14</v>
      </c>
      <c r="E1245">
        <v>0.76470588235294101</v>
      </c>
      <c r="F1245">
        <v>0.84917331979999899</v>
      </c>
      <c r="G1245">
        <v>4.2296512126922599</v>
      </c>
      <c r="H1245">
        <v>130</v>
      </c>
      <c r="I1245">
        <v>125</v>
      </c>
      <c r="J1245">
        <v>30</v>
      </c>
    </row>
    <row r="1246" spans="1:10" x14ac:dyDescent="0.25">
      <c r="A1246" t="s">
        <v>22</v>
      </c>
      <c r="B1246" t="s">
        <v>11</v>
      </c>
      <c r="C1246" t="s">
        <v>12</v>
      </c>
      <c r="D1246" t="s">
        <v>14</v>
      </c>
      <c r="E1246">
        <v>0.58823529411764697</v>
      </c>
      <c r="F1246">
        <v>0.77607811684411698</v>
      </c>
      <c r="G1246">
        <v>4.6204249858856201</v>
      </c>
      <c r="H1246">
        <v>156</v>
      </c>
      <c r="I1246">
        <v>153</v>
      </c>
      <c r="J1246">
        <v>30</v>
      </c>
    </row>
    <row r="1247" spans="1:10" x14ac:dyDescent="0.25">
      <c r="A1247" t="s">
        <v>22</v>
      </c>
      <c r="B1247" t="s">
        <v>11</v>
      </c>
      <c r="C1247" t="s">
        <v>12</v>
      </c>
      <c r="D1247" t="s">
        <v>14</v>
      </c>
      <c r="E1247">
        <v>0.60294117647058798</v>
      </c>
      <c r="F1247">
        <v>0.79061296932205805</v>
      </c>
      <c r="G1247">
        <v>4.7467949390411297</v>
      </c>
      <c r="H1247">
        <v>157</v>
      </c>
      <c r="I1247">
        <v>155</v>
      </c>
      <c r="J1247">
        <v>30</v>
      </c>
    </row>
    <row r="1248" spans="1:10" x14ac:dyDescent="0.25">
      <c r="A1248" t="s">
        <v>22</v>
      </c>
      <c r="B1248" t="s">
        <v>11</v>
      </c>
      <c r="C1248" t="s">
        <v>12</v>
      </c>
      <c r="D1248" t="s">
        <v>14</v>
      </c>
      <c r="E1248">
        <v>0.54411764705882304</v>
      </c>
      <c r="F1248">
        <v>0.79026588451764701</v>
      </c>
      <c r="G1248">
        <v>4.82570028305053</v>
      </c>
      <c r="H1248">
        <v>167</v>
      </c>
      <c r="I1248">
        <v>165</v>
      </c>
      <c r="J1248">
        <v>30</v>
      </c>
    </row>
    <row r="1249" spans="1:10" x14ac:dyDescent="0.25">
      <c r="A1249" t="s">
        <v>22</v>
      </c>
      <c r="B1249" t="s">
        <v>11</v>
      </c>
      <c r="C1249" t="s">
        <v>12</v>
      </c>
      <c r="D1249" t="s">
        <v>14</v>
      </c>
      <c r="E1249">
        <v>0.47058823529411697</v>
      </c>
      <c r="F1249">
        <v>0.787922530127941</v>
      </c>
      <c r="G1249">
        <v>6.8795485496520996</v>
      </c>
      <c r="H1249">
        <v>175</v>
      </c>
      <c r="I1249">
        <v>175</v>
      </c>
      <c r="J1249">
        <v>30</v>
      </c>
    </row>
    <row r="1250" spans="1:10" x14ac:dyDescent="0.25">
      <c r="A1250" t="s">
        <v>22</v>
      </c>
      <c r="B1250" t="s">
        <v>11</v>
      </c>
      <c r="C1250" t="s">
        <v>12</v>
      </c>
      <c r="D1250" t="s">
        <v>14</v>
      </c>
      <c r="E1250">
        <v>0.58823529411764697</v>
      </c>
      <c r="F1250">
        <v>0.77533223211764601</v>
      </c>
      <c r="G1250">
        <v>7.1518399715423504</v>
      </c>
      <c r="H1250">
        <v>161</v>
      </c>
      <c r="I1250">
        <v>160</v>
      </c>
      <c r="J1250">
        <v>30</v>
      </c>
    </row>
    <row r="1251" spans="1:10" x14ac:dyDescent="0.25">
      <c r="A1251" t="s">
        <v>22</v>
      </c>
      <c r="B1251" t="s">
        <v>11</v>
      </c>
      <c r="C1251" t="s">
        <v>12</v>
      </c>
      <c r="D1251" t="s">
        <v>14</v>
      </c>
      <c r="E1251">
        <v>0.58823529411764697</v>
      </c>
      <c r="F1251">
        <v>0.77918129457058805</v>
      </c>
      <c r="G1251">
        <v>7.2632334232330296</v>
      </c>
      <c r="H1251">
        <v>171</v>
      </c>
      <c r="I1251">
        <v>171</v>
      </c>
      <c r="J1251">
        <v>30</v>
      </c>
    </row>
    <row r="1252" spans="1:10" x14ac:dyDescent="0.25">
      <c r="A1252" t="s">
        <v>22</v>
      </c>
      <c r="B1252" t="s">
        <v>11</v>
      </c>
      <c r="C1252" t="s">
        <v>12</v>
      </c>
      <c r="D1252" t="s">
        <v>14</v>
      </c>
      <c r="E1252">
        <v>0.52941176470588203</v>
      </c>
      <c r="F1252">
        <v>0.808968782142647</v>
      </c>
      <c r="G1252">
        <v>8.0021052360534597</v>
      </c>
      <c r="H1252">
        <v>190</v>
      </c>
      <c r="I1252">
        <v>190</v>
      </c>
      <c r="J1252">
        <v>30</v>
      </c>
    </row>
    <row r="1253" spans="1:10" x14ac:dyDescent="0.25">
      <c r="A1253" t="s">
        <v>22</v>
      </c>
      <c r="B1253" t="s">
        <v>11</v>
      </c>
      <c r="C1253" t="s">
        <v>12</v>
      </c>
      <c r="D1253" t="s">
        <v>14</v>
      </c>
      <c r="E1253">
        <v>0.60294117647058798</v>
      </c>
      <c r="F1253">
        <v>0.80972828773676397</v>
      </c>
      <c r="G1253">
        <v>8.4432451725006104</v>
      </c>
      <c r="H1253">
        <v>189</v>
      </c>
      <c r="I1253">
        <v>189</v>
      </c>
      <c r="J1253">
        <v>30</v>
      </c>
    </row>
    <row r="1254" spans="1:10" x14ac:dyDescent="0.25">
      <c r="A1254" t="s">
        <v>22</v>
      </c>
      <c r="B1254" t="s">
        <v>11</v>
      </c>
      <c r="C1254" t="s">
        <v>12</v>
      </c>
      <c r="D1254" t="s">
        <v>14</v>
      </c>
      <c r="E1254">
        <v>0.47058823529411697</v>
      </c>
      <c r="F1254">
        <v>0.78883836521617601</v>
      </c>
      <c r="G1254">
        <v>7.8734869956970197</v>
      </c>
      <c r="H1254">
        <v>189</v>
      </c>
      <c r="I1254">
        <v>189</v>
      </c>
      <c r="J1254">
        <v>30</v>
      </c>
    </row>
    <row r="1255" spans="1:10" x14ac:dyDescent="0.25">
      <c r="A1255" t="s">
        <v>22</v>
      </c>
      <c r="B1255" t="s">
        <v>11</v>
      </c>
      <c r="C1255" t="s">
        <v>12</v>
      </c>
      <c r="D1255" t="s">
        <v>14</v>
      </c>
      <c r="E1255">
        <v>0.47058823529411697</v>
      </c>
      <c r="F1255">
        <v>0.777971743639705</v>
      </c>
      <c r="G1255">
        <v>8.51010870933532</v>
      </c>
      <c r="H1255">
        <v>193</v>
      </c>
      <c r="I1255">
        <v>192</v>
      </c>
      <c r="J1255">
        <v>30</v>
      </c>
    </row>
    <row r="1256" spans="1:10" x14ac:dyDescent="0.25">
      <c r="A1256" t="s">
        <v>22</v>
      </c>
      <c r="B1256" t="s">
        <v>11</v>
      </c>
      <c r="C1256" t="s">
        <v>12</v>
      </c>
      <c r="D1256" t="s">
        <v>14</v>
      </c>
      <c r="E1256">
        <v>0.60294117647058798</v>
      </c>
      <c r="F1256">
        <v>0.78825439723823498</v>
      </c>
      <c r="G1256">
        <v>8.3648436069488508</v>
      </c>
      <c r="H1256">
        <v>193</v>
      </c>
      <c r="I1256">
        <v>192</v>
      </c>
      <c r="J1256">
        <v>30</v>
      </c>
    </row>
    <row r="1257" spans="1:10" x14ac:dyDescent="0.25">
      <c r="A1257" t="s">
        <v>22</v>
      </c>
      <c r="B1257" t="s">
        <v>11</v>
      </c>
      <c r="C1257" t="s">
        <v>12</v>
      </c>
      <c r="D1257" t="s">
        <v>14</v>
      </c>
      <c r="E1257">
        <v>0.61764705882352899</v>
      </c>
      <c r="F1257">
        <v>0.79388844716764695</v>
      </c>
      <c r="G1257">
        <v>8.0886871814727694</v>
      </c>
      <c r="H1257">
        <v>192</v>
      </c>
      <c r="I1257">
        <v>191</v>
      </c>
      <c r="J1257">
        <v>30</v>
      </c>
    </row>
    <row r="1258" spans="1:10" x14ac:dyDescent="0.25">
      <c r="A1258" t="s">
        <v>22</v>
      </c>
      <c r="B1258" t="s">
        <v>11</v>
      </c>
      <c r="C1258" t="s">
        <v>12</v>
      </c>
      <c r="D1258" t="s">
        <v>14</v>
      </c>
      <c r="E1258">
        <v>0.58823529411764697</v>
      </c>
      <c r="F1258">
        <v>0.80449195144117602</v>
      </c>
      <c r="G1258">
        <v>8.4562981128692591</v>
      </c>
      <c r="H1258">
        <v>184</v>
      </c>
      <c r="I1258">
        <v>183</v>
      </c>
      <c r="J1258">
        <v>30</v>
      </c>
    </row>
    <row r="1259" spans="1:10" x14ac:dyDescent="0.25">
      <c r="A1259" t="s">
        <v>22</v>
      </c>
      <c r="B1259" t="s">
        <v>11</v>
      </c>
      <c r="C1259" t="s">
        <v>12</v>
      </c>
      <c r="D1259" t="s">
        <v>14</v>
      </c>
      <c r="E1259">
        <v>0.54411764705882304</v>
      </c>
      <c r="F1259">
        <v>0.79165247307499997</v>
      </c>
      <c r="G1259">
        <v>8.3886272907256991</v>
      </c>
      <c r="H1259">
        <v>191</v>
      </c>
      <c r="I1259">
        <v>190</v>
      </c>
      <c r="J1259">
        <v>30</v>
      </c>
    </row>
    <row r="1260" spans="1:10" x14ac:dyDescent="0.25">
      <c r="A1260" t="s">
        <v>22</v>
      </c>
      <c r="B1260" t="s">
        <v>11</v>
      </c>
      <c r="C1260" t="s">
        <v>12</v>
      </c>
      <c r="D1260" t="s">
        <v>14</v>
      </c>
      <c r="E1260">
        <v>0.63235294117647001</v>
      </c>
      <c r="F1260">
        <v>0.806348925580882</v>
      </c>
      <c r="G1260">
        <v>8.0908982753753609</v>
      </c>
      <c r="H1260">
        <v>194</v>
      </c>
      <c r="I1260">
        <v>194</v>
      </c>
      <c r="J1260">
        <v>30</v>
      </c>
    </row>
    <row r="1261" spans="1:10" x14ac:dyDescent="0.25">
      <c r="A1261" t="s">
        <v>22</v>
      </c>
      <c r="B1261" t="s">
        <v>11</v>
      </c>
      <c r="C1261" t="s">
        <v>12</v>
      </c>
      <c r="D1261" t="s">
        <v>14</v>
      </c>
      <c r="E1261">
        <v>0.55882352941176405</v>
      </c>
      <c r="F1261">
        <v>0.77516301841176405</v>
      </c>
      <c r="G1261">
        <v>7.72574758529663</v>
      </c>
      <c r="H1261">
        <v>178</v>
      </c>
      <c r="I1261">
        <v>177</v>
      </c>
      <c r="J1261">
        <v>30</v>
      </c>
    </row>
    <row r="1262" spans="1:10" x14ac:dyDescent="0.25">
      <c r="A1262" t="s">
        <v>22</v>
      </c>
      <c r="B1262" t="s">
        <v>11</v>
      </c>
      <c r="C1262" t="s">
        <v>12</v>
      </c>
      <c r="D1262" t="s">
        <v>15</v>
      </c>
      <c r="E1262">
        <v>0</v>
      </c>
      <c r="F1262">
        <v>0.75</v>
      </c>
      <c r="G1262">
        <v>4.1677713394164997E-2</v>
      </c>
      <c r="H1262">
        <v>0</v>
      </c>
      <c r="I1262">
        <v>0</v>
      </c>
      <c r="J1262">
        <v>30</v>
      </c>
    </row>
    <row r="1263" spans="1:10" x14ac:dyDescent="0.25">
      <c r="A1263" t="s">
        <v>22</v>
      </c>
      <c r="B1263" t="s">
        <v>11</v>
      </c>
      <c r="C1263" t="s">
        <v>12</v>
      </c>
      <c r="D1263" t="s">
        <v>15</v>
      </c>
      <c r="E1263">
        <v>0</v>
      </c>
      <c r="F1263">
        <v>0.75</v>
      </c>
      <c r="G1263">
        <v>5.10065555572509E-2</v>
      </c>
      <c r="H1263">
        <v>0</v>
      </c>
      <c r="I1263">
        <v>0</v>
      </c>
      <c r="J1263">
        <v>30</v>
      </c>
    </row>
    <row r="1264" spans="1:10" x14ac:dyDescent="0.25">
      <c r="A1264" t="s">
        <v>22</v>
      </c>
      <c r="B1264" t="s">
        <v>11</v>
      </c>
      <c r="C1264" t="s">
        <v>12</v>
      </c>
      <c r="D1264" t="s">
        <v>15</v>
      </c>
      <c r="E1264">
        <v>0</v>
      </c>
      <c r="F1264">
        <v>0.75</v>
      </c>
      <c r="G1264">
        <v>5.9240102767944301E-2</v>
      </c>
      <c r="H1264">
        <v>0</v>
      </c>
      <c r="I1264">
        <v>0</v>
      </c>
      <c r="J1264">
        <v>30</v>
      </c>
    </row>
    <row r="1265" spans="1:10" x14ac:dyDescent="0.25">
      <c r="A1265" t="s">
        <v>22</v>
      </c>
      <c r="B1265" t="s">
        <v>11</v>
      </c>
      <c r="C1265" t="s">
        <v>12</v>
      </c>
      <c r="D1265" t="s">
        <v>15</v>
      </c>
      <c r="E1265">
        <v>0</v>
      </c>
      <c r="F1265">
        <v>0.75</v>
      </c>
      <c r="G1265">
        <v>6.28814697265625E-2</v>
      </c>
      <c r="H1265">
        <v>0</v>
      </c>
      <c r="I1265">
        <v>0</v>
      </c>
      <c r="J1265">
        <v>30</v>
      </c>
    </row>
    <row r="1266" spans="1:10" x14ac:dyDescent="0.25">
      <c r="A1266" t="s">
        <v>22</v>
      </c>
      <c r="B1266" t="s">
        <v>11</v>
      </c>
      <c r="C1266" t="s">
        <v>12</v>
      </c>
      <c r="D1266" t="s">
        <v>15</v>
      </c>
      <c r="E1266">
        <v>0</v>
      </c>
      <c r="F1266">
        <v>0.75</v>
      </c>
      <c r="G1266">
        <v>7.0909976959228502E-2</v>
      </c>
      <c r="H1266">
        <v>0</v>
      </c>
      <c r="I1266">
        <v>0</v>
      </c>
      <c r="J1266">
        <v>30</v>
      </c>
    </row>
    <row r="1267" spans="1:10" x14ac:dyDescent="0.25">
      <c r="A1267" t="s">
        <v>22</v>
      </c>
      <c r="B1267" t="s">
        <v>11</v>
      </c>
      <c r="C1267" t="s">
        <v>12</v>
      </c>
      <c r="D1267" t="s">
        <v>15</v>
      </c>
      <c r="E1267">
        <v>0</v>
      </c>
      <c r="F1267">
        <v>0.75</v>
      </c>
      <c r="G1267">
        <v>6.1871290206909103E-2</v>
      </c>
      <c r="H1267">
        <v>0</v>
      </c>
      <c r="I1267">
        <v>0</v>
      </c>
      <c r="J1267">
        <v>30</v>
      </c>
    </row>
    <row r="1268" spans="1:10" x14ac:dyDescent="0.25">
      <c r="A1268" t="s">
        <v>22</v>
      </c>
      <c r="B1268" t="s">
        <v>11</v>
      </c>
      <c r="C1268" t="s">
        <v>12</v>
      </c>
      <c r="D1268" t="s">
        <v>15</v>
      </c>
      <c r="E1268">
        <v>0</v>
      </c>
      <c r="F1268">
        <v>0.75</v>
      </c>
      <c r="G1268">
        <v>6.7910671234130804E-2</v>
      </c>
      <c r="H1268">
        <v>0</v>
      </c>
      <c r="I1268">
        <v>0</v>
      </c>
      <c r="J1268">
        <v>30</v>
      </c>
    </row>
    <row r="1269" spans="1:10" x14ac:dyDescent="0.25">
      <c r="A1269" t="s">
        <v>22</v>
      </c>
      <c r="B1269" t="s">
        <v>11</v>
      </c>
      <c r="C1269" t="s">
        <v>12</v>
      </c>
      <c r="D1269" t="s">
        <v>15</v>
      </c>
      <c r="E1269">
        <v>0</v>
      </c>
      <c r="F1269">
        <v>0.75</v>
      </c>
      <c r="G1269">
        <v>7.5902700424194294E-2</v>
      </c>
      <c r="H1269">
        <v>0</v>
      </c>
      <c r="I1269">
        <v>0</v>
      </c>
      <c r="J1269">
        <v>30</v>
      </c>
    </row>
    <row r="1270" spans="1:10" x14ac:dyDescent="0.25">
      <c r="A1270" t="s">
        <v>22</v>
      </c>
      <c r="B1270" t="s">
        <v>11</v>
      </c>
      <c r="C1270" t="s">
        <v>12</v>
      </c>
      <c r="D1270" t="s">
        <v>15</v>
      </c>
      <c r="E1270">
        <v>0</v>
      </c>
      <c r="F1270">
        <v>0.75</v>
      </c>
      <c r="G1270">
        <v>7.7902793884277302E-2</v>
      </c>
      <c r="H1270">
        <v>0</v>
      </c>
      <c r="I1270">
        <v>0</v>
      </c>
      <c r="J1270">
        <v>30</v>
      </c>
    </row>
    <row r="1271" spans="1:10" x14ac:dyDescent="0.25">
      <c r="A1271" t="s">
        <v>22</v>
      </c>
      <c r="B1271" t="s">
        <v>11</v>
      </c>
      <c r="C1271" t="s">
        <v>12</v>
      </c>
      <c r="D1271" t="s">
        <v>15</v>
      </c>
      <c r="E1271">
        <v>0</v>
      </c>
      <c r="F1271">
        <v>0.75</v>
      </c>
      <c r="G1271">
        <v>7.9903841018676702E-2</v>
      </c>
      <c r="H1271">
        <v>0</v>
      </c>
      <c r="I1271">
        <v>0</v>
      </c>
      <c r="J1271">
        <v>30</v>
      </c>
    </row>
    <row r="1272" spans="1:10" x14ac:dyDescent="0.25">
      <c r="A1272" t="s">
        <v>22</v>
      </c>
      <c r="B1272" t="s">
        <v>11</v>
      </c>
      <c r="C1272" t="s">
        <v>12</v>
      </c>
      <c r="D1272" t="s">
        <v>15</v>
      </c>
      <c r="E1272">
        <v>0</v>
      </c>
      <c r="F1272">
        <v>0.75</v>
      </c>
      <c r="G1272">
        <v>8.0904960632324205E-2</v>
      </c>
      <c r="H1272">
        <v>0</v>
      </c>
      <c r="I1272">
        <v>0</v>
      </c>
      <c r="J1272">
        <v>30</v>
      </c>
    </row>
    <row r="1273" spans="1:10" x14ac:dyDescent="0.25">
      <c r="A1273" t="s">
        <v>22</v>
      </c>
      <c r="B1273" t="s">
        <v>11</v>
      </c>
      <c r="C1273" t="s">
        <v>12</v>
      </c>
      <c r="D1273" t="s">
        <v>15</v>
      </c>
      <c r="E1273">
        <v>0</v>
      </c>
      <c r="F1273">
        <v>0.75</v>
      </c>
      <c r="G1273">
        <v>7.1909904479980399E-2</v>
      </c>
      <c r="H1273">
        <v>0</v>
      </c>
      <c r="I1273">
        <v>0</v>
      </c>
      <c r="J1273">
        <v>30</v>
      </c>
    </row>
    <row r="1274" spans="1:10" x14ac:dyDescent="0.25">
      <c r="A1274" t="s">
        <v>22</v>
      </c>
      <c r="B1274" t="s">
        <v>11</v>
      </c>
      <c r="C1274" t="s">
        <v>12</v>
      </c>
      <c r="D1274" t="s">
        <v>15</v>
      </c>
      <c r="E1274">
        <v>0</v>
      </c>
      <c r="F1274">
        <v>0.75</v>
      </c>
      <c r="G1274">
        <v>8.7110996246337793E-2</v>
      </c>
      <c r="H1274">
        <v>0</v>
      </c>
      <c r="I1274">
        <v>0</v>
      </c>
      <c r="J1274">
        <v>30</v>
      </c>
    </row>
    <row r="1275" spans="1:10" x14ac:dyDescent="0.25">
      <c r="A1275" t="s">
        <v>22</v>
      </c>
      <c r="B1275" t="s">
        <v>11</v>
      </c>
      <c r="C1275" t="s">
        <v>12</v>
      </c>
      <c r="D1275" t="s">
        <v>15</v>
      </c>
      <c r="E1275">
        <v>0</v>
      </c>
      <c r="F1275">
        <v>0.75</v>
      </c>
      <c r="G1275">
        <v>7.8910827636718694E-2</v>
      </c>
      <c r="H1275">
        <v>0</v>
      </c>
      <c r="I1275">
        <v>0</v>
      </c>
      <c r="J1275">
        <v>30</v>
      </c>
    </row>
    <row r="1276" spans="1:10" x14ac:dyDescent="0.25">
      <c r="A1276" t="s">
        <v>22</v>
      </c>
      <c r="B1276" t="s">
        <v>11</v>
      </c>
      <c r="C1276" t="s">
        <v>12</v>
      </c>
      <c r="D1276" t="s">
        <v>15</v>
      </c>
      <c r="E1276">
        <v>0</v>
      </c>
      <c r="F1276">
        <v>0.75</v>
      </c>
      <c r="G1276">
        <v>9.9917888641357394E-2</v>
      </c>
      <c r="H1276">
        <v>1</v>
      </c>
      <c r="I1276">
        <v>3</v>
      </c>
      <c r="J1276">
        <v>30</v>
      </c>
    </row>
    <row r="1277" spans="1:10" x14ac:dyDescent="0.25">
      <c r="A1277" t="s">
        <v>22</v>
      </c>
      <c r="B1277" t="s">
        <v>11</v>
      </c>
      <c r="C1277" t="s">
        <v>12</v>
      </c>
      <c r="D1277" t="s">
        <v>15</v>
      </c>
      <c r="E1277">
        <v>0</v>
      </c>
      <c r="F1277">
        <v>0.75</v>
      </c>
      <c r="G1277">
        <v>0.102925062179565</v>
      </c>
      <c r="H1277">
        <v>1</v>
      </c>
      <c r="I1277">
        <v>3</v>
      </c>
      <c r="J1277">
        <v>30</v>
      </c>
    </row>
    <row r="1278" spans="1:10" x14ac:dyDescent="0.25">
      <c r="A1278" t="s">
        <v>22</v>
      </c>
      <c r="B1278" t="s">
        <v>11</v>
      </c>
      <c r="C1278" t="s">
        <v>12</v>
      </c>
      <c r="D1278" t="s">
        <v>15</v>
      </c>
      <c r="E1278">
        <v>0</v>
      </c>
      <c r="F1278">
        <v>0.75</v>
      </c>
      <c r="G1278">
        <v>0.10742974281311</v>
      </c>
      <c r="H1278">
        <v>1</v>
      </c>
      <c r="I1278">
        <v>3</v>
      </c>
      <c r="J1278">
        <v>30</v>
      </c>
    </row>
    <row r="1279" spans="1:10" x14ac:dyDescent="0.25">
      <c r="A1279" t="s">
        <v>22</v>
      </c>
      <c r="B1279" t="s">
        <v>11</v>
      </c>
      <c r="C1279" t="s">
        <v>12</v>
      </c>
      <c r="D1279" t="s">
        <v>15</v>
      </c>
      <c r="E1279">
        <v>0</v>
      </c>
      <c r="F1279">
        <v>0.75</v>
      </c>
      <c r="G1279">
        <v>0.110172986984252</v>
      </c>
      <c r="H1279">
        <v>2</v>
      </c>
      <c r="I1279">
        <v>4</v>
      </c>
      <c r="J1279">
        <v>30</v>
      </c>
    </row>
    <row r="1280" spans="1:10" x14ac:dyDescent="0.25">
      <c r="A1280" t="s">
        <v>22</v>
      </c>
      <c r="B1280" t="s">
        <v>11</v>
      </c>
      <c r="C1280" t="s">
        <v>12</v>
      </c>
      <c r="D1280" t="s">
        <v>15</v>
      </c>
      <c r="E1280">
        <v>0</v>
      </c>
      <c r="F1280">
        <v>0.75</v>
      </c>
      <c r="G1280">
        <v>0.107861518859863</v>
      </c>
      <c r="H1280">
        <v>2</v>
      </c>
      <c r="I1280">
        <v>5</v>
      </c>
      <c r="J1280">
        <v>30</v>
      </c>
    </row>
    <row r="1281" spans="1:10" x14ac:dyDescent="0.25">
      <c r="A1281" t="s">
        <v>22</v>
      </c>
      <c r="B1281" t="s">
        <v>11</v>
      </c>
      <c r="C1281" t="s">
        <v>12</v>
      </c>
      <c r="D1281" t="s">
        <v>15</v>
      </c>
      <c r="E1281">
        <v>0</v>
      </c>
      <c r="F1281">
        <v>0.75</v>
      </c>
      <c r="G1281">
        <v>7.3415040969848605E-2</v>
      </c>
      <c r="H1281">
        <v>0</v>
      </c>
      <c r="I1281">
        <v>0</v>
      </c>
      <c r="J1281">
        <v>30</v>
      </c>
    </row>
    <row r="1282" spans="1:10" x14ac:dyDescent="0.25">
      <c r="A1282" t="s">
        <v>22</v>
      </c>
      <c r="B1282" t="s">
        <v>11</v>
      </c>
      <c r="C1282" t="s">
        <v>12</v>
      </c>
      <c r="D1282" t="s">
        <v>15</v>
      </c>
      <c r="E1282">
        <v>0</v>
      </c>
      <c r="F1282">
        <v>0.75</v>
      </c>
      <c r="G1282">
        <v>6.7910671234130804E-2</v>
      </c>
      <c r="H1282">
        <v>0</v>
      </c>
      <c r="I1282">
        <v>0</v>
      </c>
      <c r="J1282">
        <v>30</v>
      </c>
    </row>
    <row r="1283" spans="1:10" x14ac:dyDescent="0.25">
      <c r="A1283" t="s">
        <v>22</v>
      </c>
      <c r="B1283" t="s">
        <v>11</v>
      </c>
      <c r="C1283" t="s">
        <v>12</v>
      </c>
      <c r="D1283" t="s">
        <v>15</v>
      </c>
      <c r="E1283">
        <v>0</v>
      </c>
      <c r="F1283">
        <v>0.75</v>
      </c>
      <c r="G1283">
        <v>6.1658620834350503E-2</v>
      </c>
      <c r="H1283">
        <v>0</v>
      </c>
      <c r="I1283">
        <v>0</v>
      </c>
      <c r="J1283">
        <v>30</v>
      </c>
    </row>
    <row r="1284" spans="1:10" x14ac:dyDescent="0.25">
      <c r="A1284" t="s">
        <v>22</v>
      </c>
      <c r="B1284" t="s">
        <v>11</v>
      </c>
      <c r="C1284" t="s">
        <v>12</v>
      </c>
      <c r="D1284" t="s">
        <v>15</v>
      </c>
      <c r="E1284">
        <v>0</v>
      </c>
      <c r="F1284">
        <v>0.75</v>
      </c>
      <c r="G1284">
        <v>7.3415040969848605E-2</v>
      </c>
      <c r="H1284">
        <v>0</v>
      </c>
      <c r="I1284">
        <v>0</v>
      </c>
      <c r="J1284">
        <v>30</v>
      </c>
    </row>
    <row r="1285" spans="1:10" x14ac:dyDescent="0.25">
      <c r="A1285" t="s">
        <v>22</v>
      </c>
      <c r="B1285" t="s">
        <v>11</v>
      </c>
      <c r="C1285" t="s">
        <v>12</v>
      </c>
      <c r="D1285" t="s">
        <v>15</v>
      </c>
      <c r="E1285">
        <v>0</v>
      </c>
      <c r="F1285">
        <v>0.75</v>
      </c>
      <c r="G1285">
        <v>0.16382694244384699</v>
      </c>
      <c r="H1285">
        <v>8</v>
      </c>
      <c r="I1285">
        <v>19</v>
      </c>
      <c r="J1285">
        <v>30</v>
      </c>
    </row>
    <row r="1286" spans="1:10" x14ac:dyDescent="0.25">
      <c r="A1286" t="s">
        <v>22</v>
      </c>
      <c r="B1286" t="s">
        <v>11</v>
      </c>
      <c r="C1286" t="s">
        <v>12</v>
      </c>
      <c r="D1286" t="s">
        <v>15</v>
      </c>
      <c r="E1286">
        <v>0</v>
      </c>
      <c r="F1286">
        <v>0.75</v>
      </c>
      <c r="G1286">
        <v>0.16793775558471599</v>
      </c>
      <c r="H1286">
        <v>7</v>
      </c>
      <c r="I1286">
        <v>20</v>
      </c>
      <c r="J1286">
        <v>30</v>
      </c>
    </row>
    <row r="1287" spans="1:10" x14ac:dyDescent="0.25">
      <c r="A1287" t="s">
        <v>22</v>
      </c>
      <c r="B1287" t="s">
        <v>11</v>
      </c>
      <c r="C1287" t="s">
        <v>12</v>
      </c>
      <c r="D1287" t="s">
        <v>15</v>
      </c>
      <c r="E1287">
        <v>0</v>
      </c>
      <c r="F1287">
        <v>0.75</v>
      </c>
      <c r="G1287">
        <v>0.18508887290954501</v>
      </c>
      <c r="H1287">
        <v>8</v>
      </c>
      <c r="I1287">
        <v>24</v>
      </c>
      <c r="J1287">
        <v>30</v>
      </c>
    </row>
    <row r="1288" spans="1:10" x14ac:dyDescent="0.25">
      <c r="A1288" t="s">
        <v>22</v>
      </c>
      <c r="B1288" t="s">
        <v>11</v>
      </c>
      <c r="C1288" t="s">
        <v>12</v>
      </c>
      <c r="D1288" t="s">
        <v>15</v>
      </c>
      <c r="E1288">
        <v>0</v>
      </c>
      <c r="F1288">
        <v>0.75</v>
      </c>
      <c r="G1288">
        <v>6.0156106948852497E-2</v>
      </c>
      <c r="H1288">
        <v>0</v>
      </c>
      <c r="I1288">
        <v>0</v>
      </c>
      <c r="J1288">
        <v>30</v>
      </c>
    </row>
    <row r="1289" spans="1:10" x14ac:dyDescent="0.25">
      <c r="A1289" t="s">
        <v>22</v>
      </c>
      <c r="B1289" t="s">
        <v>11</v>
      </c>
      <c r="C1289" t="s">
        <v>12</v>
      </c>
      <c r="D1289" t="s">
        <v>15</v>
      </c>
      <c r="E1289">
        <v>0</v>
      </c>
      <c r="F1289">
        <v>0.75</v>
      </c>
      <c r="G1289">
        <v>7.7902793884277302E-2</v>
      </c>
      <c r="H1289">
        <v>0</v>
      </c>
      <c r="I1289">
        <v>0</v>
      </c>
      <c r="J1289">
        <v>30</v>
      </c>
    </row>
    <row r="1290" spans="1:10" x14ac:dyDescent="0.25">
      <c r="A1290" t="s">
        <v>22</v>
      </c>
      <c r="B1290" t="s">
        <v>11</v>
      </c>
      <c r="C1290" t="s">
        <v>12</v>
      </c>
      <c r="D1290" t="s">
        <v>15</v>
      </c>
      <c r="E1290">
        <v>0</v>
      </c>
      <c r="F1290">
        <v>0.75</v>
      </c>
      <c r="G1290">
        <v>7.4854612350463798E-2</v>
      </c>
      <c r="H1290">
        <v>0</v>
      </c>
      <c r="I1290">
        <v>0</v>
      </c>
      <c r="J1290">
        <v>30</v>
      </c>
    </row>
    <row r="1291" spans="1:10" x14ac:dyDescent="0.25">
      <c r="A1291" t="s">
        <v>22</v>
      </c>
      <c r="B1291" t="s">
        <v>11</v>
      </c>
      <c r="C1291" t="s">
        <v>12</v>
      </c>
      <c r="D1291" t="s">
        <v>15</v>
      </c>
      <c r="E1291">
        <v>0</v>
      </c>
      <c r="F1291">
        <v>0.75</v>
      </c>
      <c r="G1291">
        <v>6.6845178604125893E-2</v>
      </c>
      <c r="H1291">
        <v>0</v>
      </c>
      <c r="I1291">
        <v>0</v>
      </c>
      <c r="J1291">
        <v>30</v>
      </c>
    </row>
    <row r="1292" spans="1:10" x14ac:dyDescent="0.25">
      <c r="A1292" t="s">
        <v>22</v>
      </c>
      <c r="B1292" t="s">
        <v>11</v>
      </c>
      <c r="C1292" t="s">
        <v>12</v>
      </c>
      <c r="D1292" t="s">
        <v>16</v>
      </c>
      <c r="E1292">
        <v>0</v>
      </c>
      <c r="F1292">
        <v>0.75</v>
      </c>
      <c r="G1292">
        <v>0.108744144439697</v>
      </c>
      <c r="H1292">
        <v>0</v>
      </c>
      <c r="I1292">
        <v>0</v>
      </c>
      <c r="J1292">
        <v>30</v>
      </c>
    </row>
    <row r="1293" spans="1:10" x14ac:dyDescent="0.25">
      <c r="A1293" t="s">
        <v>22</v>
      </c>
      <c r="B1293" t="s">
        <v>11</v>
      </c>
      <c r="C1293" t="s">
        <v>12</v>
      </c>
      <c r="D1293" t="s">
        <v>16</v>
      </c>
      <c r="E1293">
        <v>0</v>
      </c>
      <c r="F1293">
        <v>0.75</v>
      </c>
      <c r="G1293">
        <v>0.11828875541687001</v>
      </c>
      <c r="H1293">
        <v>0</v>
      </c>
      <c r="I1293">
        <v>0</v>
      </c>
      <c r="J1293">
        <v>30</v>
      </c>
    </row>
    <row r="1294" spans="1:10" x14ac:dyDescent="0.25">
      <c r="A1294" t="s">
        <v>22</v>
      </c>
      <c r="B1294" t="s">
        <v>11</v>
      </c>
      <c r="C1294" t="s">
        <v>12</v>
      </c>
      <c r="D1294" t="s">
        <v>16</v>
      </c>
      <c r="E1294">
        <v>0</v>
      </c>
      <c r="F1294">
        <v>0.75</v>
      </c>
      <c r="G1294">
        <v>0.128148078918457</v>
      </c>
      <c r="H1294">
        <v>0</v>
      </c>
      <c r="I1294">
        <v>0</v>
      </c>
      <c r="J1294">
        <v>30</v>
      </c>
    </row>
    <row r="1295" spans="1:10" x14ac:dyDescent="0.25">
      <c r="A1295" t="s">
        <v>22</v>
      </c>
      <c r="B1295" t="s">
        <v>11</v>
      </c>
      <c r="C1295" t="s">
        <v>12</v>
      </c>
      <c r="D1295" t="s">
        <v>16</v>
      </c>
      <c r="E1295">
        <v>0</v>
      </c>
      <c r="F1295">
        <v>0.75</v>
      </c>
      <c r="G1295">
        <v>0.13221502304077101</v>
      </c>
      <c r="H1295">
        <v>0</v>
      </c>
      <c r="I1295">
        <v>0</v>
      </c>
      <c r="J1295">
        <v>30</v>
      </c>
    </row>
    <row r="1296" spans="1:10" x14ac:dyDescent="0.25">
      <c r="A1296" t="s">
        <v>22</v>
      </c>
      <c r="B1296" t="s">
        <v>11</v>
      </c>
      <c r="C1296" t="s">
        <v>12</v>
      </c>
      <c r="D1296" t="s">
        <v>16</v>
      </c>
      <c r="E1296">
        <v>0</v>
      </c>
      <c r="F1296">
        <v>0.75</v>
      </c>
      <c r="G1296">
        <v>0.1187105178833</v>
      </c>
      <c r="H1296">
        <v>0</v>
      </c>
      <c r="I1296">
        <v>0</v>
      </c>
      <c r="J1296">
        <v>30</v>
      </c>
    </row>
    <row r="1297" spans="1:10" x14ac:dyDescent="0.25">
      <c r="A1297" t="s">
        <v>22</v>
      </c>
      <c r="B1297" t="s">
        <v>11</v>
      </c>
      <c r="C1297" t="s">
        <v>12</v>
      </c>
      <c r="D1297" t="s">
        <v>16</v>
      </c>
      <c r="E1297">
        <v>0</v>
      </c>
      <c r="F1297">
        <v>0.75</v>
      </c>
      <c r="G1297">
        <v>0.122710466384887</v>
      </c>
      <c r="H1297">
        <v>0</v>
      </c>
      <c r="I1297">
        <v>0</v>
      </c>
      <c r="J1297">
        <v>30</v>
      </c>
    </row>
    <row r="1298" spans="1:10" x14ac:dyDescent="0.25">
      <c r="A1298" t="s">
        <v>22</v>
      </c>
      <c r="B1298" t="s">
        <v>11</v>
      </c>
      <c r="C1298" t="s">
        <v>12</v>
      </c>
      <c r="D1298" t="s">
        <v>16</v>
      </c>
      <c r="E1298">
        <v>0</v>
      </c>
      <c r="F1298">
        <v>0.75</v>
      </c>
      <c r="G1298">
        <v>0.13789892196655201</v>
      </c>
      <c r="H1298">
        <v>0</v>
      </c>
      <c r="I1298">
        <v>0</v>
      </c>
      <c r="J1298">
        <v>30</v>
      </c>
    </row>
    <row r="1299" spans="1:10" x14ac:dyDescent="0.25">
      <c r="A1299" t="s">
        <v>22</v>
      </c>
      <c r="B1299" t="s">
        <v>11</v>
      </c>
      <c r="C1299" t="s">
        <v>12</v>
      </c>
      <c r="D1299" t="s">
        <v>16</v>
      </c>
      <c r="E1299">
        <v>0</v>
      </c>
      <c r="F1299">
        <v>0.75</v>
      </c>
      <c r="G1299">
        <v>0.134241342544555</v>
      </c>
      <c r="H1299">
        <v>0</v>
      </c>
      <c r="I1299">
        <v>0</v>
      </c>
      <c r="J1299">
        <v>30</v>
      </c>
    </row>
    <row r="1300" spans="1:10" x14ac:dyDescent="0.25">
      <c r="A1300" t="s">
        <v>22</v>
      </c>
      <c r="B1300" t="s">
        <v>11</v>
      </c>
      <c r="C1300" t="s">
        <v>12</v>
      </c>
      <c r="D1300" t="s">
        <v>16</v>
      </c>
      <c r="E1300">
        <v>0</v>
      </c>
      <c r="F1300">
        <v>0.75</v>
      </c>
      <c r="G1300">
        <v>0.14824914932250899</v>
      </c>
      <c r="H1300">
        <v>0</v>
      </c>
      <c r="I1300">
        <v>0</v>
      </c>
      <c r="J1300">
        <v>30</v>
      </c>
    </row>
    <row r="1301" spans="1:10" x14ac:dyDescent="0.25">
      <c r="A1301" t="s">
        <v>22</v>
      </c>
      <c r="B1301" t="s">
        <v>11</v>
      </c>
      <c r="C1301" t="s">
        <v>12</v>
      </c>
      <c r="D1301" t="s">
        <v>16</v>
      </c>
      <c r="E1301">
        <v>0</v>
      </c>
      <c r="F1301">
        <v>0.75</v>
      </c>
      <c r="G1301">
        <v>0.13836121559143</v>
      </c>
      <c r="H1301">
        <v>0</v>
      </c>
      <c r="I1301">
        <v>0</v>
      </c>
      <c r="J1301">
        <v>30</v>
      </c>
    </row>
    <row r="1302" spans="1:10" x14ac:dyDescent="0.25">
      <c r="A1302" t="s">
        <v>22</v>
      </c>
      <c r="B1302" t="s">
        <v>11</v>
      </c>
      <c r="C1302" t="s">
        <v>12</v>
      </c>
      <c r="D1302" t="s">
        <v>16</v>
      </c>
      <c r="E1302">
        <v>0</v>
      </c>
      <c r="F1302">
        <v>0.75</v>
      </c>
      <c r="G1302">
        <v>0.15122532844543399</v>
      </c>
      <c r="H1302">
        <v>0</v>
      </c>
      <c r="I1302">
        <v>0</v>
      </c>
      <c r="J1302">
        <v>30</v>
      </c>
    </row>
    <row r="1303" spans="1:10" x14ac:dyDescent="0.25">
      <c r="A1303" t="s">
        <v>22</v>
      </c>
      <c r="B1303" t="s">
        <v>11</v>
      </c>
      <c r="C1303" t="s">
        <v>12</v>
      </c>
      <c r="D1303" t="s">
        <v>16</v>
      </c>
      <c r="E1303">
        <v>0</v>
      </c>
      <c r="F1303">
        <v>0.75</v>
      </c>
      <c r="G1303">
        <v>0.15937352180480899</v>
      </c>
      <c r="H1303">
        <v>0</v>
      </c>
      <c r="I1303">
        <v>0</v>
      </c>
      <c r="J1303">
        <v>30</v>
      </c>
    </row>
    <row r="1304" spans="1:10" x14ac:dyDescent="0.25">
      <c r="A1304" t="s">
        <v>22</v>
      </c>
      <c r="B1304" t="s">
        <v>11</v>
      </c>
      <c r="C1304" t="s">
        <v>12</v>
      </c>
      <c r="D1304" t="s">
        <v>16</v>
      </c>
      <c r="E1304">
        <v>0</v>
      </c>
      <c r="F1304">
        <v>0.75</v>
      </c>
      <c r="G1304">
        <v>0.16321730613708399</v>
      </c>
      <c r="H1304">
        <v>0</v>
      </c>
      <c r="I1304">
        <v>0</v>
      </c>
      <c r="J1304">
        <v>30</v>
      </c>
    </row>
    <row r="1305" spans="1:10" x14ac:dyDescent="0.25">
      <c r="A1305" t="s">
        <v>22</v>
      </c>
      <c r="B1305" t="s">
        <v>11</v>
      </c>
      <c r="C1305" t="s">
        <v>12</v>
      </c>
      <c r="D1305" t="s">
        <v>16</v>
      </c>
      <c r="E1305">
        <v>0</v>
      </c>
      <c r="F1305">
        <v>0.75</v>
      </c>
      <c r="G1305">
        <v>0.17172265052795399</v>
      </c>
      <c r="H1305">
        <v>0</v>
      </c>
      <c r="I1305">
        <v>0</v>
      </c>
      <c r="J1305">
        <v>30</v>
      </c>
    </row>
    <row r="1306" spans="1:10" x14ac:dyDescent="0.25">
      <c r="A1306" t="s">
        <v>22</v>
      </c>
      <c r="B1306" t="s">
        <v>11</v>
      </c>
      <c r="C1306" t="s">
        <v>12</v>
      </c>
      <c r="D1306" t="s">
        <v>16</v>
      </c>
      <c r="E1306">
        <v>0</v>
      </c>
      <c r="F1306">
        <v>0.75</v>
      </c>
      <c r="G1306">
        <v>0.16216182708740201</v>
      </c>
      <c r="H1306">
        <v>0</v>
      </c>
      <c r="I1306">
        <v>0</v>
      </c>
      <c r="J1306">
        <v>30</v>
      </c>
    </row>
    <row r="1307" spans="1:10" x14ac:dyDescent="0.25">
      <c r="A1307" t="s">
        <v>22</v>
      </c>
      <c r="B1307" t="s">
        <v>11</v>
      </c>
      <c r="C1307" t="s">
        <v>12</v>
      </c>
      <c r="D1307" t="s">
        <v>16</v>
      </c>
      <c r="E1307">
        <v>0</v>
      </c>
      <c r="F1307">
        <v>0.75</v>
      </c>
      <c r="G1307">
        <v>0.16573977470397899</v>
      </c>
      <c r="H1307">
        <v>0</v>
      </c>
      <c r="I1307">
        <v>0</v>
      </c>
      <c r="J1307">
        <v>30</v>
      </c>
    </row>
    <row r="1308" spans="1:10" x14ac:dyDescent="0.25">
      <c r="A1308" t="s">
        <v>22</v>
      </c>
      <c r="B1308" t="s">
        <v>11</v>
      </c>
      <c r="C1308" t="s">
        <v>12</v>
      </c>
      <c r="D1308" t="s">
        <v>16</v>
      </c>
      <c r="E1308">
        <v>0</v>
      </c>
      <c r="F1308">
        <v>0.75</v>
      </c>
      <c r="G1308">
        <v>0.178749084472656</v>
      </c>
      <c r="H1308">
        <v>0</v>
      </c>
      <c r="I1308">
        <v>0</v>
      </c>
      <c r="J1308">
        <v>30</v>
      </c>
    </row>
    <row r="1309" spans="1:10" x14ac:dyDescent="0.25">
      <c r="A1309" t="s">
        <v>22</v>
      </c>
      <c r="B1309" t="s">
        <v>11</v>
      </c>
      <c r="C1309" t="s">
        <v>12</v>
      </c>
      <c r="D1309" t="s">
        <v>16</v>
      </c>
      <c r="E1309">
        <v>0</v>
      </c>
      <c r="F1309">
        <v>0.75</v>
      </c>
      <c r="G1309">
        <v>0.17874860763549799</v>
      </c>
      <c r="H1309">
        <v>0</v>
      </c>
      <c r="I1309">
        <v>0</v>
      </c>
      <c r="J1309">
        <v>30</v>
      </c>
    </row>
    <row r="1310" spans="1:10" x14ac:dyDescent="0.25">
      <c r="A1310" t="s">
        <v>22</v>
      </c>
      <c r="B1310" t="s">
        <v>11</v>
      </c>
      <c r="C1310" t="s">
        <v>12</v>
      </c>
      <c r="D1310" t="s">
        <v>16</v>
      </c>
      <c r="E1310">
        <v>0</v>
      </c>
      <c r="F1310">
        <v>0.75</v>
      </c>
      <c r="G1310">
        <v>0.174244165420532</v>
      </c>
      <c r="H1310">
        <v>0</v>
      </c>
      <c r="I1310">
        <v>0</v>
      </c>
      <c r="J1310">
        <v>30</v>
      </c>
    </row>
    <row r="1311" spans="1:10" x14ac:dyDescent="0.25">
      <c r="A1311" t="s">
        <v>22</v>
      </c>
      <c r="B1311" t="s">
        <v>11</v>
      </c>
      <c r="C1311" t="s">
        <v>12</v>
      </c>
      <c r="D1311" t="s">
        <v>16</v>
      </c>
      <c r="E1311">
        <v>0</v>
      </c>
      <c r="F1311">
        <v>0.75</v>
      </c>
      <c r="G1311">
        <v>0.17632055282592701</v>
      </c>
      <c r="H1311">
        <v>0</v>
      </c>
      <c r="I1311">
        <v>0</v>
      </c>
      <c r="J1311">
        <v>30</v>
      </c>
    </row>
    <row r="1312" spans="1:10" x14ac:dyDescent="0.25">
      <c r="A1312" t="s">
        <v>22</v>
      </c>
      <c r="B1312" t="s">
        <v>11</v>
      </c>
      <c r="C1312" t="s">
        <v>12</v>
      </c>
      <c r="D1312" t="s">
        <v>16</v>
      </c>
      <c r="E1312">
        <v>0</v>
      </c>
      <c r="F1312">
        <v>0.75</v>
      </c>
      <c r="G1312">
        <v>0.17832088470458901</v>
      </c>
      <c r="H1312">
        <v>0</v>
      </c>
      <c r="I1312">
        <v>0</v>
      </c>
      <c r="J1312">
        <v>30</v>
      </c>
    </row>
    <row r="1313" spans="1:10" x14ac:dyDescent="0.25">
      <c r="A1313" t="s">
        <v>22</v>
      </c>
      <c r="B1313" t="s">
        <v>11</v>
      </c>
      <c r="C1313" t="s">
        <v>12</v>
      </c>
      <c r="D1313" t="s">
        <v>16</v>
      </c>
      <c r="E1313">
        <v>0</v>
      </c>
      <c r="F1313">
        <v>0.75</v>
      </c>
      <c r="G1313">
        <v>0.18154811859130801</v>
      </c>
      <c r="H1313">
        <v>0</v>
      </c>
      <c r="I1313">
        <v>0</v>
      </c>
      <c r="J1313">
        <v>30</v>
      </c>
    </row>
    <row r="1314" spans="1:10" x14ac:dyDescent="0.25">
      <c r="A1314" t="s">
        <v>22</v>
      </c>
      <c r="B1314" t="s">
        <v>11</v>
      </c>
      <c r="C1314" t="s">
        <v>12</v>
      </c>
      <c r="D1314" t="s">
        <v>16</v>
      </c>
      <c r="E1314">
        <v>0</v>
      </c>
      <c r="F1314">
        <v>0.75</v>
      </c>
      <c r="G1314">
        <v>0.178905248641967</v>
      </c>
      <c r="H1314">
        <v>0</v>
      </c>
      <c r="I1314">
        <v>0</v>
      </c>
      <c r="J1314">
        <v>30</v>
      </c>
    </row>
    <row r="1315" spans="1:10" x14ac:dyDescent="0.25">
      <c r="A1315" t="s">
        <v>22</v>
      </c>
      <c r="B1315" t="s">
        <v>11</v>
      </c>
      <c r="C1315" t="s">
        <v>12</v>
      </c>
      <c r="D1315" t="s">
        <v>16</v>
      </c>
      <c r="E1315">
        <v>0</v>
      </c>
      <c r="F1315">
        <v>0.75</v>
      </c>
      <c r="G1315">
        <v>0.18849205970764099</v>
      </c>
      <c r="H1315">
        <v>0</v>
      </c>
      <c r="I1315">
        <v>0</v>
      </c>
      <c r="J1315">
        <v>30</v>
      </c>
    </row>
    <row r="1316" spans="1:10" x14ac:dyDescent="0.25">
      <c r="A1316" t="s">
        <v>22</v>
      </c>
      <c r="B1316" t="s">
        <v>11</v>
      </c>
      <c r="C1316" t="s">
        <v>12</v>
      </c>
      <c r="D1316" t="s">
        <v>16</v>
      </c>
      <c r="E1316">
        <v>0</v>
      </c>
      <c r="F1316">
        <v>0.75</v>
      </c>
      <c r="G1316">
        <v>0.190052509307861</v>
      </c>
      <c r="H1316">
        <v>0</v>
      </c>
      <c r="I1316">
        <v>0</v>
      </c>
      <c r="J1316">
        <v>30</v>
      </c>
    </row>
    <row r="1317" spans="1:10" x14ac:dyDescent="0.25">
      <c r="A1317" t="s">
        <v>22</v>
      </c>
      <c r="B1317" t="s">
        <v>11</v>
      </c>
      <c r="C1317" t="s">
        <v>12</v>
      </c>
      <c r="D1317" t="s">
        <v>16</v>
      </c>
      <c r="E1317">
        <v>0</v>
      </c>
      <c r="F1317">
        <v>0.75</v>
      </c>
      <c r="G1317">
        <v>0.187246799468994</v>
      </c>
      <c r="H1317">
        <v>0</v>
      </c>
      <c r="I1317">
        <v>0</v>
      </c>
      <c r="J1317">
        <v>30</v>
      </c>
    </row>
    <row r="1318" spans="1:10" x14ac:dyDescent="0.25">
      <c r="A1318" t="s">
        <v>22</v>
      </c>
      <c r="B1318" t="s">
        <v>11</v>
      </c>
      <c r="C1318" t="s">
        <v>12</v>
      </c>
      <c r="D1318" t="s">
        <v>16</v>
      </c>
      <c r="E1318">
        <v>0</v>
      </c>
      <c r="F1318">
        <v>0.75</v>
      </c>
      <c r="G1318">
        <v>0.185245752334594</v>
      </c>
      <c r="H1318">
        <v>0</v>
      </c>
      <c r="I1318">
        <v>0</v>
      </c>
      <c r="J1318">
        <v>30</v>
      </c>
    </row>
    <row r="1319" spans="1:10" x14ac:dyDescent="0.25">
      <c r="A1319" t="s">
        <v>22</v>
      </c>
      <c r="B1319" t="s">
        <v>11</v>
      </c>
      <c r="C1319" t="s">
        <v>12</v>
      </c>
      <c r="D1319" t="s">
        <v>16</v>
      </c>
      <c r="E1319">
        <v>0</v>
      </c>
      <c r="F1319">
        <v>0.75</v>
      </c>
      <c r="G1319">
        <v>0.18049168586730899</v>
      </c>
      <c r="H1319">
        <v>0</v>
      </c>
      <c r="I1319">
        <v>0</v>
      </c>
      <c r="J1319">
        <v>30</v>
      </c>
    </row>
    <row r="1320" spans="1:10" x14ac:dyDescent="0.25">
      <c r="A1320" t="s">
        <v>22</v>
      </c>
      <c r="B1320" t="s">
        <v>11</v>
      </c>
      <c r="C1320" t="s">
        <v>12</v>
      </c>
      <c r="D1320" t="s">
        <v>16</v>
      </c>
      <c r="E1320">
        <v>0</v>
      </c>
      <c r="F1320">
        <v>0.75</v>
      </c>
      <c r="G1320">
        <v>0.17624402046203599</v>
      </c>
      <c r="H1320">
        <v>0</v>
      </c>
      <c r="I1320">
        <v>0</v>
      </c>
      <c r="J1320">
        <v>30</v>
      </c>
    </row>
    <row r="1321" spans="1:10" x14ac:dyDescent="0.25">
      <c r="A1321" t="s">
        <v>22</v>
      </c>
      <c r="B1321" t="s">
        <v>11</v>
      </c>
      <c r="C1321" t="s">
        <v>12</v>
      </c>
      <c r="D1321" t="s">
        <v>16</v>
      </c>
      <c r="E1321">
        <v>0</v>
      </c>
      <c r="F1321">
        <v>0.75</v>
      </c>
      <c r="G1321">
        <v>0.192246913909912</v>
      </c>
      <c r="H1321">
        <v>0</v>
      </c>
      <c r="I1321">
        <v>0</v>
      </c>
      <c r="J1321">
        <v>30</v>
      </c>
    </row>
    <row r="1322" spans="1:10" x14ac:dyDescent="0.25">
      <c r="A1322" t="s">
        <v>22</v>
      </c>
      <c r="B1322" t="s">
        <v>11</v>
      </c>
      <c r="C1322" t="s">
        <v>12</v>
      </c>
      <c r="D1322" t="s">
        <v>17</v>
      </c>
      <c r="E1322">
        <v>0.27941176470588203</v>
      </c>
      <c r="F1322">
        <v>0.80782664690735295</v>
      </c>
      <c r="G1322">
        <v>4.55781650543212</v>
      </c>
      <c r="H1322">
        <v>23</v>
      </c>
      <c r="I1322">
        <v>31</v>
      </c>
      <c r="J1322">
        <v>30</v>
      </c>
    </row>
    <row r="1323" spans="1:10" x14ac:dyDescent="0.25">
      <c r="A1323" t="s">
        <v>22</v>
      </c>
      <c r="B1323" t="s">
        <v>11</v>
      </c>
      <c r="C1323" t="s">
        <v>12</v>
      </c>
      <c r="D1323" t="s">
        <v>17</v>
      </c>
      <c r="E1323">
        <v>0.38235294117647001</v>
      </c>
      <c r="F1323">
        <v>0.78721508416764696</v>
      </c>
      <c r="G1323">
        <v>5.0765955448150599</v>
      </c>
      <c r="H1323">
        <v>41</v>
      </c>
      <c r="I1323">
        <v>55</v>
      </c>
      <c r="J1323">
        <v>30</v>
      </c>
    </row>
    <row r="1324" spans="1:10" x14ac:dyDescent="0.25">
      <c r="A1324" t="s">
        <v>22</v>
      </c>
      <c r="B1324" t="s">
        <v>11</v>
      </c>
      <c r="C1324" t="s">
        <v>12</v>
      </c>
      <c r="D1324" t="s">
        <v>17</v>
      </c>
      <c r="E1324">
        <v>0.52941176470588203</v>
      </c>
      <c r="F1324">
        <v>0.81960062296617597</v>
      </c>
      <c r="G1324">
        <v>5.8144218921661297</v>
      </c>
      <c r="H1324">
        <v>41</v>
      </c>
      <c r="I1324">
        <v>52</v>
      </c>
      <c r="J1324">
        <v>30</v>
      </c>
    </row>
    <row r="1325" spans="1:10" x14ac:dyDescent="0.25">
      <c r="A1325" t="s">
        <v>22</v>
      </c>
      <c r="B1325" t="s">
        <v>11</v>
      </c>
      <c r="C1325" t="s">
        <v>12</v>
      </c>
      <c r="D1325" t="s">
        <v>17</v>
      </c>
      <c r="E1325">
        <v>0.51470588235294101</v>
      </c>
      <c r="F1325">
        <v>0.80770222462941099</v>
      </c>
      <c r="G1325">
        <v>6.0399286746978698</v>
      </c>
      <c r="H1325">
        <v>43</v>
      </c>
      <c r="I1325">
        <v>57</v>
      </c>
      <c r="J1325">
        <v>30</v>
      </c>
    </row>
    <row r="1326" spans="1:10" x14ac:dyDescent="0.25">
      <c r="A1326" t="s">
        <v>22</v>
      </c>
      <c r="B1326" t="s">
        <v>11</v>
      </c>
      <c r="C1326" t="s">
        <v>12</v>
      </c>
      <c r="D1326" t="s">
        <v>17</v>
      </c>
      <c r="E1326">
        <v>0.35294117647058798</v>
      </c>
      <c r="F1326">
        <v>0.79355079996029398</v>
      </c>
      <c r="G1326">
        <v>6.1402964591979901</v>
      </c>
      <c r="H1326">
        <v>36</v>
      </c>
      <c r="I1326">
        <v>53</v>
      </c>
      <c r="J1326">
        <v>30</v>
      </c>
    </row>
    <row r="1327" spans="1:10" x14ac:dyDescent="0.25">
      <c r="A1327" t="s">
        <v>22</v>
      </c>
      <c r="B1327" t="s">
        <v>11</v>
      </c>
      <c r="C1327" t="s">
        <v>12</v>
      </c>
      <c r="D1327" t="s">
        <v>17</v>
      </c>
      <c r="E1327">
        <v>0.45588235294117602</v>
      </c>
      <c r="F1327">
        <v>0.79964127502794102</v>
      </c>
      <c r="G1327">
        <v>6.50765061378479</v>
      </c>
      <c r="H1327">
        <v>44</v>
      </c>
      <c r="I1327">
        <v>62</v>
      </c>
      <c r="J1327">
        <v>30</v>
      </c>
    </row>
    <row r="1328" spans="1:10" x14ac:dyDescent="0.25">
      <c r="A1328" t="s">
        <v>22</v>
      </c>
      <c r="B1328" t="s">
        <v>11</v>
      </c>
      <c r="C1328" t="s">
        <v>12</v>
      </c>
      <c r="D1328" t="s">
        <v>17</v>
      </c>
      <c r="E1328">
        <v>0.38235294117647001</v>
      </c>
      <c r="F1328">
        <v>0.78051224025294097</v>
      </c>
      <c r="G1328">
        <v>6.5841572284698398</v>
      </c>
      <c r="H1328">
        <v>40</v>
      </c>
      <c r="I1328">
        <v>55</v>
      </c>
      <c r="J1328">
        <v>30</v>
      </c>
    </row>
    <row r="1329" spans="1:10" x14ac:dyDescent="0.25">
      <c r="A1329" t="s">
        <v>22</v>
      </c>
      <c r="B1329" t="s">
        <v>11</v>
      </c>
      <c r="C1329" t="s">
        <v>12</v>
      </c>
      <c r="D1329" t="s">
        <v>17</v>
      </c>
      <c r="E1329">
        <v>0.38235294117647001</v>
      </c>
      <c r="F1329">
        <v>0.77251366274852895</v>
      </c>
      <c r="G1329">
        <v>6.7939043045043901</v>
      </c>
      <c r="H1329">
        <v>52</v>
      </c>
      <c r="I1329">
        <v>69</v>
      </c>
      <c r="J1329">
        <v>30</v>
      </c>
    </row>
    <row r="1330" spans="1:10" x14ac:dyDescent="0.25">
      <c r="A1330" t="s">
        <v>22</v>
      </c>
      <c r="B1330" t="s">
        <v>11</v>
      </c>
      <c r="C1330" t="s">
        <v>12</v>
      </c>
      <c r="D1330" t="s">
        <v>17</v>
      </c>
      <c r="E1330">
        <v>0.35294117647058798</v>
      </c>
      <c r="F1330">
        <v>0.79557078764558797</v>
      </c>
      <c r="G1330">
        <v>6.9907171726226798</v>
      </c>
      <c r="H1330">
        <v>46</v>
      </c>
      <c r="I1330">
        <v>64</v>
      </c>
      <c r="J1330">
        <v>30</v>
      </c>
    </row>
    <row r="1331" spans="1:10" x14ac:dyDescent="0.25">
      <c r="A1331" t="s">
        <v>22</v>
      </c>
      <c r="B1331" t="s">
        <v>11</v>
      </c>
      <c r="C1331" t="s">
        <v>12</v>
      </c>
      <c r="D1331" t="s">
        <v>17</v>
      </c>
      <c r="E1331">
        <v>0.41176470588235198</v>
      </c>
      <c r="F1331">
        <v>0.79908745028676398</v>
      </c>
      <c r="G1331">
        <v>7.3096928596496502</v>
      </c>
      <c r="H1331">
        <v>37</v>
      </c>
      <c r="I1331">
        <v>49</v>
      </c>
      <c r="J1331">
        <v>30</v>
      </c>
    </row>
    <row r="1332" spans="1:10" x14ac:dyDescent="0.25">
      <c r="A1332" t="s">
        <v>22</v>
      </c>
      <c r="B1332" t="s">
        <v>11</v>
      </c>
      <c r="C1332" t="s">
        <v>12</v>
      </c>
      <c r="D1332" t="s">
        <v>17</v>
      </c>
      <c r="E1332">
        <v>0.41176470588235198</v>
      </c>
      <c r="F1332">
        <v>0.76473936067205806</v>
      </c>
      <c r="G1332">
        <v>7.5565598011016801</v>
      </c>
      <c r="H1332">
        <v>42</v>
      </c>
      <c r="I1332">
        <v>60</v>
      </c>
      <c r="J1332">
        <v>30</v>
      </c>
    </row>
    <row r="1333" spans="1:10" x14ac:dyDescent="0.25">
      <c r="A1333" t="s">
        <v>22</v>
      </c>
      <c r="B1333" t="s">
        <v>11</v>
      </c>
      <c r="C1333" t="s">
        <v>12</v>
      </c>
      <c r="D1333" t="s">
        <v>17</v>
      </c>
      <c r="E1333">
        <v>0.51470588235294101</v>
      </c>
      <c r="F1333">
        <v>0.80156773821911698</v>
      </c>
      <c r="G1333">
        <v>7.6219596862792898</v>
      </c>
      <c r="H1333">
        <v>56</v>
      </c>
      <c r="I1333">
        <v>82</v>
      </c>
      <c r="J1333">
        <v>30</v>
      </c>
    </row>
    <row r="1334" spans="1:10" x14ac:dyDescent="0.25">
      <c r="A1334" t="s">
        <v>22</v>
      </c>
      <c r="B1334" t="s">
        <v>11</v>
      </c>
      <c r="C1334" t="s">
        <v>12</v>
      </c>
      <c r="D1334" t="s">
        <v>17</v>
      </c>
      <c r="E1334">
        <v>0.45588235294117602</v>
      </c>
      <c r="F1334">
        <v>0.80113222397646999</v>
      </c>
      <c r="G1334">
        <v>7.7983074188232404</v>
      </c>
      <c r="H1334">
        <v>44</v>
      </c>
      <c r="I1334">
        <v>57</v>
      </c>
      <c r="J1334">
        <v>30</v>
      </c>
    </row>
    <row r="1335" spans="1:10" x14ac:dyDescent="0.25">
      <c r="A1335" t="s">
        <v>22</v>
      </c>
      <c r="B1335" t="s">
        <v>11</v>
      </c>
      <c r="C1335" t="s">
        <v>12</v>
      </c>
      <c r="D1335" t="s">
        <v>17</v>
      </c>
      <c r="E1335">
        <v>0.5</v>
      </c>
      <c r="F1335">
        <v>0.81943142749999998</v>
      </c>
      <c r="G1335">
        <v>7.8587357997894198</v>
      </c>
      <c r="H1335">
        <v>45</v>
      </c>
      <c r="I1335">
        <v>63</v>
      </c>
      <c r="J1335">
        <v>30</v>
      </c>
    </row>
    <row r="1336" spans="1:10" x14ac:dyDescent="0.25">
      <c r="A1336" t="s">
        <v>22</v>
      </c>
      <c r="B1336" t="s">
        <v>11</v>
      </c>
      <c r="C1336" t="s">
        <v>12</v>
      </c>
      <c r="D1336" t="s">
        <v>17</v>
      </c>
      <c r="E1336">
        <v>0.48529411764705799</v>
      </c>
      <c r="F1336">
        <v>0.77997477082794098</v>
      </c>
      <c r="G1336">
        <v>8.2941408157348597</v>
      </c>
      <c r="H1336">
        <v>63</v>
      </c>
      <c r="I1336">
        <v>88</v>
      </c>
      <c r="J1336">
        <v>30</v>
      </c>
    </row>
    <row r="1337" spans="1:10" x14ac:dyDescent="0.25">
      <c r="A1337" t="s">
        <v>22</v>
      </c>
      <c r="B1337" t="s">
        <v>11</v>
      </c>
      <c r="C1337" t="s">
        <v>12</v>
      </c>
      <c r="D1337" t="s">
        <v>17</v>
      </c>
      <c r="E1337">
        <v>0.41176470588235198</v>
      </c>
      <c r="F1337">
        <v>0.77518926234117602</v>
      </c>
      <c r="G1337">
        <v>8.3854820728302002</v>
      </c>
      <c r="H1337">
        <v>56</v>
      </c>
      <c r="I1337">
        <v>79</v>
      </c>
      <c r="J1337">
        <v>30</v>
      </c>
    </row>
    <row r="1338" spans="1:10" x14ac:dyDescent="0.25">
      <c r="A1338" t="s">
        <v>22</v>
      </c>
      <c r="B1338" t="s">
        <v>11</v>
      </c>
      <c r="C1338" t="s">
        <v>12</v>
      </c>
      <c r="D1338" t="s">
        <v>17</v>
      </c>
      <c r="E1338">
        <v>0.47058823529411697</v>
      </c>
      <c r="F1338">
        <v>0.77693301132058801</v>
      </c>
      <c r="G1338">
        <v>8.5570809841156006</v>
      </c>
      <c r="H1338">
        <v>66</v>
      </c>
      <c r="I1338">
        <v>90</v>
      </c>
      <c r="J1338">
        <v>30</v>
      </c>
    </row>
    <row r="1339" spans="1:10" x14ac:dyDescent="0.25">
      <c r="A1339" t="s">
        <v>22</v>
      </c>
      <c r="B1339" t="s">
        <v>11</v>
      </c>
      <c r="C1339" t="s">
        <v>12</v>
      </c>
      <c r="D1339" t="s">
        <v>17</v>
      </c>
      <c r="E1339">
        <v>0.41176470588235198</v>
      </c>
      <c r="F1339">
        <v>0.77422323279705796</v>
      </c>
      <c r="G1339">
        <v>8.5722191333770699</v>
      </c>
      <c r="H1339">
        <v>47</v>
      </c>
      <c r="I1339">
        <v>62</v>
      </c>
      <c r="J1339">
        <v>30</v>
      </c>
    </row>
    <row r="1340" spans="1:10" x14ac:dyDescent="0.25">
      <c r="A1340" t="s">
        <v>22</v>
      </c>
      <c r="B1340" t="s">
        <v>11</v>
      </c>
      <c r="C1340" t="s">
        <v>12</v>
      </c>
      <c r="D1340" t="s">
        <v>17</v>
      </c>
      <c r="E1340">
        <v>0.33823529411764702</v>
      </c>
      <c r="F1340">
        <v>0.76922828455294101</v>
      </c>
      <c r="G1340">
        <v>8.6387543678283691</v>
      </c>
      <c r="H1340">
        <v>47</v>
      </c>
      <c r="I1340">
        <v>60</v>
      </c>
      <c r="J1340">
        <v>30</v>
      </c>
    </row>
    <row r="1341" spans="1:10" x14ac:dyDescent="0.25">
      <c r="A1341" t="s">
        <v>22</v>
      </c>
      <c r="B1341" t="s">
        <v>11</v>
      </c>
      <c r="C1341" t="s">
        <v>12</v>
      </c>
      <c r="D1341" t="s">
        <v>17</v>
      </c>
      <c r="E1341">
        <v>0.48529411764705799</v>
      </c>
      <c r="F1341">
        <v>0.78402032090735296</v>
      </c>
      <c r="G1341">
        <v>8.6559913158416695</v>
      </c>
      <c r="H1341">
        <v>67</v>
      </c>
      <c r="I1341">
        <v>100</v>
      </c>
      <c r="J1341">
        <v>30</v>
      </c>
    </row>
    <row r="1342" spans="1:10" x14ac:dyDescent="0.25">
      <c r="A1342" t="s">
        <v>22</v>
      </c>
      <c r="B1342" t="s">
        <v>11</v>
      </c>
      <c r="C1342" t="s">
        <v>12</v>
      </c>
      <c r="D1342" t="s">
        <v>17</v>
      </c>
      <c r="E1342">
        <v>0.38235294117647001</v>
      </c>
      <c r="F1342">
        <v>0.749245290667647</v>
      </c>
      <c r="G1342">
        <v>8.6859996318817103</v>
      </c>
      <c r="H1342">
        <v>50</v>
      </c>
      <c r="I1342">
        <v>70</v>
      </c>
      <c r="J1342">
        <v>30</v>
      </c>
    </row>
    <row r="1343" spans="1:10" x14ac:dyDescent="0.25">
      <c r="A1343" t="s">
        <v>22</v>
      </c>
      <c r="B1343" t="s">
        <v>11</v>
      </c>
      <c r="C1343" t="s">
        <v>12</v>
      </c>
      <c r="D1343" t="s">
        <v>17</v>
      </c>
      <c r="E1343">
        <v>0.36764705882352899</v>
      </c>
      <c r="F1343">
        <v>0.78780957280735298</v>
      </c>
      <c r="G1343">
        <v>8.66617703437805</v>
      </c>
      <c r="H1343">
        <v>48</v>
      </c>
      <c r="I1343">
        <v>73</v>
      </c>
      <c r="J1343">
        <v>30</v>
      </c>
    </row>
    <row r="1344" spans="1:10" x14ac:dyDescent="0.25">
      <c r="A1344" t="s">
        <v>22</v>
      </c>
      <c r="B1344" t="s">
        <v>11</v>
      </c>
      <c r="C1344" t="s">
        <v>12</v>
      </c>
      <c r="D1344" t="s">
        <v>17</v>
      </c>
      <c r="E1344">
        <v>0.48529411764705799</v>
      </c>
      <c r="F1344">
        <v>0.76878990491764698</v>
      </c>
      <c r="G1344">
        <v>8.6938478946685702</v>
      </c>
      <c r="H1344">
        <v>71</v>
      </c>
      <c r="I1344">
        <v>103</v>
      </c>
      <c r="J1344">
        <v>30</v>
      </c>
    </row>
    <row r="1345" spans="1:10" x14ac:dyDescent="0.25">
      <c r="A1345" t="s">
        <v>22</v>
      </c>
      <c r="B1345" t="s">
        <v>11</v>
      </c>
      <c r="C1345" t="s">
        <v>12</v>
      </c>
      <c r="D1345" t="s">
        <v>17</v>
      </c>
      <c r="E1345">
        <v>0.47058823529411697</v>
      </c>
      <c r="F1345">
        <v>0.74770105671470599</v>
      </c>
      <c r="G1345">
        <v>8.7899503707885707</v>
      </c>
      <c r="H1345">
        <v>80</v>
      </c>
      <c r="I1345">
        <v>116</v>
      </c>
      <c r="J1345">
        <v>30</v>
      </c>
    </row>
    <row r="1346" spans="1:10" x14ac:dyDescent="0.25">
      <c r="A1346" t="s">
        <v>22</v>
      </c>
      <c r="B1346" t="s">
        <v>11</v>
      </c>
      <c r="C1346" t="s">
        <v>12</v>
      </c>
      <c r="D1346" t="s">
        <v>17</v>
      </c>
      <c r="E1346">
        <v>0.36764705882352899</v>
      </c>
      <c r="F1346">
        <v>0.76593673663088202</v>
      </c>
      <c r="G1346">
        <v>8.8932511806488002</v>
      </c>
      <c r="H1346">
        <v>57</v>
      </c>
      <c r="I1346">
        <v>74</v>
      </c>
      <c r="J1346">
        <v>30</v>
      </c>
    </row>
    <row r="1347" spans="1:10" x14ac:dyDescent="0.25">
      <c r="A1347" t="s">
        <v>22</v>
      </c>
      <c r="B1347" t="s">
        <v>11</v>
      </c>
      <c r="C1347" t="s">
        <v>12</v>
      </c>
      <c r="D1347" t="s">
        <v>17</v>
      </c>
      <c r="E1347">
        <v>0.39705882352941102</v>
      </c>
      <c r="F1347">
        <v>0.77369753552794096</v>
      </c>
      <c r="G1347">
        <v>8.9269080162048304</v>
      </c>
      <c r="H1347">
        <v>58</v>
      </c>
      <c r="I1347">
        <v>72</v>
      </c>
      <c r="J1347">
        <v>30</v>
      </c>
    </row>
    <row r="1348" spans="1:10" x14ac:dyDescent="0.25">
      <c r="A1348" t="s">
        <v>22</v>
      </c>
      <c r="B1348" t="s">
        <v>11</v>
      </c>
      <c r="C1348" t="s">
        <v>12</v>
      </c>
      <c r="D1348" t="s">
        <v>17</v>
      </c>
      <c r="E1348">
        <v>0.5</v>
      </c>
      <c r="F1348">
        <v>0.75009293179999903</v>
      </c>
      <c r="G1348">
        <v>9.0696618556976301</v>
      </c>
      <c r="H1348">
        <v>101</v>
      </c>
      <c r="I1348">
        <v>149</v>
      </c>
      <c r="J1348">
        <v>30</v>
      </c>
    </row>
    <row r="1349" spans="1:10" x14ac:dyDescent="0.25">
      <c r="A1349" t="s">
        <v>22</v>
      </c>
      <c r="B1349" t="s">
        <v>11</v>
      </c>
      <c r="C1349" t="s">
        <v>12</v>
      </c>
      <c r="D1349" t="s">
        <v>17</v>
      </c>
      <c r="E1349">
        <v>0.48529411764705799</v>
      </c>
      <c r="F1349">
        <v>0.76062827734264704</v>
      </c>
      <c r="G1349">
        <v>9.1354792118072492</v>
      </c>
      <c r="H1349">
        <v>73</v>
      </c>
      <c r="I1349">
        <v>107</v>
      </c>
      <c r="J1349">
        <v>30</v>
      </c>
    </row>
    <row r="1350" spans="1:10" x14ac:dyDescent="0.25">
      <c r="A1350" t="s">
        <v>22</v>
      </c>
      <c r="B1350" t="s">
        <v>11</v>
      </c>
      <c r="C1350" t="s">
        <v>12</v>
      </c>
      <c r="D1350" t="s">
        <v>17</v>
      </c>
      <c r="E1350">
        <v>0.45588235294117602</v>
      </c>
      <c r="F1350">
        <v>0.78402208263529405</v>
      </c>
      <c r="G1350">
        <v>9.1439738273620605</v>
      </c>
      <c r="H1350">
        <v>62</v>
      </c>
      <c r="I1350">
        <v>89</v>
      </c>
      <c r="J1350">
        <v>30</v>
      </c>
    </row>
    <row r="1351" spans="1:10" x14ac:dyDescent="0.25">
      <c r="A1351" t="s">
        <v>22</v>
      </c>
      <c r="B1351" t="s">
        <v>11</v>
      </c>
      <c r="C1351" t="s">
        <v>12</v>
      </c>
      <c r="D1351" t="s">
        <v>17</v>
      </c>
      <c r="E1351">
        <v>0.441176470588235</v>
      </c>
      <c r="F1351">
        <v>0.75229111204411703</v>
      </c>
      <c r="G1351">
        <v>9.1453917026519704</v>
      </c>
      <c r="H1351">
        <v>75</v>
      </c>
      <c r="I1351">
        <v>110</v>
      </c>
      <c r="J1351">
        <v>30</v>
      </c>
    </row>
    <row r="1352" spans="1:10" x14ac:dyDescent="0.25">
      <c r="A1352" t="s">
        <v>22</v>
      </c>
      <c r="B1352" t="s">
        <v>11</v>
      </c>
      <c r="C1352" t="s">
        <v>18</v>
      </c>
      <c r="D1352" t="s">
        <v>13</v>
      </c>
      <c r="E1352">
        <v>0.80882352941176405</v>
      </c>
      <c r="F1352">
        <v>0.87649342109999995</v>
      </c>
      <c r="G1352">
        <v>2.5433261394500701</v>
      </c>
      <c r="H1352">
        <v>29</v>
      </c>
      <c r="I1352">
        <v>39</v>
      </c>
      <c r="J1352">
        <v>30</v>
      </c>
    </row>
    <row r="1353" spans="1:10" x14ac:dyDescent="0.25">
      <c r="A1353" t="s">
        <v>22</v>
      </c>
      <c r="B1353" t="s">
        <v>11</v>
      </c>
      <c r="C1353" t="s">
        <v>18</v>
      </c>
      <c r="D1353" t="s">
        <v>13</v>
      </c>
      <c r="E1353">
        <v>0.75</v>
      </c>
      <c r="F1353">
        <v>0.84463317545588201</v>
      </c>
      <c r="G1353">
        <v>2.5866281986236501</v>
      </c>
      <c r="H1353">
        <v>40</v>
      </c>
      <c r="I1353">
        <v>50</v>
      </c>
      <c r="J1353">
        <v>30</v>
      </c>
    </row>
    <row r="1354" spans="1:10" x14ac:dyDescent="0.25">
      <c r="A1354" t="s">
        <v>22</v>
      </c>
      <c r="B1354" t="s">
        <v>11</v>
      </c>
      <c r="C1354" t="s">
        <v>18</v>
      </c>
      <c r="D1354" t="s">
        <v>13</v>
      </c>
      <c r="E1354">
        <v>0.76470588235294101</v>
      </c>
      <c r="F1354">
        <v>0.85957207236764699</v>
      </c>
      <c r="G1354">
        <v>2.6148822307586599</v>
      </c>
      <c r="H1354">
        <v>33</v>
      </c>
      <c r="I1354">
        <v>42</v>
      </c>
      <c r="J1354">
        <v>30</v>
      </c>
    </row>
    <row r="1355" spans="1:10" x14ac:dyDescent="0.25">
      <c r="A1355" t="s">
        <v>22</v>
      </c>
      <c r="B1355" t="s">
        <v>11</v>
      </c>
      <c r="C1355" t="s">
        <v>18</v>
      </c>
      <c r="D1355" t="s">
        <v>13</v>
      </c>
      <c r="E1355">
        <v>0.80882352941176405</v>
      </c>
      <c r="F1355">
        <v>0.88038953294117595</v>
      </c>
      <c r="G1355">
        <v>2.7279233932495099</v>
      </c>
      <c r="H1355">
        <v>29</v>
      </c>
      <c r="I1355">
        <v>39</v>
      </c>
      <c r="J1355">
        <v>30</v>
      </c>
    </row>
    <row r="1356" spans="1:10" x14ac:dyDescent="0.25">
      <c r="A1356" t="s">
        <v>22</v>
      </c>
      <c r="B1356" t="s">
        <v>11</v>
      </c>
      <c r="C1356" t="s">
        <v>18</v>
      </c>
      <c r="D1356" t="s">
        <v>13</v>
      </c>
      <c r="E1356">
        <v>0.67647058823529405</v>
      </c>
      <c r="F1356">
        <v>0.79646725410588204</v>
      </c>
      <c r="G1356">
        <v>2.72892117500305</v>
      </c>
      <c r="H1356">
        <v>35</v>
      </c>
      <c r="I1356">
        <v>41</v>
      </c>
      <c r="J1356">
        <v>30</v>
      </c>
    </row>
    <row r="1357" spans="1:10" x14ac:dyDescent="0.25">
      <c r="A1357" t="s">
        <v>22</v>
      </c>
      <c r="B1357" t="s">
        <v>11</v>
      </c>
      <c r="C1357" t="s">
        <v>18</v>
      </c>
      <c r="D1357" t="s">
        <v>13</v>
      </c>
      <c r="E1357">
        <v>0.76470588235294101</v>
      </c>
      <c r="F1357">
        <v>0.83572170354264697</v>
      </c>
      <c r="G1357">
        <v>2.8566830158233598</v>
      </c>
      <c r="H1357">
        <v>35</v>
      </c>
      <c r="I1357">
        <v>42</v>
      </c>
      <c r="J1357">
        <v>30</v>
      </c>
    </row>
    <row r="1358" spans="1:10" x14ac:dyDescent="0.25">
      <c r="A1358" t="s">
        <v>22</v>
      </c>
      <c r="B1358" t="s">
        <v>11</v>
      </c>
      <c r="C1358" t="s">
        <v>18</v>
      </c>
      <c r="D1358" t="s">
        <v>13</v>
      </c>
      <c r="E1358">
        <v>0.86764705882352899</v>
      </c>
      <c r="F1358">
        <v>0.89914684169117598</v>
      </c>
      <c r="G1358">
        <v>2.9051592350006099</v>
      </c>
      <c r="H1358">
        <v>32</v>
      </c>
      <c r="I1358">
        <v>36</v>
      </c>
      <c r="J1358">
        <v>30</v>
      </c>
    </row>
    <row r="1359" spans="1:10" x14ac:dyDescent="0.25">
      <c r="A1359" t="s">
        <v>22</v>
      </c>
      <c r="B1359" t="s">
        <v>11</v>
      </c>
      <c r="C1359" t="s">
        <v>18</v>
      </c>
      <c r="D1359" t="s">
        <v>13</v>
      </c>
      <c r="E1359">
        <v>0.85294117647058798</v>
      </c>
      <c r="F1359">
        <v>0.90757714651323496</v>
      </c>
      <c r="G1359">
        <v>3.0308458805084202</v>
      </c>
      <c r="H1359">
        <v>40</v>
      </c>
      <c r="I1359">
        <v>50</v>
      </c>
      <c r="J1359">
        <v>30</v>
      </c>
    </row>
    <row r="1360" spans="1:10" x14ac:dyDescent="0.25">
      <c r="A1360" t="s">
        <v>22</v>
      </c>
      <c r="B1360" t="s">
        <v>11</v>
      </c>
      <c r="C1360" t="s">
        <v>18</v>
      </c>
      <c r="D1360" t="s">
        <v>13</v>
      </c>
      <c r="E1360">
        <v>0.85294117647058798</v>
      </c>
      <c r="F1360">
        <v>0.88294628222058802</v>
      </c>
      <c r="G1360">
        <v>3.1641612052917401</v>
      </c>
      <c r="H1360">
        <v>32</v>
      </c>
      <c r="I1360">
        <v>38</v>
      </c>
      <c r="J1360">
        <v>30</v>
      </c>
    </row>
    <row r="1361" spans="1:10" x14ac:dyDescent="0.25">
      <c r="A1361" t="s">
        <v>22</v>
      </c>
      <c r="B1361" t="s">
        <v>11</v>
      </c>
      <c r="C1361" t="s">
        <v>18</v>
      </c>
      <c r="D1361" t="s">
        <v>13</v>
      </c>
      <c r="E1361">
        <v>0.77941176470588203</v>
      </c>
      <c r="F1361">
        <v>0.86865315726911696</v>
      </c>
      <c r="G1361">
        <v>3.2182269096374498</v>
      </c>
      <c r="H1361">
        <v>31</v>
      </c>
      <c r="I1361">
        <v>44</v>
      </c>
      <c r="J1361">
        <v>30</v>
      </c>
    </row>
    <row r="1362" spans="1:10" x14ac:dyDescent="0.25">
      <c r="A1362" t="s">
        <v>22</v>
      </c>
      <c r="B1362" t="s">
        <v>11</v>
      </c>
      <c r="C1362" t="s">
        <v>18</v>
      </c>
      <c r="D1362" t="s">
        <v>13</v>
      </c>
      <c r="E1362">
        <v>0.76470588235294101</v>
      </c>
      <c r="F1362">
        <v>0.80874566983088203</v>
      </c>
      <c r="G1362">
        <v>3.2500073909759499</v>
      </c>
      <c r="H1362">
        <v>33</v>
      </c>
      <c r="I1362">
        <v>39</v>
      </c>
      <c r="J1362">
        <v>30</v>
      </c>
    </row>
    <row r="1363" spans="1:10" x14ac:dyDescent="0.25">
      <c r="A1363" t="s">
        <v>22</v>
      </c>
      <c r="B1363" t="s">
        <v>11</v>
      </c>
      <c r="C1363" t="s">
        <v>18</v>
      </c>
      <c r="D1363" t="s">
        <v>13</v>
      </c>
      <c r="E1363">
        <v>0.82352941176470495</v>
      </c>
      <c r="F1363">
        <v>0.88689197954705801</v>
      </c>
      <c r="G1363">
        <v>3.2738680839538499</v>
      </c>
      <c r="H1363">
        <v>41</v>
      </c>
      <c r="I1363">
        <v>52</v>
      </c>
      <c r="J1363">
        <v>30</v>
      </c>
    </row>
    <row r="1364" spans="1:10" x14ac:dyDescent="0.25">
      <c r="A1364" t="s">
        <v>22</v>
      </c>
      <c r="B1364" t="s">
        <v>11</v>
      </c>
      <c r="C1364" t="s">
        <v>18</v>
      </c>
      <c r="D1364" t="s">
        <v>13</v>
      </c>
      <c r="E1364">
        <v>0.79411764705882304</v>
      </c>
      <c r="F1364">
        <v>0.87892778129558802</v>
      </c>
      <c r="G1364">
        <v>3.37478446960449</v>
      </c>
      <c r="H1364">
        <v>39</v>
      </c>
      <c r="I1364">
        <v>49</v>
      </c>
      <c r="J1364">
        <v>30</v>
      </c>
    </row>
    <row r="1365" spans="1:10" x14ac:dyDescent="0.25">
      <c r="A1365" t="s">
        <v>22</v>
      </c>
      <c r="B1365" t="s">
        <v>11</v>
      </c>
      <c r="C1365" t="s">
        <v>18</v>
      </c>
      <c r="D1365" t="s">
        <v>13</v>
      </c>
      <c r="E1365">
        <v>0.77941176470588203</v>
      </c>
      <c r="F1365">
        <v>0.83779754266176398</v>
      </c>
      <c r="G1365">
        <v>3.3959977626800502</v>
      </c>
      <c r="H1365">
        <v>36</v>
      </c>
      <c r="I1365">
        <v>52</v>
      </c>
      <c r="J1365">
        <v>30</v>
      </c>
    </row>
    <row r="1366" spans="1:10" x14ac:dyDescent="0.25">
      <c r="A1366" t="s">
        <v>22</v>
      </c>
      <c r="B1366" t="s">
        <v>11</v>
      </c>
      <c r="C1366" t="s">
        <v>18</v>
      </c>
      <c r="D1366" t="s">
        <v>13</v>
      </c>
      <c r="E1366">
        <v>0.79411764705882304</v>
      </c>
      <c r="F1366">
        <v>0.871555919863235</v>
      </c>
      <c r="G1366">
        <v>3.4790046215057302</v>
      </c>
      <c r="H1366">
        <v>37</v>
      </c>
      <c r="I1366">
        <v>46</v>
      </c>
      <c r="J1366">
        <v>30</v>
      </c>
    </row>
    <row r="1367" spans="1:10" x14ac:dyDescent="0.25">
      <c r="A1367" t="s">
        <v>22</v>
      </c>
      <c r="B1367" t="s">
        <v>11</v>
      </c>
      <c r="C1367" t="s">
        <v>18</v>
      </c>
      <c r="D1367" t="s">
        <v>13</v>
      </c>
      <c r="E1367">
        <v>0.85294117647058798</v>
      </c>
      <c r="F1367">
        <v>0.89903539437500002</v>
      </c>
      <c r="G1367">
        <v>3.50828504562377</v>
      </c>
      <c r="H1367">
        <v>28</v>
      </c>
      <c r="I1367">
        <v>30</v>
      </c>
      <c r="J1367">
        <v>30</v>
      </c>
    </row>
    <row r="1368" spans="1:10" x14ac:dyDescent="0.25">
      <c r="A1368" t="s">
        <v>22</v>
      </c>
      <c r="B1368" t="s">
        <v>11</v>
      </c>
      <c r="C1368" t="s">
        <v>18</v>
      </c>
      <c r="D1368" t="s">
        <v>13</v>
      </c>
      <c r="E1368">
        <v>0.82352941176470495</v>
      </c>
      <c r="F1368">
        <v>0.89478637019264695</v>
      </c>
      <c r="G1368">
        <v>3.52495169639587</v>
      </c>
      <c r="H1368">
        <v>34</v>
      </c>
      <c r="I1368">
        <v>44</v>
      </c>
      <c r="J1368">
        <v>30</v>
      </c>
    </row>
    <row r="1369" spans="1:10" x14ac:dyDescent="0.25">
      <c r="A1369" t="s">
        <v>22</v>
      </c>
      <c r="B1369" t="s">
        <v>11</v>
      </c>
      <c r="C1369" t="s">
        <v>18</v>
      </c>
      <c r="D1369" t="s">
        <v>13</v>
      </c>
      <c r="E1369">
        <v>0.88235294117647001</v>
      </c>
      <c r="F1369">
        <v>0.91583656868235197</v>
      </c>
      <c r="G1369">
        <v>3.5626671314239502</v>
      </c>
      <c r="H1369">
        <v>35</v>
      </c>
      <c r="I1369">
        <v>39</v>
      </c>
      <c r="J1369">
        <v>30</v>
      </c>
    </row>
    <row r="1370" spans="1:10" x14ac:dyDescent="0.25">
      <c r="A1370" t="s">
        <v>22</v>
      </c>
      <c r="B1370" t="s">
        <v>11</v>
      </c>
      <c r="C1370" t="s">
        <v>18</v>
      </c>
      <c r="D1370" t="s">
        <v>13</v>
      </c>
      <c r="E1370">
        <v>0.83823529411764697</v>
      </c>
      <c r="F1370">
        <v>0.88440494041617601</v>
      </c>
      <c r="G1370">
        <v>3.5770099163055402</v>
      </c>
      <c r="H1370">
        <v>30</v>
      </c>
      <c r="I1370">
        <v>37</v>
      </c>
      <c r="J1370">
        <v>30</v>
      </c>
    </row>
    <row r="1371" spans="1:10" x14ac:dyDescent="0.25">
      <c r="A1371" t="s">
        <v>22</v>
      </c>
      <c r="B1371" t="s">
        <v>11</v>
      </c>
      <c r="C1371" t="s">
        <v>18</v>
      </c>
      <c r="D1371" t="s">
        <v>13</v>
      </c>
      <c r="E1371">
        <v>0.76470588235294101</v>
      </c>
      <c r="F1371">
        <v>0.83819238409264696</v>
      </c>
      <c r="G1371">
        <v>3.6159412860870299</v>
      </c>
      <c r="H1371">
        <v>33</v>
      </c>
      <c r="I1371">
        <v>42</v>
      </c>
      <c r="J1371">
        <v>30</v>
      </c>
    </row>
    <row r="1372" spans="1:10" x14ac:dyDescent="0.25">
      <c r="A1372" t="s">
        <v>22</v>
      </c>
      <c r="B1372" t="s">
        <v>11</v>
      </c>
      <c r="C1372" t="s">
        <v>18</v>
      </c>
      <c r="D1372" t="s">
        <v>13</v>
      </c>
      <c r="E1372">
        <v>0.86764705882352899</v>
      </c>
      <c r="F1372">
        <v>0.90295537403235204</v>
      </c>
      <c r="G1372">
        <v>3.6394696235656698</v>
      </c>
      <c r="H1372">
        <v>40</v>
      </c>
      <c r="I1372">
        <v>52</v>
      </c>
      <c r="J1372">
        <v>30</v>
      </c>
    </row>
    <row r="1373" spans="1:10" x14ac:dyDescent="0.25">
      <c r="A1373" t="s">
        <v>22</v>
      </c>
      <c r="B1373" t="s">
        <v>11</v>
      </c>
      <c r="C1373" t="s">
        <v>18</v>
      </c>
      <c r="D1373" t="s">
        <v>13</v>
      </c>
      <c r="E1373">
        <v>0.72058823529411697</v>
      </c>
      <c r="F1373">
        <v>0.82182580704117603</v>
      </c>
      <c r="G1373">
        <v>3.6476063728332502</v>
      </c>
      <c r="H1373">
        <v>31</v>
      </c>
      <c r="I1373">
        <v>44</v>
      </c>
      <c r="J1373">
        <v>30</v>
      </c>
    </row>
    <row r="1374" spans="1:10" x14ac:dyDescent="0.25">
      <c r="A1374" t="s">
        <v>22</v>
      </c>
      <c r="B1374" t="s">
        <v>11</v>
      </c>
      <c r="C1374" t="s">
        <v>18</v>
      </c>
      <c r="D1374" t="s">
        <v>13</v>
      </c>
      <c r="E1374">
        <v>0.80882352941176405</v>
      </c>
      <c r="F1374">
        <v>0.85121040313823504</v>
      </c>
      <c r="G1374">
        <v>3.6544330120086599</v>
      </c>
      <c r="H1374">
        <v>33</v>
      </c>
      <c r="I1374">
        <v>35</v>
      </c>
      <c r="J1374">
        <v>30</v>
      </c>
    </row>
    <row r="1375" spans="1:10" x14ac:dyDescent="0.25">
      <c r="A1375" t="s">
        <v>22</v>
      </c>
      <c r="B1375" t="s">
        <v>11</v>
      </c>
      <c r="C1375" t="s">
        <v>18</v>
      </c>
      <c r="D1375" t="s">
        <v>13</v>
      </c>
      <c r="E1375">
        <v>0.82352941176470495</v>
      </c>
      <c r="F1375">
        <v>0.89224864686470595</v>
      </c>
      <c r="G1375">
        <v>3.6721749305725</v>
      </c>
      <c r="H1375">
        <v>31</v>
      </c>
      <c r="I1375">
        <v>41</v>
      </c>
      <c r="J1375">
        <v>30</v>
      </c>
    </row>
    <row r="1376" spans="1:10" x14ac:dyDescent="0.25">
      <c r="A1376" t="s">
        <v>22</v>
      </c>
      <c r="B1376" t="s">
        <v>11</v>
      </c>
      <c r="C1376" t="s">
        <v>18</v>
      </c>
      <c r="D1376" t="s">
        <v>13</v>
      </c>
      <c r="E1376">
        <v>0.77941176470588203</v>
      </c>
      <c r="F1376">
        <v>0.86662620633823495</v>
      </c>
      <c r="G1376">
        <v>3.6876118183135902</v>
      </c>
      <c r="H1376">
        <v>37</v>
      </c>
      <c r="I1376">
        <v>46</v>
      </c>
      <c r="J1376">
        <v>30</v>
      </c>
    </row>
    <row r="1377" spans="1:10" x14ac:dyDescent="0.25">
      <c r="A1377" t="s">
        <v>22</v>
      </c>
      <c r="B1377" t="s">
        <v>11</v>
      </c>
      <c r="C1377" t="s">
        <v>18</v>
      </c>
      <c r="D1377" t="s">
        <v>13</v>
      </c>
      <c r="E1377">
        <v>0.91176470588235203</v>
      </c>
      <c r="F1377">
        <v>0.92050979436617597</v>
      </c>
      <c r="G1377">
        <v>3.71990919113159</v>
      </c>
      <c r="H1377">
        <v>35</v>
      </c>
      <c r="I1377">
        <v>46</v>
      </c>
      <c r="J1377">
        <v>30</v>
      </c>
    </row>
    <row r="1378" spans="1:10" x14ac:dyDescent="0.25">
      <c r="A1378" t="s">
        <v>22</v>
      </c>
      <c r="B1378" t="s">
        <v>11</v>
      </c>
      <c r="C1378" t="s">
        <v>18</v>
      </c>
      <c r="D1378" t="s">
        <v>13</v>
      </c>
      <c r="E1378">
        <v>0.76470588235294101</v>
      </c>
      <c r="F1378">
        <v>0.81100278143382298</v>
      </c>
      <c r="G1378">
        <v>3.78146004676818</v>
      </c>
      <c r="H1378">
        <v>36</v>
      </c>
      <c r="I1378">
        <v>42</v>
      </c>
      <c r="J1378">
        <v>30</v>
      </c>
    </row>
    <row r="1379" spans="1:10" x14ac:dyDescent="0.25">
      <c r="A1379" t="s">
        <v>22</v>
      </c>
      <c r="B1379" t="s">
        <v>11</v>
      </c>
      <c r="C1379" t="s">
        <v>18</v>
      </c>
      <c r="D1379" t="s">
        <v>13</v>
      </c>
      <c r="E1379">
        <v>0.82352941176470495</v>
      </c>
      <c r="F1379">
        <v>0.87198926448823499</v>
      </c>
      <c r="G1379">
        <v>3.8278357982635498</v>
      </c>
      <c r="H1379">
        <v>41</v>
      </c>
      <c r="I1379">
        <v>44</v>
      </c>
      <c r="J1379">
        <v>30</v>
      </c>
    </row>
    <row r="1380" spans="1:10" x14ac:dyDescent="0.25">
      <c r="A1380" t="s">
        <v>22</v>
      </c>
      <c r="B1380" t="s">
        <v>11</v>
      </c>
      <c r="C1380" t="s">
        <v>18</v>
      </c>
      <c r="D1380" t="s">
        <v>13</v>
      </c>
      <c r="E1380">
        <v>0.73529411764705799</v>
      </c>
      <c r="F1380">
        <v>0.81862770843529398</v>
      </c>
      <c r="G1380">
        <v>3.8274042606353702</v>
      </c>
      <c r="H1380">
        <v>31</v>
      </c>
      <c r="I1380">
        <v>39</v>
      </c>
      <c r="J1380">
        <v>30</v>
      </c>
    </row>
    <row r="1381" spans="1:10" x14ac:dyDescent="0.25">
      <c r="A1381" t="s">
        <v>22</v>
      </c>
      <c r="B1381" t="s">
        <v>11</v>
      </c>
      <c r="C1381" t="s">
        <v>18</v>
      </c>
      <c r="D1381" t="s">
        <v>13</v>
      </c>
      <c r="E1381">
        <v>0.85294117647058798</v>
      </c>
      <c r="F1381">
        <v>0.88701573253529398</v>
      </c>
      <c r="G1381">
        <v>3.8325166702270499</v>
      </c>
      <c r="H1381">
        <v>36</v>
      </c>
      <c r="I1381">
        <v>44</v>
      </c>
      <c r="J1381">
        <v>30</v>
      </c>
    </row>
    <row r="1382" spans="1:10" x14ac:dyDescent="0.25">
      <c r="A1382" t="s">
        <v>22</v>
      </c>
      <c r="B1382" t="s">
        <v>11</v>
      </c>
      <c r="C1382" t="s">
        <v>18</v>
      </c>
      <c r="D1382" t="s">
        <v>14</v>
      </c>
      <c r="E1382">
        <v>0.73529411764705799</v>
      </c>
      <c r="F1382">
        <v>0.82812849158382296</v>
      </c>
      <c r="G1382">
        <v>3.00748610496521</v>
      </c>
      <c r="H1382">
        <v>16</v>
      </c>
      <c r="I1382">
        <v>13</v>
      </c>
      <c r="J1382">
        <v>30</v>
      </c>
    </row>
    <row r="1383" spans="1:10" x14ac:dyDescent="0.25">
      <c r="A1383" t="s">
        <v>22</v>
      </c>
      <c r="B1383" t="s">
        <v>11</v>
      </c>
      <c r="C1383" t="s">
        <v>18</v>
      </c>
      <c r="D1383" t="s">
        <v>14</v>
      </c>
      <c r="E1383">
        <v>0.66176470588235203</v>
      </c>
      <c r="F1383">
        <v>0.83561299471323502</v>
      </c>
      <c r="G1383">
        <v>4.6873576641082701</v>
      </c>
      <c r="H1383">
        <v>86</v>
      </c>
      <c r="I1383">
        <v>84</v>
      </c>
      <c r="J1383">
        <v>30</v>
      </c>
    </row>
    <row r="1384" spans="1:10" x14ac:dyDescent="0.25">
      <c r="A1384" t="s">
        <v>22</v>
      </c>
      <c r="B1384" t="s">
        <v>11</v>
      </c>
      <c r="C1384" t="s">
        <v>18</v>
      </c>
      <c r="D1384" t="s">
        <v>14</v>
      </c>
      <c r="E1384">
        <v>0.69117647058823495</v>
      </c>
      <c r="F1384">
        <v>0.83271650998676405</v>
      </c>
      <c r="G1384">
        <v>5.1675488948822004</v>
      </c>
      <c r="H1384">
        <v>103</v>
      </c>
      <c r="I1384">
        <v>103</v>
      </c>
      <c r="J1384">
        <v>30</v>
      </c>
    </row>
    <row r="1385" spans="1:10" x14ac:dyDescent="0.25">
      <c r="A1385" t="s">
        <v>22</v>
      </c>
      <c r="B1385" t="s">
        <v>11</v>
      </c>
      <c r="C1385" t="s">
        <v>18</v>
      </c>
      <c r="D1385" t="s">
        <v>14</v>
      </c>
      <c r="E1385">
        <v>0.61764705882352899</v>
      </c>
      <c r="F1385">
        <v>0.85012050464558797</v>
      </c>
      <c r="G1385">
        <v>5.1845428943633998</v>
      </c>
      <c r="H1385">
        <v>104</v>
      </c>
      <c r="I1385">
        <v>104</v>
      </c>
      <c r="J1385">
        <v>30</v>
      </c>
    </row>
    <row r="1386" spans="1:10" x14ac:dyDescent="0.25">
      <c r="A1386" t="s">
        <v>22</v>
      </c>
      <c r="B1386" t="s">
        <v>11</v>
      </c>
      <c r="C1386" t="s">
        <v>18</v>
      </c>
      <c r="D1386" t="s">
        <v>14</v>
      </c>
      <c r="E1386">
        <v>0.69117647058823495</v>
      </c>
      <c r="F1386">
        <v>0.84176369273088203</v>
      </c>
      <c r="G1386">
        <v>5.1845428943633998</v>
      </c>
      <c r="H1386">
        <v>104</v>
      </c>
      <c r="I1386">
        <v>104</v>
      </c>
      <c r="J1386">
        <v>30</v>
      </c>
    </row>
    <row r="1387" spans="1:10" x14ac:dyDescent="0.25">
      <c r="A1387" t="s">
        <v>22</v>
      </c>
      <c r="B1387" t="s">
        <v>11</v>
      </c>
      <c r="C1387" t="s">
        <v>18</v>
      </c>
      <c r="D1387" t="s">
        <v>14</v>
      </c>
      <c r="E1387">
        <v>0.70588235294117596</v>
      </c>
      <c r="F1387">
        <v>0.84830938698529401</v>
      </c>
      <c r="G1387">
        <v>5.3662850856780997</v>
      </c>
      <c r="H1387">
        <v>102</v>
      </c>
      <c r="I1387">
        <v>101</v>
      </c>
      <c r="J1387">
        <v>30</v>
      </c>
    </row>
    <row r="1388" spans="1:10" x14ac:dyDescent="0.25">
      <c r="A1388" t="s">
        <v>22</v>
      </c>
      <c r="B1388" t="s">
        <v>11</v>
      </c>
      <c r="C1388" t="s">
        <v>18</v>
      </c>
      <c r="D1388" t="s">
        <v>14</v>
      </c>
      <c r="E1388">
        <v>0.63235294117647001</v>
      </c>
      <c r="F1388">
        <v>0.82242146959117601</v>
      </c>
      <c r="G1388">
        <v>5.5812194347381503</v>
      </c>
      <c r="H1388">
        <v>105</v>
      </c>
      <c r="I1388">
        <v>105</v>
      </c>
      <c r="J1388">
        <v>30</v>
      </c>
    </row>
    <row r="1389" spans="1:10" x14ac:dyDescent="0.25">
      <c r="A1389" t="s">
        <v>22</v>
      </c>
      <c r="B1389" t="s">
        <v>11</v>
      </c>
      <c r="C1389" t="s">
        <v>18</v>
      </c>
      <c r="D1389" t="s">
        <v>14</v>
      </c>
      <c r="E1389">
        <v>0.63235294117647001</v>
      </c>
      <c r="F1389">
        <v>0.86840860749117599</v>
      </c>
      <c r="G1389">
        <v>5.7317385673522896</v>
      </c>
      <c r="H1389">
        <v>113</v>
      </c>
      <c r="I1389">
        <v>113</v>
      </c>
      <c r="J1389">
        <v>30</v>
      </c>
    </row>
    <row r="1390" spans="1:10" x14ac:dyDescent="0.25">
      <c r="A1390" t="s">
        <v>22</v>
      </c>
      <c r="B1390" t="s">
        <v>11</v>
      </c>
      <c r="C1390" t="s">
        <v>18</v>
      </c>
      <c r="D1390" t="s">
        <v>14</v>
      </c>
      <c r="E1390">
        <v>0.75</v>
      </c>
      <c r="F1390">
        <v>0.86901840731617597</v>
      </c>
      <c r="G1390">
        <v>5.9524433612823398</v>
      </c>
      <c r="H1390">
        <v>108</v>
      </c>
      <c r="I1390">
        <v>107</v>
      </c>
      <c r="J1390">
        <v>30</v>
      </c>
    </row>
    <row r="1391" spans="1:10" x14ac:dyDescent="0.25">
      <c r="A1391" t="s">
        <v>22</v>
      </c>
      <c r="B1391" t="s">
        <v>11</v>
      </c>
      <c r="C1391" t="s">
        <v>18</v>
      </c>
      <c r="D1391" t="s">
        <v>14</v>
      </c>
      <c r="E1391">
        <v>0.61764705882352899</v>
      </c>
      <c r="F1391">
        <v>0.85795333555147002</v>
      </c>
      <c r="G1391">
        <v>6.0399796962738002</v>
      </c>
      <c r="H1391">
        <v>93</v>
      </c>
      <c r="I1391">
        <v>93</v>
      </c>
      <c r="J1391">
        <v>30</v>
      </c>
    </row>
    <row r="1392" spans="1:10" x14ac:dyDescent="0.25">
      <c r="A1392" t="s">
        <v>22</v>
      </c>
      <c r="B1392" t="s">
        <v>11</v>
      </c>
      <c r="C1392" t="s">
        <v>18</v>
      </c>
      <c r="D1392" t="s">
        <v>14</v>
      </c>
      <c r="E1392">
        <v>0.55882352941176405</v>
      </c>
      <c r="F1392">
        <v>0.82186013364411703</v>
      </c>
      <c r="G1392">
        <v>6.2330138683319003</v>
      </c>
      <c r="H1392">
        <v>89</v>
      </c>
      <c r="I1392">
        <v>89</v>
      </c>
      <c r="J1392">
        <v>30</v>
      </c>
    </row>
    <row r="1393" spans="1:10" x14ac:dyDescent="0.25">
      <c r="A1393" t="s">
        <v>22</v>
      </c>
      <c r="B1393" t="s">
        <v>11</v>
      </c>
      <c r="C1393" t="s">
        <v>18</v>
      </c>
      <c r="D1393" t="s">
        <v>14</v>
      </c>
      <c r="E1393">
        <v>0.69117647058823495</v>
      </c>
      <c r="F1393">
        <v>0.84167996205588202</v>
      </c>
      <c r="G1393">
        <v>6.2756965160369802</v>
      </c>
      <c r="H1393">
        <v>106</v>
      </c>
      <c r="I1393">
        <v>105</v>
      </c>
      <c r="J1393">
        <v>30</v>
      </c>
    </row>
    <row r="1394" spans="1:10" x14ac:dyDescent="0.25">
      <c r="A1394" t="s">
        <v>22</v>
      </c>
      <c r="B1394" t="s">
        <v>11</v>
      </c>
      <c r="C1394" t="s">
        <v>18</v>
      </c>
      <c r="D1394" t="s">
        <v>14</v>
      </c>
      <c r="E1394">
        <v>0.60294117647058798</v>
      </c>
      <c r="F1394">
        <v>0.84448175242058798</v>
      </c>
      <c r="G1394">
        <v>6.3092310428619296</v>
      </c>
      <c r="H1394">
        <v>97</v>
      </c>
      <c r="I1394">
        <v>97</v>
      </c>
      <c r="J1394">
        <v>30</v>
      </c>
    </row>
    <row r="1395" spans="1:10" x14ac:dyDescent="0.25">
      <c r="A1395" t="s">
        <v>22</v>
      </c>
      <c r="B1395" t="s">
        <v>11</v>
      </c>
      <c r="C1395" t="s">
        <v>18</v>
      </c>
      <c r="D1395" t="s">
        <v>14</v>
      </c>
      <c r="E1395">
        <v>0.51470588235294101</v>
      </c>
      <c r="F1395">
        <v>0.83247323003676399</v>
      </c>
      <c r="G1395">
        <v>7.0402941703796298</v>
      </c>
      <c r="H1395">
        <v>113</v>
      </c>
      <c r="I1395">
        <v>113</v>
      </c>
      <c r="J1395">
        <v>30</v>
      </c>
    </row>
    <row r="1396" spans="1:10" x14ac:dyDescent="0.25">
      <c r="A1396" t="s">
        <v>22</v>
      </c>
      <c r="B1396" t="s">
        <v>11</v>
      </c>
      <c r="C1396" t="s">
        <v>18</v>
      </c>
      <c r="D1396" t="s">
        <v>14</v>
      </c>
      <c r="E1396">
        <v>0.60294117647058798</v>
      </c>
      <c r="F1396">
        <v>0.77121914517205803</v>
      </c>
      <c r="G1396">
        <v>8.1429769992828298</v>
      </c>
      <c r="H1396">
        <v>158</v>
      </c>
      <c r="I1396">
        <v>157</v>
      </c>
      <c r="J1396">
        <v>30</v>
      </c>
    </row>
    <row r="1397" spans="1:10" x14ac:dyDescent="0.25">
      <c r="A1397" t="s">
        <v>22</v>
      </c>
      <c r="B1397" t="s">
        <v>11</v>
      </c>
      <c r="C1397" t="s">
        <v>18</v>
      </c>
      <c r="D1397" t="s">
        <v>14</v>
      </c>
      <c r="E1397">
        <v>0.60294117647058798</v>
      </c>
      <c r="F1397">
        <v>0.79716815793529405</v>
      </c>
      <c r="G1397">
        <v>9.6432149410247803</v>
      </c>
      <c r="H1397">
        <v>153</v>
      </c>
      <c r="I1397">
        <v>153</v>
      </c>
      <c r="J1397">
        <v>30</v>
      </c>
    </row>
    <row r="1398" spans="1:10" x14ac:dyDescent="0.25">
      <c r="A1398" t="s">
        <v>22</v>
      </c>
      <c r="B1398" t="s">
        <v>11</v>
      </c>
      <c r="C1398" t="s">
        <v>18</v>
      </c>
      <c r="D1398" t="s">
        <v>14</v>
      </c>
      <c r="E1398">
        <v>0.45588235294117602</v>
      </c>
      <c r="F1398">
        <v>0.79565963667205797</v>
      </c>
      <c r="G1398">
        <v>10.0869212150573</v>
      </c>
      <c r="H1398">
        <v>160</v>
      </c>
      <c r="I1398">
        <v>160</v>
      </c>
      <c r="J1398">
        <v>30</v>
      </c>
    </row>
    <row r="1399" spans="1:10" x14ac:dyDescent="0.25">
      <c r="A1399" t="s">
        <v>22</v>
      </c>
      <c r="B1399" t="s">
        <v>11</v>
      </c>
      <c r="C1399" t="s">
        <v>18</v>
      </c>
      <c r="D1399" t="s">
        <v>14</v>
      </c>
      <c r="E1399">
        <v>0.39705882352941102</v>
      </c>
      <c r="F1399">
        <v>0.73452814111617604</v>
      </c>
      <c r="G1399">
        <v>10.1568529605865</v>
      </c>
      <c r="H1399">
        <v>174</v>
      </c>
      <c r="I1399">
        <v>173</v>
      </c>
      <c r="J1399">
        <v>30</v>
      </c>
    </row>
    <row r="1400" spans="1:10" x14ac:dyDescent="0.25">
      <c r="A1400" t="s">
        <v>22</v>
      </c>
      <c r="B1400" t="s">
        <v>11</v>
      </c>
      <c r="C1400" t="s">
        <v>18</v>
      </c>
      <c r="D1400" t="s">
        <v>14</v>
      </c>
      <c r="E1400">
        <v>0.63235294117647001</v>
      </c>
      <c r="F1400">
        <v>0.795242062013235</v>
      </c>
      <c r="G1400">
        <v>10.449983596801699</v>
      </c>
      <c r="H1400">
        <v>176</v>
      </c>
      <c r="I1400">
        <v>175</v>
      </c>
      <c r="J1400">
        <v>30</v>
      </c>
    </row>
    <row r="1401" spans="1:10" x14ac:dyDescent="0.25">
      <c r="A1401" t="s">
        <v>22</v>
      </c>
      <c r="B1401" t="s">
        <v>11</v>
      </c>
      <c r="C1401" t="s">
        <v>18</v>
      </c>
      <c r="D1401" t="s">
        <v>14</v>
      </c>
      <c r="E1401">
        <v>0.58823529411764697</v>
      </c>
      <c r="F1401">
        <v>0.81289490118382302</v>
      </c>
      <c r="G1401">
        <v>10.735505819320601</v>
      </c>
      <c r="H1401">
        <v>191</v>
      </c>
      <c r="I1401">
        <v>191</v>
      </c>
      <c r="J1401">
        <v>30</v>
      </c>
    </row>
    <row r="1402" spans="1:10" x14ac:dyDescent="0.25">
      <c r="A1402" t="s">
        <v>22</v>
      </c>
      <c r="B1402" t="s">
        <v>11</v>
      </c>
      <c r="C1402" t="s">
        <v>18</v>
      </c>
      <c r="D1402" t="s">
        <v>14</v>
      </c>
      <c r="E1402">
        <v>0.61764705882352899</v>
      </c>
      <c r="F1402">
        <v>0.79836974005000005</v>
      </c>
      <c r="G1402">
        <v>11.493582010269099</v>
      </c>
      <c r="H1402">
        <v>191</v>
      </c>
      <c r="I1402">
        <v>191</v>
      </c>
      <c r="J1402">
        <v>30</v>
      </c>
    </row>
    <row r="1403" spans="1:10" x14ac:dyDescent="0.25">
      <c r="A1403" t="s">
        <v>22</v>
      </c>
      <c r="B1403" t="s">
        <v>11</v>
      </c>
      <c r="C1403" t="s">
        <v>18</v>
      </c>
      <c r="D1403" t="s">
        <v>14</v>
      </c>
      <c r="E1403">
        <v>0.58823529411764697</v>
      </c>
      <c r="F1403">
        <v>0.81062568850735295</v>
      </c>
      <c r="G1403">
        <v>11.598912477493201</v>
      </c>
      <c r="H1403">
        <v>186</v>
      </c>
      <c r="I1403">
        <v>186</v>
      </c>
      <c r="J1403">
        <v>30</v>
      </c>
    </row>
    <row r="1404" spans="1:10" x14ac:dyDescent="0.25">
      <c r="A1404" t="s">
        <v>22</v>
      </c>
      <c r="B1404" t="s">
        <v>11</v>
      </c>
      <c r="C1404" t="s">
        <v>18</v>
      </c>
      <c r="D1404" t="s">
        <v>14</v>
      </c>
      <c r="E1404">
        <v>0.61764705882352899</v>
      </c>
      <c r="F1404">
        <v>0.80611216978382305</v>
      </c>
      <c r="G1404">
        <v>11.637637615203801</v>
      </c>
      <c r="H1404">
        <v>186</v>
      </c>
      <c r="I1404">
        <v>186</v>
      </c>
      <c r="J1404">
        <v>30</v>
      </c>
    </row>
    <row r="1405" spans="1:10" x14ac:dyDescent="0.25">
      <c r="A1405" t="s">
        <v>22</v>
      </c>
      <c r="B1405" t="s">
        <v>11</v>
      </c>
      <c r="C1405" t="s">
        <v>18</v>
      </c>
      <c r="D1405" t="s">
        <v>14</v>
      </c>
      <c r="E1405">
        <v>0.52941176470588203</v>
      </c>
      <c r="F1405">
        <v>0.768981219311764</v>
      </c>
      <c r="G1405">
        <v>11.977774858474699</v>
      </c>
      <c r="H1405">
        <v>176</v>
      </c>
      <c r="I1405">
        <v>176</v>
      </c>
      <c r="J1405">
        <v>30</v>
      </c>
    </row>
    <row r="1406" spans="1:10" x14ac:dyDescent="0.25">
      <c r="A1406" t="s">
        <v>22</v>
      </c>
      <c r="B1406" t="s">
        <v>11</v>
      </c>
      <c r="C1406" t="s">
        <v>18</v>
      </c>
      <c r="D1406" t="s">
        <v>14</v>
      </c>
      <c r="E1406">
        <v>0.51470588235294101</v>
      </c>
      <c r="F1406">
        <v>0.80925467756176395</v>
      </c>
      <c r="G1406">
        <v>12.121822595596299</v>
      </c>
      <c r="H1406">
        <v>191</v>
      </c>
      <c r="I1406">
        <v>191</v>
      </c>
      <c r="J1406">
        <v>30</v>
      </c>
    </row>
    <row r="1407" spans="1:10" x14ac:dyDescent="0.25">
      <c r="A1407" t="s">
        <v>22</v>
      </c>
      <c r="B1407" t="s">
        <v>11</v>
      </c>
      <c r="C1407" t="s">
        <v>18</v>
      </c>
      <c r="D1407" t="s">
        <v>14</v>
      </c>
      <c r="E1407">
        <v>0.441176470588235</v>
      </c>
      <c r="F1407">
        <v>0.79003994659999999</v>
      </c>
      <c r="G1407">
        <v>12.204068183898899</v>
      </c>
      <c r="H1407">
        <v>188</v>
      </c>
      <c r="I1407">
        <v>188</v>
      </c>
      <c r="J1407">
        <v>30</v>
      </c>
    </row>
    <row r="1408" spans="1:10" x14ac:dyDescent="0.25">
      <c r="A1408" t="s">
        <v>22</v>
      </c>
      <c r="B1408" t="s">
        <v>11</v>
      </c>
      <c r="C1408" t="s">
        <v>18</v>
      </c>
      <c r="D1408" t="s">
        <v>14</v>
      </c>
      <c r="E1408">
        <v>0.57352941176470495</v>
      </c>
      <c r="F1408">
        <v>0.78353633488823504</v>
      </c>
      <c r="G1408">
        <v>12.2921392917633</v>
      </c>
      <c r="H1408">
        <v>178</v>
      </c>
      <c r="I1408">
        <v>177</v>
      </c>
      <c r="J1408">
        <v>30</v>
      </c>
    </row>
    <row r="1409" spans="1:10" x14ac:dyDescent="0.25">
      <c r="A1409" t="s">
        <v>22</v>
      </c>
      <c r="B1409" t="s">
        <v>11</v>
      </c>
      <c r="C1409" t="s">
        <v>18</v>
      </c>
      <c r="D1409" t="s">
        <v>14</v>
      </c>
      <c r="E1409">
        <v>0.63235294117647001</v>
      </c>
      <c r="F1409">
        <v>0.80110885554852895</v>
      </c>
      <c r="G1409">
        <v>12.3262865543365</v>
      </c>
      <c r="H1409">
        <v>191</v>
      </c>
      <c r="I1409">
        <v>191</v>
      </c>
      <c r="J1409">
        <v>30</v>
      </c>
    </row>
    <row r="1410" spans="1:10" x14ac:dyDescent="0.25">
      <c r="A1410" t="s">
        <v>22</v>
      </c>
      <c r="B1410" t="s">
        <v>11</v>
      </c>
      <c r="C1410" t="s">
        <v>18</v>
      </c>
      <c r="D1410" t="s">
        <v>14</v>
      </c>
      <c r="E1410">
        <v>0.57352941176470495</v>
      </c>
      <c r="F1410">
        <v>0.80087118713088201</v>
      </c>
      <c r="G1410">
        <v>12.417920589447</v>
      </c>
      <c r="H1410">
        <v>194</v>
      </c>
      <c r="I1410">
        <v>194</v>
      </c>
      <c r="J1410">
        <v>30</v>
      </c>
    </row>
    <row r="1411" spans="1:10" x14ac:dyDescent="0.25">
      <c r="A1411" t="s">
        <v>22</v>
      </c>
      <c r="B1411" t="s">
        <v>11</v>
      </c>
      <c r="C1411" t="s">
        <v>18</v>
      </c>
      <c r="D1411" t="s">
        <v>14</v>
      </c>
      <c r="E1411">
        <v>0.441176470588235</v>
      </c>
      <c r="F1411">
        <v>0.75080844946029401</v>
      </c>
      <c r="G1411">
        <v>12.4317262172698</v>
      </c>
      <c r="H1411">
        <v>183</v>
      </c>
      <c r="I1411">
        <v>182</v>
      </c>
      <c r="J1411">
        <v>30</v>
      </c>
    </row>
    <row r="1412" spans="1:10" x14ac:dyDescent="0.25">
      <c r="A1412" t="s">
        <v>22</v>
      </c>
      <c r="B1412" t="s">
        <v>11</v>
      </c>
      <c r="C1412" t="s">
        <v>18</v>
      </c>
      <c r="D1412" t="s">
        <v>15</v>
      </c>
      <c r="E1412">
        <v>0</v>
      </c>
      <c r="F1412">
        <v>0.75</v>
      </c>
      <c r="G1412">
        <v>4.1303396224975503E-2</v>
      </c>
      <c r="H1412">
        <v>0</v>
      </c>
      <c r="I1412">
        <v>0</v>
      </c>
      <c r="J1412">
        <v>30</v>
      </c>
    </row>
    <row r="1413" spans="1:10" x14ac:dyDescent="0.25">
      <c r="A1413" t="s">
        <v>22</v>
      </c>
      <c r="B1413" t="s">
        <v>11</v>
      </c>
      <c r="C1413" t="s">
        <v>18</v>
      </c>
      <c r="D1413" t="s">
        <v>15</v>
      </c>
      <c r="E1413">
        <v>0</v>
      </c>
      <c r="F1413">
        <v>0.75</v>
      </c>
      <c r="G1413">
        <v>6.1569690704345703E-2</v>
      </c>
      <c r="H1413">
        <v>0</v>
      </c>
      <c r="I1413">
        <v>0</v>
      </c>
      <c r="J1413">
        <v>30</v>
      </c>
    </row>
    <row r="1414" spans="1:10" x14ac:dyDescent="0.25">
      <c r="A1414" t="s">
        <v>22</v>
      </c>
      <c r="B1414" t="s">
        <v>11</v>
      </c>
      <c r="C1414" t="s">
        <v>18</v>
      </c>
      <c r="D1414" t="s">
        <v>15</v>
      </c>
      <c r="E1414">
        <v>0</v>
      </c>
      <c r="F1414">
        <v>0.75</v>
      </c>
      <c r="G1414">
        <v>5.14416694641113E-2</v>
      </c>
      <c r="H1414">
        <v>0</v>
      </c>
      <c r="I1414">
        <v>0</v>
      </c>
      <c r="J1414">
        <v>30</v>
      </c>
    </row>
    <row r="1415" spans="1:10" x14ac:dyDescent="0.25">
      <c r="A1415" t="s">
        <v>22</v>
      </c>
      <c r="B1415" t="s">
        <v>11</v>
      </c>
      <c r="C1415" t="s">
        <v>18</v>
      </c>
      <c r="D1415" t="s">
        <v>15</v>
      </c>
      <c r="E1415">
        <v>0</v>
      </c>
      <c r="F1415">
        <v>0.75</v>
      </c>
      <c r="G1415">
        <v>6.7100763320922796E-2</v>
      </c>
      <c r="H1415">
        <v>0</v>
      </c>
      <c r="I1415">
        <v>0</v>
      </c>
      <c r="J1415">
        <v>30</v>
      </c>
    </row>
    <row r="1416" spans="1:10" x14ac:dyDescent="0.25">
      <c r="A1416" t="s">
        <v>22</v>
      </c>
      <c r="B1416" t="s">
        <v>11</v>
      </c>
      <c r="C1416" t="s">
        <v>18</v>
      </c>
      <c r="D1416" t="s">
        <v>15</v>
      </c>
      <c r="E1416">
        <v>0</v>
      </c>
      <c r="F1416">
        <v>0.75</v>
      </c>
      <c r="G1416">
        <v>6.3407421112060505E-2</v>
      </c>
      <c r="H1416">
        <v>0</v>
      </c>
      <c r="I1416">
        <v>0</v>
      </c>
      <c r="J1416">
        <v>30</v>
      </c>
    </row>
    <row r="1417" spans="1:10" x14ac:dyDescent="0.25">
      <c r="A1417" t="s">
        <v>22</v>
      </c>
      <c r="B1417" t="s">
        <v>11</v>
      </c>
      <c r="C1417" t="s">
        <v>18</v>
      </c>
      <c r="D1417" t="s">
        <v>15</v>
      </c>
      <c r="E1417">
        <v>0</v>
      </c>
      <c r="F1417">
        <v>0.75</v>
      </c>
      <c r="G1417">
        <v>6.8318128585815402E-2</v>
      </c>
      <c r="H1417">
        <v>0</v>
      </c>
      <c r="I1417">
        <v>0</v>
      </c>
      <c r="J1417">
        <v>30</v>
      </c>
    </row>
    <row r="1418" spans="1:10" x14ac:dyDescent="0.25">
      <c r="A1418" t="s">
        <v>22</v>
      </c>
      <c r="B1418" t="s">
        <v>11</v>
      </c>
      <c r="C1418" t="s">
        <v>18</v>
      </c>
      <c r="D1418" t="s">
        <v>15</v>
      </c>
      <c r="E1418">
        <v>0</v>
      </c>
      <c r="F1418">
        <v>0.75</v>
      </c>
      <c r="G1418">
        <v>6.1507701873779297E-2</v>
      </c>
      <c r="H1418">
        <v>0</v>
      </c>
      <c r="I1418">
        <v>0</v>
      </c>
      <c r="J1418">
        <v>30</v>
      </c>
    </row>
    <row r="1419" spans="1:10" x14ac:dyDescent="0.25">
      <c r="A1419" t="s">
        <v>22</v>
      </c>
      <c r="B1419" t="s">
        <v>11</v>
      </c>
      <c r="C1419" t="s">
        <v>18</v>
      </c>
      <c r="D1419" t="s">
        <v>15</v>
      </c>
      <c r="E1419">
        <v>0</v>
      </c>
      <c r="F1419">
        <v>0.75</v>
      </c>
      <c r="G1419">
        <v>6.1881065368652302E-2</v>
      </c>
      <c r="H1419">
        <v>0</v>
      </c>
      <c r="I1419">
        <v>0</v>
      </c>
      <c r="J1419">
        <v>30</v>
      </c>
    </row>
    <row r="1420" spans="1:10" x14ac:dyDescent="0.25">
      <c r="A1420" t="s">
        <v>22</v>
      </c>
      <c r="B1420" t="s">
        <v>11</v>
      </c>
      <c r="C1420" t="s">
        <v>18</v>
      </c>
      <c r="D1420" t="s">
        <v>15</v>
      </c>
      <c r="E1420">
        <v>0</v>
      </c>
      <c r="F1420">
        <v>0.75</v>
      </c>
      <c r="G1420">
        <v>6.8318128585815402E-2</v>
      </c>
      <c r="H1420">
        <v>0</v>
      </c>
      <c r="I1420">
        <v>0</v>
      </c>
      <c r="J1420">
        <v>30</v>
      </c>
    </row>
    <row r="1421" spans="1:10" x14ac:dyDescent="0.25">
      <c r="A1421" t="s">
        <v>22</v>
      </c>
      <c r="B1421" t="s">
        <v>11</v>
      </c>
      <c r="C1421" t="s">
        <v>18</v>
      </c>
      <c r="D1421" t="s">
        <v>15</v>
      </c>
      <c r="E1421">
        <v>0</v>
      </c>
      <c r="F1421">
        <v>0.75</v>
      </c>
      <c r="G1421">
        <v>6.8318128585815402E-2</v>
      </c>
      <c r="H1421">
        <v>0</v>
      </c>
      <c r="I1421">
        <v>0</v>
      </c>
      <c r="J1421">
        <v>30</v>
      </c>
    </row>
    <row r="1422" spans="1:10" x14ac:dyDescent="0.25">
      <c r="A1422" t="s">
        <v>22</v>
      </c>
      <c r="B1422" t="s">
        <v>11</v>
      </c>
      <c r="C1422" t="s">
        <v>18</v>
      </c>
      <c r="D1422" t="s">
        <v>15</v>
      </c>
      <c r="E1422">
        <v>0</v>
      </c>
      <c r="F1422">
        <v>0.75</v>
      </c>
      <c r="G1422">
        <v>6.1507701873779297E-2</v>
      </c>
      <c r="H1422">
        <v>0</v>
      </c>
      <c r="I1422">
        <v>0</v>
      </c>
      <c r="J1422">
        <v>30</v>
      </c>
    </row>
    <row r="1423" spans="1:10" x14ac:dyDescent="0.25">
      <c r="A1423" t="s">
        <v>22</v>
      </c>
      <c r="B1423" t="s">
        <v>11</v>
      </c>
      <c r="C1423" t="s">
        <v>18</v>
      </c>
      <c r="D1423" t="s">
        <v>15</v>
      </c>
      <c r="E1423">
        <v>0</v>
      </c>
      <c r="F1423">
        <v>0.75</v>
      </c>
      <c r="G1423">
        <v>7.8735113143920898E-2</v>
      </c>
      <c r="H1423">
        <v>0</v>
      </c>
      <c r="I1423">
        <v>0</v>
      </c>
      <c r="J1423">
        <v>30</v>
      </c>
    </row>
    <row r="1424" spans="1:10" x14ac:dyDescent="0.25">
      <c r="A1424" t="s">
        <v>22</v>
      </c>
      <c r="B1424" t="s">
        <v>11</v>
      </c>
      <c r="C1424" t="s">
        <v>18</v>
      </c>
      <c r="D1424" t="s">
        <v>15</v>
      </c>
      <c r="E1424">
        <v>0</v>
      </c>
      <c r="F1424">
        <v>0.75</v>
      </c>
      <c r="G1424">
        <v>7.8735113143920898E-2</v>
      </c>
      <c r="H1424">
        <v>0</v>
      </c>
      <c r="I1424">
        <v>0</v>
      </c>
      <c r="J1424">
        <v>30</v>
      </c>
    </row>
    <row r="1425" spans="1:10" x14ac:dyDescent="0.25">
      <c r="A1425" t="s">
        <v>22</v>
      </c>
      <c r="B1425" t="s">
        <v>11</v>
      </c>
      <c r="C1425" t="s">
        <v>18</v>
      </c>
      <c r="D1425" t="s">
        <v>15</v>
      </c>
      <c r="E1425">
        <v>0</v>
      </c>
      <c r="F1425">
        <v>0.75</v>
      </c>
      <c r="G1425">
        <v>7.1924686431884696E-2</v>
      </c>
      <c r="H1425">
        <v>0</v>
      </c>
      <c r="I1425">
        <v>0</v>
      </c>
      <c r="J1425">
        <v>30</v>
      </c>
    </row>
    <row r="1426" spans="1:10" x14ac:dyDescent="0.25">
      <c r="A1426" t="s">
        <v>22</v>
      </c>
      <c r="B1426" t="s">
        <v>11</v>
      </c>
      <c r="C1426" t="s">
        <v>18</v>
      </c>
      <c r="D1426" t="s">
        <v>15</v>
      </c>
      <c r="E1426">
        <v>0</v>
      </c>
      <c r="F1426">
        <v>0.75</v>
      </c>
      <c r="G1426">
        <v>7.1924686431884696E-2</v>
      </c>
      <c r="H1426">
        <v>0</v>
      </c>
      <c r="I1426">
        <v>0</v>
      </c>
      <c r="J1426">
        <v>30</v>
      </c>
    </row>
    <row r="1427" spans="1:10" x14ac:dyDescent="0.25">
      <c r="A1427" t="s">
        <v>22</v>
      </c>
      <c r="B1427" t="s">
        <v>11</v>
      </c>
      <c r="C1427" t="s">
        <v>18</v>
      </c>
      <c r="D1427" t="s">
        <v>15</v>
      </c>
      <c r="E1427">
        <v>0</v>
      </c>
      <c r="F1427">
        <v>0.75</v>
      </c>
      <c r="G1427">
        <v>8.2371950149536105E-2</v>
      </c>
      <c r="H1427">
        <v>0</v>
      </c>
      <c r="I1427">
        <v>0</v>
      </c>
      <c r="J1427">
        <v>30</v>
      </c>
    </row>
    <row r="1428" spans="1:10" x14ac:dyDescent="0.25">
      <c r="A1428" t="s">
        <v>22</v>
      </c>
      <c r="B1428" t="s">
        <v>11</v>
      </c>
      <c r="C1428" t="s">
        <v>18</v>
      </c>
      <c r="D1428" t="s">
        <v>15</v>
      </c>
      <c r="E1428">
        <v>0</v>
      </c>
      <c r="F1428">
        <v>0.75</v>
      </c>
      <c r="G1428">
        <v>6.1507701873779297E-2</v>
      </c>
      <c r="H1428">
        <v>0</v>
      </c>
      <c r="I1428">
        <v>0</v>
      </c>
      <c r="J1428">
        <v>30</v>
      </c>
    </row>
    <row r="1429" spans="1:10" x14ac:dyDescent="0.25">
      <c r="A1429" t="s">
        <v>22</v>
      </c>
      <c r="B1429" t="s">
        <v>11</v>
      </c>
      <c r="C1429" t="s">
        <v>18</v>
      </c>
      <c r="D1429" t="s">
        <v>15</v>
      </c>
      <c r="E1429">
        <v>0</v>
      </c>
      <c r="F1429">
        <v>0.75</v>
      </c>
      <c r="G1429">
        <v>8.7983131408691406E-2</v>
      </c>
      <c r="H1429">
        <v>0</v>
      </c>
      <c r="I1429">
        <v>0</v>
      </c>
      <c r="J1429">
        <v>30</v>
      </c>
    </row>
    <row r="1430" spans="1:10" x14ac:dyDescent="0.25">
      <c r="A1430" t="s">
        <v>22</v>
      </c>
      <c r="B1430" t="s">
        <v>11</v>
      </c>
      <c r="C1430" t="s">
        <v>18</v>
      </c>
      <c r="D1430" t="s">
        <v>15</v>
      </c>
      <c r="E1430">
        <v>0</v>
      </c>
      <c r="F1430">
        <v>0.75</v>
      </c>
      <c r="G1430">
        <v>9.4793558120727497E-2</v>
      </c>
      <c r="H1430">
        <v>0</v>
      </c>
      <c r="I1430">
        <v>0</v>
      </c>
      <c r="J1430">
        <v>30</v>
      </c>
    </row>
    <row r="1431" spans="1:10" x14ac:dyDescent="0.25">
      <c r="A1431" t="s">
        <v>22</v>
      </c>
      <c r="B1431" t="s">
        <v>11</v>
      </c>
      <c r="C1431" t="s">
        <v>18</v>
      </c>
      <c r="D1431" t="s">
        <v>15</v>
      </c>
      <c r="E1431">
        <v>0</v>
      </c>
      <c r="F1431">
        <v>0.75</v>
      </c>
      <c r="G1431">
        <v>9.9629878997802707E-2</v>
      </c>
      <c r="H1431">
        <v>1</v>
      </c>
      <c r="I1431">
        <v>3</v>
      </c>
      <c r="J1431">
        <v>30</v>
      </c>
    </row>
    <row r="1432" spans="1:10" x14ac:dyDescent="0.25">
      <c r="A1432" t="s">
        <v>22</v>
      </c>
      <c r="B1432" t="s">
        <v>11</v>
      </c>
      <c r="C1432" t="s">
        <v>18</v>
      </c>
      <c r="D1432" t="s">
        <v>15</v>
      </c>
      <c r="E1432">
        <v>0</v>
      </c>
      <c r="F1432">
        <v>0.75</v>
      </c>
      <c r="G1432">
        <v>9.2819452285766602E-2</v>
      </c>
      <c r="H1432">
        <v>0</v>
      </c>
      <c r="I1432">
        <v>0</v>
      </c>
      <c r="J1432">
        <v>30</v>
      </c>
    </row>
    <row r="1433" spans="1:10" x14ac:dyDescent="0.25">
      <c r="A1433" t="s">
        <v>22</v>
      </c>
      <c r="B1433" t="s">
        <v>11</v>
      </c>
      <c r="C1433" t="s">
        <v>18</v>
      </c>
      <c r="D1433" t="s">
        <v>15</v>
      </c>
      <c r="E1433">
        <v>0</v>
      </c>
      <c r="F1433">
        <v>0.75</v>
      </c>
      <c r="G1433">
        <v>9.2819452285766602E-2</v>
      </c>
      <c r="H1433">
        <v>0</v>
      </c>
      <c r="I1433">
        <v>0</v>
      </c>
      <c r="J1433">
        <v>30</v>
      </c>
    </row>
    <row r="1434" spans="1:10" x14ac:dyDescent="0.25">
      <c r="A1434" t="s">
        <v>22</v>
      </c>
      <c r="B1434" t="s">
        <v>11</v>
      </c>
      <c r="C1434" t="s">
        <v>18</v>
      </c>
      <c r="D1434" t="s">
        <v>15</v>
      </c>
      <c r="E1434">
        <v>0</v>
      </c>
      <c r="F1434">
        <v>0.75</v>
      </c>
      <c r="G1434">
        <v>8.7983131408691406E-2</v>
      </c>
      <c r="H1434">
        <v>0</v>
      </c>
      <c r="I1434">
        <v>0</v>
      </c>
      <c r="J1434">
        <v>30</v>
      </c>
    </row>
    <row r="1435" spans="1:10" x14ac:dyDescent="0.25">
      <c r="A1435" t="s">
        <v>22</v>
      </c>
      <c r="B1435" t="s">
        <v>11</v>
      </c>
      <c r="C1435" t="s">
        <v>18</v>
      </c>
      <c r="D1435" t="s">
        <v>15</v>
      </c>
      <c r="E1435">
        <v>0</v>
      </c>
      <c r="F1435">
        <v>0.75</v>
      </c>
      <c r="G1435">
        <v>8.9182376861572196E-2</v>
      </c>
      <c r="H1435">
        <v>0</v>
      </c>
      <c r="I1435">
        <v>0</v>
      </c>
      <c r="J1435">
        <v>30</v>
      </c>
    </row>
    <row r="1436" spans="1:10" x14ac:dyDescent="0.25">
      <c r="A1436" t="s">
        <v>22</v>
      </c>
      <c r="B1436" t="s">
        <v>11</v>
      </c>
      <c r="C1436" t="s">
        <v>18</v>
      </c>
      <c r="D1436" t="s">
        <v>15</v>
      </c>
      <c r="E1436">
        <v>0</v>
      </c>
      <c r="F1436">
        <v>0.75</v>
      </c>
      <c r="G1436">
        <v>0.103203296661376</v>
      </c>
      <c r="H1436">
        <v>1</v>
      </c>
      <c r="I1436">
        <v>3</v>
      </c>
      <c r="J1436">
        <v>30</v>
      </c>
    </row>
    <row r="1437" spans="1:10" x14ac:dyDescent="0.25">
      <c r="A1437" t="s">
        <v>22</v>
      </c>
      <c r="B1437" t="s">
        <v>11</v>
      </c>
      <c r="C1437" t="s">
        <v>18</v>
      </c>
      <c r="D1437" t="s">
        <v>15</v>
      </c>
      <c r="E1437">
        <v>0</v>
      </c>
      <c r="F1437">
        <v>0.75</v>
      </c>
      <c r="G1437">
        <v>7.1924686431884696E-2</v>
      </c>
      <c r="H1437">
        <v>0</v>
      </c>
      <c r="I1437">
        <v>0</v>
      </c>
      <c r="J1437">
        <v>30</v>
      </c>
    </row>
    <row r="1438" spans="1:10" x14ac:dyDescent="0.25">
      <c r="A1438" t="s">
        <v>22</v>
      </c>
      <c r="B1438" t="s">
        <v>11</v>
      </c>
      <c r="C1438" t="s">
        <v>18</v>
      </c>
      <c r="D1438" t="s">
        <v>15</v>
      </c>
      <c r="E1438">
        <v>0</v>
      </c>
      <c r="F1438">
        <v>0.75</v>
      </c>
      <c r="G1438">
        <v>7.1924686431884696E-2</v>
      </c>
      <c r="H1438">
        <v>0</v>
      </c>
      <c r="I1438">
        <v>0</v>
      </c>
      <c r="J1438">
        <v>30</v>
      </c>
    </row>
    <row r="1439" spans="1:10" x14ac:dyDescent="0.25">
      <c r="A1439" t="s">
        <v>22</v>
      </c>
      <c r="B1439" t="s">
        <v>11</v>
      </c>
      <c r="C1439" t="s">
        <v>18</v>
      </c>
      <c r="D1439" t="s">
        <v>15</v>
      </c>
      <c r="E1439">
        <v>0</v>
      </c>
      <c r="F1439">
        <v>0.75</v>
      </c>
      <c r="G1439">
        <v>0.15027427673339799</v>
      </c>
      <c r="H1439">
        <v>4</v>
      </c>
      <c r="I1439">
        <v>8</v>
      </c>
      <c r="J1439">
        <v>30</v>
      </c>
    </row>
    <row r="1440" spans="1:10" x14ac:dyDescent="0.25">
      <c r="A1440" t="s">
        <v>22</v>
      </c>
      <c r="B1440" t="s">
        <v>11</v>
      </c>
      <c r="C1440" t="s">
        <v>18</v>
      </c>
      <c r="D1440" t="s">
        <v>15</v>
      </c>
      <c r="E1440">
        <v>0</v>
      </c>
      <c r="F1440">
        <v>0.75</v>
      </c>
      <c r="G1440">
        <v>0.16169977188110299</v>
      </c>
      <c r="H1440">
        <v>4</v>
      </c>
      <c r="I1440">
        <v>12</v>
      </c>
      <c r="J1440">
        <v>30</v>
      </c>
    </row>
    <row r="1441" spans="1:10" x14ac:dyDescent="0.25">
      <c r="A1441" t="s">
        <v>22</v>
      </c>
      <c r="B1441" t="s">
        <v>11</v>
      </c>
      <c r="C1441" t="s">
        <v>18</v>
      </c>
      <c r="D1441" t="s">
        <v>15</v>
      </c>
      <c r="E1441">
        <v>0</v>
      </c>
      <c r="F1441">
        <v>0.75</v>
      </c>
      <c r="G1441">
        <v>5.7876348495483398E-2</v>
      </c>
      <c r="H1441">
        <v>0</v>
      </c>
      <c r="I1441">
        <v>0</v>
      </c>
      <c r="J1441">
        <v>30</v>
      </c>
    </row>
    <row r="1442" spans="1:10" x14ac:dyDescent="0.25">
      <c r="A1442" t="s">
        <v>22</v>
      </c>
      <c r="B1442" t="s">
        <v>11</v>
      </c>
      <c r="C1442" t="s">
        <v>18</v>
      </c>
      <c r="D1442" t="s">
        <v>16</v>
      </c>
      <c r="E1442">
        <v>0</v>
      </c>
      <c r="F1442">
        <v>0.75</v>
      </c>
      <c r="G1442">
        <v>8.2854032516479395E-2</v>
      </c>
      <c r="H1442">
        <v>0</v>
      </c>
      <c r="I1442">
        <v>0</v>
      </c>
      <c r="J1442">
        <v>30</v>
      </c>
    </row>
    <row r="1443" spans="1:10" x14ac:dyDescent="0.25">
      <c r="A1443" t="s">
        <v>22</v>
      </c>
      <c r="B1443" t="s">
        <v>11</v>
      </c>
      <c r="C1443" t="s">
        <v>18</v>
      </c>
      <c r="D1443" t="s">
        <v>16</v>
      </c>
      <c r="E1443">
        <v>0</v>
      </c>
      <c r="F1443">
        <v>0.75</v>
      </c>
      <c r="G1443">
        <v>9.3044519424438393E-2</v>
      </c>
      <c r="H1443">
        <v>0</v>
      </c>
      <c r="I1443">
        <v>0</v>
      </c>
      <c r="J1443">
        <v>30</v>
      </c>
    </row>
    <row r="1444" spans="1:10" x14ac:dyDescent="0.25">
      <c r="A1444" t="s">
        <v>22</v>
      </c>
      <c r="B1444" t="s">
        <v>11</v>
      </c>
      <c r="C1444" t="s">
        <v>18</v>
      </c>
      <c r="D1444" t="s">
        <v>16</v>
      </c>
      <c r="E1444">
        <v>0</v>
      </c>
      <c r="F1444">
        <v>0.75</v>
      </c>
      <c r="G1444">
        <v>0.113385915756225</v>
      </c>
      <c r="H1444">
        <v>0</v>
      </c>
      <c r="I1444">
        <v>0</v>
      </c>
      <c r="J1444">
        <v>30</v>
      </c>
    </row>
    <row r="1445" spans="1:10" x14ac:dyDescent="0.25">
      <c r="A1445" t="s">
        <v>22</v>
      </c>
      <c r="B1445" t="s">
        <v>11</v>
      </c>
      <c r="C1445" t="s">
        <v>18</v>
      </c>
      <c r="D1445" t="s">
        <v>16</v>
      </c>
      <c r="E1445">
        <v>0</v>
      </c>
      <c r="F1445">
        <v>0.75</v>
      </c>
      <c r="G1445">
        <v>0.129015207290649</v>
      </c>
      <c r="H1445">
        <v>0</v>
      </c>
      <c r="I1445">
        <v>0</v>
      </c>
      <c r="J1445">
        <v>30</v>
      </c>
    </row>
    <row r="1446" spans="1:10" x14ac:dyDescent="0.25">
      <c r="A1446" t="s">
        <v>22</v>
      </c>
      <c r="B1446" t="s">
        <v>11</v>
      </c>
      <c r="C1446" t="s">
        <v>18</v>
      </c>
      <c r="D1446" t="s">
        <v>16</v>
      </c>
      <c r="E1446">
        <v>0</v>
      </c>
      <c r="F1446">
        <v>0.75</v>
      </c>
      <c r="G1446">
        <v>0.13292789459228499</v>
      </c>
      <c r="H1446">
        <v>0</v>
      </c>
      <c r="I1446">
        <v>0</v>
      </c>
      <c r="J1446">
        <v>30</v>
      </c>
    </row>
    <row r="1447" spans="1:10" x14ac:dyDescent="0.25">
      <c r="A1447" t="s">
        <v>22</v>
      </c>
      <c r="B1447" t="s">
        <v>11</v>
      </c>
      <c r="C1447" t="s">
        <v>18</v>
      </c>
      <c r="D1447" t="s">
        <v>16</v>
      </c>
      <c r="E1447">
        <v>0</v>
      </c>
      <c r="F1447">
        <v>0.75</v>
      </c>
      <c r="G1447">
        <v>0.14446067810058499</v>
      </c>
      <c r="H1447">
        <v>0</v>
      </c>
      <c r="I1447">
        <v>0</v>
      </c>
      <c r="J1447">
        <v>30</v>
      </c>
    </row>
    <row r="1448" spans="1:10" x14ac:dyDescent="0.25">
      <c r="A1448" t="s">
        <v>22</v>
      </c>
      <c r="B1448" t="s">
        <v>11</v>
      </c>
      <c r="C1448" t="s">
        <v>18</v>
      </c>
      <c r="D1448" t="s">
        <v>16</v>
      </c>
      <c r="E1448">
        <v>0</v>
      </c>
      <c r="F1448">
        <v>0.75</v>
      </c>
      <c r="G1448">
        <v>0.16376757621765101</v>
      </c>
      <c r="H1448">
        <v>0</v>
      </c>
      <c r="I1448">
        <v>0</v>
      </c>
      <c r="J1448">
        <v>30</v>
      </c>
    </row>
    <row r="1449" spans="1:10" x14ac:dyDescent="0.25">
      <c r="A1449" t="s">
        <v>22</v>
      </c>
      <c r="B1449" t="s">
        <v>11</v>
      </c>
      <c r="C1449" t="s">
        <v>18</v>
      </c>
      <c r="D1449" t="s">
        <v>16</v>
      </c>
      <c r="E1449">
        <v>0</v>
      </c>
      <c r="F1449">
        <v>0.75</v>
      </c>
      <c r="G1449">
        <v>0.16829633712768499</v>
      </c>
      <c r="H1449">
        <v>0</v>
      </c>
      <c r="I1449">
        <v>0</v>
      </c>
      <c r="J1449">
        <v>30</v>
      </c>
    </row>
    <row r="1450" spans="1:10" x14ac:dyDescent="0.25">
      <c r="A1450" t="s">
        <v>22</v>
      </c>
      <c r="B1450" t="s">
        <v>11</v>
      </c>
      <c r="C1450" t="s">
        <v>18</v>
      </c>
      <c r="D1450" t="s">
        <v>16</v>
      </c>
      <c r="E1450">
        <v>0</v>
      </c>
      <c r="F1450">
        <v>0.75</v>
      </c>
      <c r="G1450">
        <v>0.19454383850097601</v>
      </c>
      <c r="H1450">
        <v>0</v>
      </c>
      <c r="I1450">
        <v>0</v>
      </c>
      <c r="J1450">
        <v>30</v>
      </c>
    </row>
    <row r="1451" spans="1:10" x14ac:dyDescent="0.25">
      <c r="A1451" t="s">
        <v>22</v>
      </c>
      <c r="B1451" t="s">
        <v>11</v>
      </c>
      <c r="C1451" t="s">
        <v>18</v>
      </c>
      <c r="D1451" t="s">
        <v>16</v>
      </c>
      <c r="E1451">
        <v>0</v>
      </c>
      <c r="F1451">
        <v>0.75</v>
      </c>
      <c r="G1451">
        <v>0.20746994018554599</v>
      </c>
      <c r="H1451">
        <v>0</v>
      </c>
      <c r="I1451">
        <v>0</v>
      </c>
      <c r="J1451">
        <v>30</v>
      </c>
    </row>
    <row r="1452" spans="1:10" x14ac:dyDescent="0.25">
      <c r="A1452" t="s">
        <v>22</v>
      </c>
      <c r="B1452" t="s">
        <v>11</v>
      </c>
      <c r="C1452" t="s">
        <v>18</v>
      </c>
      <c r="D1452" t="s">
        <v>16</v>
      </c>
      <c r="E1452">
        <v>0</v>
      </c>
      <c r="F1452">
        <v>0.75</v>
      </c>
      <c r="G1452">
        <v>0.19907331466674799</v>
      </c>
      <c r="H1452">
        <v>0</v>
      </c>
      <c r="I1452">
        <v>0</v>
      </c>
      <c r="J1452">
        <v>30</v>
      </c>
    </row>
    <row r="1453" spans="1:10" x14ac:dyDescent="0.25">
      <c r="A1453" t="s">
        <v>22</v>
      </c>
      <c r="B1453" t="s">
        <v>11</v>
      </c>
      <c r="C1453" t="s">
        <v>18</v>
      </c>
      <c r="D1453" t="s">
        <v>16</v>
      </c>
      <c r="E1453">
        <v>0</v>
      </c>
      <c r="F1453">
        <v>0.75</v>
      </c>
      <c r="G1453">
        <v>0.20607638359069799</v>
      </c>
      <c r="H1453">
        <v>0</v>
      </c>
      <c r="I1453">
        <v>0</v>
      </c>
      <c r="J1453">
        <v>30</v>
      </c>
    </row>
    <row r="1454" spans="1:10" x14ac:dyDescent="0.25">
      <c r="A1454" t="s">
        <v>22</v>
      </c>
      <c r="B1454" t="s">
        <v>11</v>
      </c>
      <c r="C1454" t="s">
        <v>18</v>
      </c>
      <c r="D1454" t="s">
        <v>16</v>
      </c>
      <c r="E1454">
        <v>0</v>
      </c>
      <c r="F1454">
        <v>0.75</v>
      </c>
      <c r="G1454">
        <v>0.20678448677062899</v>
      </c>
      <c r="H1454">
        <v>0</v>
      </c>
      <c r="I1454">
        <v>0</v>
      </c>
      <c r="J1454">
        <v>30</v>
      </c>
    </row>
    <row r="1455" spans="1:10" x14ac:dyDescent="0.25">
      <c r="A1455" t="s">
        <v>22</v>
      </c>
      <c r="B1455" t="s">
        <v>11</v>
      </c>
      <c r="C1455" t="s">
        <v>18</v>
      </c>
      <c r="D1455" t="s">
        <v>16</v>
      </c>
      <c r="E1455">
        <v>0</v>
      </c>
      <c r="F1455">
        <v>0.75</v>
      </c>
      <c r="G1455">
        <v>0.21510219573974601</v>
      </c>
      <c r="H1455">
        <v>0</v>
      </c>
      <c r="I1455">
        <v>0</v>
      </c>
      <c r="J1455">
        <v>30</v>
      </c>
    </row>
    <row r="1456" spans="1:10" x14ac:dyDescent="0.25">
      <c r="A1456" t="s">
        <v>22</v>
      </c>
      <c r="B1456" t="s">
        <v>11</v>
      </c>
      <c r="C1456" t="s">
        <v>18</v>
      </c>
      <c r="D1456" t="s">
        <v>16</v>
      </c>
      <c r="E1456">
        <v>0</v>
      </c>
      <c r="F1456">
        <v>0.75</v>
      </c>
      <c r="G1456">
        <v>0.225601196289062</v>
      </c>
      <c r="H1456">
        <v>0</v>
      </c>
      <c r="I1456">
        <v>0</v>
      </c>
      <c r="J1456">
        <v>30</v>
      </c>
    </row>
    <row r="1457" spans="1:10" x14ac:dyDescent="0.25">
      <c r="A1457" t="s">
        <v>22</v>
      </c>
      <c r="B1457" t="s">
        <v>11</v>
      </c>
      <c r="C1457" t="s">
        <v>18</v>
      </c>
      <c r="D1457" t="s">
        <v>16</v>
      </c>
      <c r="E1457">
        <v>0</v>
      </c>
      <c r="F1457">
        <v>0.75</v>
      </c>
      <c r="G1457">
        <v>0.20957231521606401</v>
      </c>
      <c r="H1457">
        <v>0</v>
      </c>
      <c r="I1457">
        <v>0</v>
      </c>
      <c r="J1457">
        <v>30</v>
      </c>
    </row>
    <row r="1458" spans="1:10" x14ac:dyDescent="0.25">
      <c r="A1458" t="s">
        <v>22</v>
      </c>
      <c r="B1458" t="s">
        <v>11</v>
      </c>
      <c r="C1458" t="s">
        <v>18</v>
      </c>
      <c r="D1458" t="s">
        <v>16</v>
      </c>
      <c r="E1458">
        <v>0</v>
      </c>
      <c r="F1458">
        <v>0.75</v>
      </c>
      <c r="G1458">
        <v>0.22685480117797799</v>
      </c>
      <c r="H1458">
        <v>0</v>
      </c>
      <c r="I1458">
        <v>0</v>
      </c>
      <c r="J1458">
        <v>30</v>
      </c>
    </row>
    <row r="1459" spans="1:10" x14ac:dyDescent="0.25">
      <c r="A1459" t="s">
        <v>22</v>
      </c>
      <c r="B1459" t="s">
        <v>11</v>
      </c>
      <c r="C1459" t="s">
        <v>18</v>
      </c>
      <c r="D1459" t="s">
        <v>16</v>
      </c>
      <c r="E1459">
        <v>0</v>
      </c>
      <c r="F1459">
        <v>0.75</v>
      </c>
      <c r="G1459">
        <v>0.22970604896545399</v>
      </c>
      <c r="H1459">
        <v>0</v>
      </c>
      <c r="I1459">
        <v>0</v>
      </c>
      <c r="J1459">
        <v>30</v>
      </c>
    </row>
    <row r="1460" spans="1:10" x14ac:dyDescent="0.25">
      <c r="A1460" t="s">
        <v>22</v>
      </c>
      <c r="B1460" t="s">
        <v>11</v>
      </c>
      <c r="C1460" t="s">
        <v>18</v>
      </c>
      <c r="D1460" t="s">
        <v>16</v>
      </c>
      <c r="E1460">
        <v>0</v>
      </c>
      <c r="F1460">
        <v>0.75</v>
      </c>
      <c r="G1460">
        <v>0.22270298004150299</v>
      </c>
      <c r="H1460">
        <v>0</v>
      </c>
      <c r="I1460">
        <v>0</v>
      </c>
      <c r="J1460">
        <v>30</v>
      </c>
    </row>
    <row r="1461" spans="1:10" x14ac:dyDescent="0.25">
      <c r="A1461" t="s">
        <v>22</v>
      </c>
      <c r="B1461" t="s">
        <v>11</v>
      </c>
      <c r="C1461" t="s">
        <v>18</v>
      </c>
      <c r="D1461" t="s">
        <v>16</v>
      </c>
      <c r="E1461">
        <v>0</v>
      </c>
      <c r="F1461">
        <v>0.75</v>
      </c>
      <c r="G1461">
        <v>0.23713660240173301</v>
      </c>
      <c r="H1461">
        <v>0</v>
      </c>
      <c r="I1461">
        <v>0</v>
      </c>
      <c r="J1461">
        <v>30</v>
      </c>
    </row>
    <row r="1462" spans="1:10" x14ac:dyDescent="0.25">
      <c r="A1462" t="s">
        <v>22</v>
      </c>
      <c r="B1462" t="s">
        <v>11</v>
      </c>
      <c r="C1462" t="s">
        <v>18</v>
      </c>
      <c r="D1462" t="s">
        <v>16</v>
      </c>
      <c r="E1462">
        <v>0</v>
      </c>
      <c r="F1462">
        <v>0.75</v>
      </c>
      <c r="G1462">
        <v>0.23588061332702601</v>
      </c>
      <c r="H1462">
        <v>0</v>
      </c>
      <c r="I1462">
        <v>0</v>
      </c>
      <c r="J1462">
        <v>30</v>
      </c>
    </row>
    <row r="1463" spans="1:10" x14ac:dyDescent="0.25">
      <c r="A1463" t="s">
        <v>22</v>
      </c>
      <c r="B1463" t="s">
        <v>11</v>
      </c>
      <c r="C1463" t="s">
        <v>18</v>
      </c>
      <c r="D1463" t="s">
        <v>16</v>
      </c>
      <c r="E1463">
        <v>0</v>
      </c>
      <c r="F1463">
        <v>0.75</v>
      </c>
      <c r="G1463">
        <v>0.256366968154907</v>
      </c>
      <c r="H1463">
        <v>0</v>
      </c>
      <c r="I1463">
        <v>0</v>
      </c>
      <c r="J1463">
        <v>30</v>
      </c>
    </row>
    <row r="1464" spans="1:10" x14ac:dyDescent="0.25">
      <c r="A1464" t="s">
        <v>22</v>
      </c>
      <c r="B1464" t="s">
        <v>11</v>
      </c>
      <c r="C1464" t="s">
        <v>18</v>
      </c>
      <c r="D1464" t="s">
        <v>16</v>
      </c>
      <c r="E1464">
        <v>0</v>
      </c>
      <c r="F1464">
        <v>0.75</v>
      </c>
      <c r="G1464">
        <v>0.24734115600585899</v>
      </c>
      <c r="H1464">
        <v>0</v>
      </c>
      <c r="I1464">
        <v>0</v>
      </c>
      <c r="J1464">
        <v>30</v>
      </c>
    </row>
    <row r="1465" spans="1:10" x14ac:dyDescent="0.25">
      <c r="A1465" t="s">
        <v>22</v>
      </c>
      <c r="B1465" t="s">
        <v>11</v>
      </c>
      <c r="C1465" t="s">
        <v>18</v>
      </c>
      <c r="D1465" t="s">
        <v>16</v>
      </c>
      <c r="E1465">
        <v>0</v>
      </c>
      <c r="F1465">
        <v>0.75</v>
      </c>
      <c r="G1465">
        <v>0.24734115600585899</v>
      </c>
      <c r="H1465">
        <v>0</v>
      </c>
      <c r="I1465">
        <v>0</v>
      </c>
      <c r="J1465">
        <v>30</v>
      </c>
    </row>
    <row r="1466" spans="1:10" x14ac:dyDescent="0.25">
      <c r="A1466" t="s">
        <v>22</v>
      </c>
      <c r="B1466" t="s">
        <v>11</v>
      </c>
      <c r="C1466" t="s">
        <v>18</v>
      </c>
      <c r="D1466" t="s">
        <v>16</v>
      </c>
      <c r="E1466">
        <v>0</v>
      </c>
      <c r="F1466">
        <v>0.75</v>
      </c>
      <c r="G1466">
        <v>0.26683354377746499</v>
      </c>
      <c r="H1466">
        <v>0</v>
      </c>
      <c r="I1466">
        <v>0</v>
      </c>
      <c r="J1466">
        <v>30</v>
      </c>
    </row>
    <row r="1467" spans="1:10" x14ac:dyDescent="0.25">
      <c r="A1467" t="s">
        <v>22</v>
      </c>
      <c r="B1467" t="s">
        <v>11</v>
      </c>
      <c r="C1467" t="s">
        <v>18</v>
      </c>
      <c r="D1467" t="s">
        <v>16</v>
      </c>
      <c r="E1467">
        <v>0</v>
      </c>
      <c r="F1467">
        <v>0.75</v>
      </c>
      <c r="G1467">
        <v>0.21657538414001401</v>
      </c>
      <c r="H1467">
        <v>0</v>
      </c>
      <c r="I1467">
        <v>0</v>
      </c>
      <c r="J1467">
        <v>30</v>
      </c>
    </row>
    <row r="1468" spans="1:10" x14ac:dyDescent="0.25">
      <c r="A1468" t="s">
        <v>22</v>
      </c>
      <c r="B1468" t="s">
        <v>11</v>
      </c>
      <c r="C1468" t="s">
        <v>18</v>
      </c>
      <c r="D1468" t="s">
        <v>16</v>
      </c>
      <c r="E1468">
        <v>0</v>
      </c>
      <c r="F1468">
        <v>0.75</v>
      </c>
      <c r="G1468">
        <v>0.25780773162841703</v>
      </c>
      <c r="H1468">
        <v>0</v>
      </c>
      <c r="I1468">
        <v>0</v>
      </c>
      <c r="J1468">
        <v>30</v>
      </c>
    </row>
    <row r="1469" spans="1:10" x14ac:dyDescent="0.25">
      <c r="A1469" t="s">
        <v>22</v>
      </c>
      <c r="B1469" t="s">
        <v>11</v>
      </c>
      <c r="C1469" t="s">
        <v>18</v>
      </c>
      <c r="D1469" t="s">
        <v>16</v>
      </c>
      <c r="E1469">
        <v>0</v>
      </c>
      <c r="F1469">
        <v>0.75</v>
      </c>
      <c r="G1469">
        <v>0.2539644241333</v>
      </c>
      <c r="H1469">
        <v>0</v>
      </c>
      <c r="I1469">
        <v>0</v>
      </c>
      <c r="J1469">
        <v>30</v>
      </c>
    </row>
    <row r="1470" spans="1:10" x14ac:dyDescent="0.25">
      <c r="A1470" t="s">
        <v>22</v>
      </c>
      <c r="B1470" t="s">
        <v>11</v>
      </c>
      <c r="C1470" t="s">
        <v>18</v>
      </c>
      <c r="D1470" t="s">
        <v>16</v>
      </c>
      <c r="E1470">
        <v>0</v>
      </c>
      <c r="F1470">
        <v>0.75</v>
      </c>
      <c r="G1470">
        <v>0.24533939361572199</v>
      </c>
      <c r="H1470">
        <v>0</v>
      </c>
      <c r="I1470">
        <v>0</v>
      </c>
      <c r="J1470">
        <v>30</v>
      </c>
    </row>
    <row r="1471" spans="1:10" x14ac:dyDescent="0.25">
      <c r="A1471" t="s">
        <v>22</v>
      </c>
      <c r="B1471" t="s">
        <v>11</v>
      </c>
      <c r="C1471" t="s">
        <v>18</v>
      </c>
      <c r="D1471" t="s">
        <v>16</v>
      </c>
      <c r="E1471">
        <v>0</v>
      </c>
      <c r="F1471">
        <v>0.75</v>
      </c>
      <c r="G1471">
        <v>0.225601196289062</v>
      </c>
      <c r="H1471">
        <v>0</v>
      </c>
      <c r="I1471">
        <v>0</v>
      </c>
      <c r="J1471">
        <v>30</v>
      </c>
    </row>
    <row r="1472" spans="1:10" x14ac:dyDescent="0.25">
      <c r="A1472" t="s">
        <v>22</v>
      </c>
      <c r="B1472" t="s">
        <v>11</v>
      </c>
      <c r="C1472" t="s">
        <v>18</v>
      </c>
      <c r="D1472" t="s">
        <v>17</v>
      </c>
      <c r="E1472">
        <v>0.39705882352941102</v>
      </c>
      <c r="F1472">
        <v>0.79269001999852895</v>
      </c>
      <c r="G1472">
        <v>4.8787875175476003</v>
      </c>
      <c r="H1472">
        <v>28</v>
      </c>
      <c r="I1472">
        <v>35</v>
      </c>
      <c r="J1472">
        <v>30</v>
      </c>
    </row>
    <row r="1473" spans="1:10" x14ac:dyDescent="0.25">
      <c r="A1473" t="s">
        <v>22</v>
      </c>
      <c r="B1473" t="s">
        <v>11</v>
      </c>
      <c r="C1473" t="s">
        <v>18</v>
      </c>
      <c r="D1473" t="s">
        <v>17</v>
      </c>
      <c r="E1473">
        <v>0.36764705882352899</v>
      </c>
      <c r="F1473">
        <v>0.79047772871029398</v>
      </c>
      <c r="G1473">
        <v>4.9093358516693097</v>
      </c>
      <c r="H1473">
        <v>27</v>
      </c>
      <c r="I1473">
        <v>35</v>
      </c>
      <c r="J1473">
        <v>30</v>
      </c>
    </row>
    <row r="1474" spans="1:10" x14ac:dyDescent="0.25">
      <c r="A1474" t="s">
        <v>22</v>
      </c>
      <c r="B1474" t="s">
        <v>11</v>
      </c>
      <c r="C1474" t="s">
        <v>18</v>
      </c>
      <c r="D1474" t="s">
        <v>17</v>
      </c>
      <c r="E1474">
        <v>0.38235294117647001</v>
      </c>
      <c r="F1474">
        <v>0.79588767796176396</v>
      </c>
      <c r="G1474">
        <v>5.0985567569732604</v>
      </c>
      <c r="H1474">
        <v>33</v>
      </c>
      <c r="I1474">
        <v>43</v>
      </c>
      <c r="J1474">
        <v>30</v>
      </c>
    </row>
    <row r="1475" spans="1:10" x14ac:dyDescent="0.25">
      <c r="A1475" t="s">
        <v>22</v>
      </c>
      <c r="B1475" t="s">
        <v>11</v>
      </c>
      <c r="C1475" t="s">
        <v>18</v>
      </c>
      <c r="D1475" t="s">
        <v>17</v>
      </c>
      <c r="E1475">
        <v>0.308823529411764</v>
      </c>
      <c r="F1475">
        <v>0.775639636998529</v>
      </c>
      <c r="G1475">
        <v>5.3304939270019496</v>
      </c>
      <c r="H1475">
        <v>28</v>
      </c>
      <c r="I1475">
        <v>37</v>
      </c>
      <c r="J1475">
        <v>30</v>
      </c>
    </row>
    <row r="1476" spans="1:10" x14ac:dyDescent="0.25">
      <c r="A1476" t="s">
        <v>22</v>
      </c>
      <c r="B1476" t="s">
        <v>11</v>
      </c>
      <c r="C1476" t="s">
        <v>18</v>
      </c>
      <c r="D1476" t="s">
        <v>17</v>
      </c>
      <c r="E1476">
        <v>0.26470588235294101</v>
      </c>
      <c r="F1476">
        <v>0.78345812171176399</v>
      </c>
      <c r="G1476">
        <v>5.6619081497192303</v>
      </c>
      <c r="H1476">
        <v>17</v>
      </c>
      <c r="I1476">
        <v>23</v>
      </c>
      <c r="J1476">
        <v>30</v>
      </c>
    </row>
    <row r="1477" spans="1:10" x14ac:dyDescent="0.25">
      <c r="A1477" t="s">
        <v>22</v>
      </c>
      <c r="B1477" t="s">
        <v>11</v>
      </c>
      <c r="C1477" t="s">
        <v>18</v>
      </c>
      <c r="D1477" t="s">
        <v>17</v>
      </c>
      <c r="E1477">
        <v>0.41176470588235198</v>
      </c>
      <c r="F1477">
        <v>0.810033611369117</v>
      </c>
      <c r="G1477">
        <v>6.2775413990020699</v>
      </c>
      <c r="H1477">
        <v>34</v>
      </c>
      <c r="I1477">
        <v>46</v>
      </c>
      <c r="J1477">
        <v>30</v>
      </c>
    </row>
    <row r="1478" spans="1:10" x14ac:dyDescent="0.25">
      <c r="A1478" t="s">
        <v>22</v>
      </c>
      <c r="B1478" t="s">
        <v>11</v>
      </c>
      <c r="C1478" t="s">
        <v>18</v>
      </c>
      <c r="D1478" t="s">
        <v>17</v>
      </c>
      <c r="E1478">
        <v>0.41176470588235198</v>
      </c>
      <c r="F1478">
        <v>0.796909154161764</v>
      </c>
      <c r="G1478">
        <v>6.3417727947235099</v>
      </c>
      <c r="H1478">
        <v>32</v>
      </c>
      <c r="I1478">
        <v>42</v>
      </c>
      <c r="J1478">
        <v>30</v>
      </c>
    </row>
    <row r="1479" spans="1:10" x14ac:dyDescent="0.25">
      <c r="A1479" t="s">
        <v>22</v>
      </c>
      <c r="B1479" t="s">
        <v>11</v>
      </c>
      <c r="C1479" t="s">
        <v>18</v>
      </c>
      <c r="D1479" t="s">
        <v>17</v>
      </c>
      <c r="E1479">
        <v>0.47058823529411697</v>
      </c>
      <c r="F1479">
        <v>0.81118082120588197</v>
      </c>
      <c r="G1479">
        <v>6.5921287536620996</v>
      </c>
      <c r="H1479">
        <v>33</v>
      </c>
      <c r="I1479">
        <v>45</v>
      </c>
      <c r="J1479">
        <v>30</v>
      </c>
    </row>
    <row r="1480" spans="1:10" x14ac:dyDescent="0.25">
      <c r="A1480" t="s">
        <v>22</v>
      </c>
      <c r="B1480" t="s">
        <v>11</v>
      </c>
      <c r="C1480" t="s">
        <v>18</v>
      </c>
      <c r="D1480" t="s">
        <v>17</v>
      </c>
      <c r="E1480">
        <v>0.61764705882352899</v>
      </c>
      <c r="F1480">
        <v>0.83661589295000005</v>
      </c>
      <c r="G1480">
        <v>6.6308560371398899</v>
      </c>
      <c r="H1480">
        <v>43</v>
      </c>
      <c r="I1480">
        <v>56</v>
      </c>
      <c r="J1480">
        <v>30</v>
      </c>
    </row>
    <row r="1481" spans="1:10" x14ac:dyDescent="0.25">
      <c r="A1481" t="s">
        <v>22</v>
      </c>
      <c r="B1481" t="s">
        <v>11</v>
      </c>
      <c r="C1481" t="s">
        <v>18</v>
      </c>
      <c r="D1481" t="s">
        <v>17</v>
      </c>
      <c r="E1481">
        <v>0.33823529411764702</v>
      </c>
      <c r="F1481">
        <v>0.77300712059117604</v>
      </c>
      <c r="G1481">
        <v>6.7668535709381104</v>
      </c>
      <c r="H1481">
        <v>39</v>
      </c>
      <c r="I1481">
        <v>51</v>
      </c>
      <c r="J1481">
        <v>30</v>
      </c>
    </row>
    <row r="1482" spans="1:10" x14ac:dyDescent="0.25">
      <c r="A1482" t="s">
        <v>22</v>
      </c>
      <c r="B1482" t="s">
        <v>11</v>
      </c>
      <c r="C1482" t="s">
        <v>18</v>
      </c>
      <c r="D1482" t="s">
        <v>17</v>
      </c>
      <c r="E1482">
        <v>0.42647058823529399</v>
      </c>
      <c r="F1482">
        <v>0.78619390230588204</v>
      </c>
      <c r="G1482">
        <v>7.1734740734100297</v>
      </c>
      <c r="H1482">
        <v>46</v>
      </c>
      <c r="I1482">
        <v>65</v>
      </c>
      <c r="J1482">
        <v>30</v>
      </c>
    </row>
    <row r="1483" spans="1:10" x14ac:dyDescent="0.25">
      <c r="A1483" t="s">
        <v>22</v>
      </c>
      <c r="B1483" t="s">
        <v>11</v>
      </c>
      <c r="C1483" t="s">
        <v>18</v>
      </c>
      <c r="D1483" t="s">
        <v>17</v>
      </c>
      <c r="E1483">
        <v>0.36764705882352899</v>
      </c>
      <c r="F1483">
        <v>0.78467693096176405</v>
      </c>
      <c r="G1483">
        <v>7.3445546627044598</v>
      </c>
      <c r="H1483">
        <v>37</v>
      </c>
      <c r="I1483">
        <v>54</v>
      </c>
      <c r="J1483">
        <v>30</v>
      </c>
    </row>
    <row r="1484" spans="1:10" x14ac:dyDescent="0.25">
      <c r="A1484" t="s">
        <v>22</v>
      </c>
      <c r="B1484" t="s">
        <v>11</v>
      </c>
      <c r="C1484" t="s">
        <v>18</v>
      </c>
      <c r="D1484" t="s">
        <v>17</v>
      </c>
      <c r="E1484">
        <v>0.39705882352941102</v>
      </c>
      <c r="F1484">
        <v>0.77555077236029402</v>
      </c>
      <c r="G1484">
        <v>7.5529704093933097</v>
      </c>
      <c r="H1484">
        <v>36</v>
      </c>
      <c r="I1484">
        <v>46</v>
      </c>
      <c r="J1484">
        <v>30</v>
      </c>
    </row>
    <row r="1485" spans="1:10" x14ac:dyDescent="0.25">
      <c r="A1485" t="s">
        <v>22</v>
      </c>
      <c r="B1485" t="s">
        <v>11</v>
      </c>
      <c r="C1485" t="s">
        <v>18</v>
      </c>
      <c r="D1485" t="s">
        <v>17</v>
      </c>
      <c r="E1485">
        <v>0.42647058823529399</v>
      </c>
      <c r="F1485">
        <v>0.80755641386029398</v>
      </c>
      <c r="G1485">
        <v>7.5807621479034397</v>
      </c>
      <c r="H1485">
        <v>38</v>
      </c>
      <c r="I1485">
        <v>52</v>
      </c>
      <c r="J1485">
        <v>30</v>
      </c>
    </row>
    <row r="1486" spans="1:10" x14ac:dyDescent="0.25">
      <c r="A1486" t="s">
        <v>22</v>
      </c>
      <c r="B1486" t="s">
        <v>11</v>
      </c>
      <c r="C1486" t="s">
        <v>18</v>
      </c>
      <c r="D1486" t="s">
        <v>17</v>
      </c>
      <c r="E1486">
        <v>0.54411764705882304</v>
      </c>
      <c r="F1486">
        <v>0.80646062138823504</v>
      </c>
      <c r="G1486">
        <v>7.6113440990447998</v>
      </c>
      <c r="H1486">
        <v>43</v>
      </c>
      <c r="I1486">
        <v>65</v>
      </c>
      <c r="J1486">
        <v>30</v>
      </c>
    </row>
    <row r="1487" spans="1:10" x14ac:dyDescent="0.25">
      <c r="A1487" t="s">
        <v>22</v>
      </c>
      <c r="B1487" t="s">
        <v>11</v>
      </c>
      <c r="C1487" t="s">
        <v>18</v>
      </c>
      <c r="D1487" t="s">
        <v>17</v>
      </c>
      <c r="E1487">
        <v>0.441176470588235</v>
      </c>
      <c r="F1487">
        <v>0.77849332734264698</v>
      </c>
      <c r="G1487">
        <v>7.8596215248107901</v>
      </c>
      <c r="H1487">
        <v>60</v>
      </c>
      <c r="I1487">
        <v>85</v>
      </c>
      <c r="J1487">
        <v>30</v>
      </c>
    </row>
    <row r="1488" spans="1:10" x14ac:dyDescent="0.25">
      <c r="A1488" t="s">
        <v>22</v>
      </c>
      <c r="B1488" t="s">
        <v>11</v>
      </c>
      <c r="C1488" t="s">
        <v>18</v>
      </c>
      <c r="D1488" t="s">
        <v>17</v>
      </c>
      <c r="E1488">
        <v>0.35294117647058798</v>
      </c>
      <c r="F1488">
        <v>0.761636133530882</v>
      </c>
      <c r="G1488">
        <v>7.8896160125732404</v>
      </c>
      <c r="H1488">
        <v>54</v>
      </c>
      <c r="I1488">
        <v>79</v>
      </c>
      <c r="J1488">
        <v>30</v>
      </c>
    </row>
    <row r="1489" spans="1:10" x14ac:dyDescent="0.25">
      <c r="A1489" t="s">
        <v>22</v>
      </c>
      <c r="B1489" t="s">
        <v>11</v>
      </c>
      <c r="C1489" t="s">
        <v>18</v>
      </c>
      <c r="D1489" t="s">
        <v>17</v>
      </c>
      <c r="E1489">
        <v>0.38235294117647001</v>
      </c>
      <c r="F1489">
        <v>0.79669601016176395</v>
      </c>
      <c r="G1489">
        <v>7.90924000740051</v>
      </c>
      <c r="H1489">
        <v>36</v>
      </c>
      <c r="I1489">
        <v>49</v>
      </c>
      <c r="J1489">
        <v>30</v>
      </c>
    </row>
    <row r="1490" spans="1:10" x14ac:dyDescent="0.25">
      <c r="A1490" t="s">
        <v>22</v>
      </c>
      <c r="B1490" t="s">
        <v>11</v>
      </c>
      <c r="C1490" t="s">
        <v>18</v>
      </c>
      <c r="D1490" t="s">
        <v>17</v>
      </c>
      <c r="E1490">
        <v>0.308823529411764</v>
      </c>
      <c r="F1490">
        <v>0.75122707008970502</v>
      </c>
      <c r="G1490">
        <v>8.0591089725494296</v>
      </c>
      <c r="H1490">
        <v>50</v>
      </c>
      <c r="I1490">
        <v>69</v>
      </c>
      <c r="J1490">
        <v>30</v>
      </c>
    </row>
    <row r="1491" spans="1:10" x14ac:dyDescent="0.25">
      <c r="A1491" t="s">
        <v>22</v>
      </c>
      <c r="B1491" t="s">
        <v>11</v>
      </c>
      <c r="C1491" t="s">
        <v>18</v>
      </c>
      <c r="D1491" t="s">
        <v>17</v>
      </c>
      <c r="E1491">
        <v>0.57352941176470495</v>
      </c>
      <c r="F1491">
        <v>0.80236277446617599</v>
      </c>
      <c r="G1491">
        <v>8.0561087131500209</v>
      </c>
      <c r="H1491">
        <v>63</v>
      </c>
      <c r="I1491">
        <v>87</v>
      </c>
      <c r="J1491">
        <v>30</v>
      </c>
    </row>
    <row r="1492" spans="1:10" x14ac:dyDescent="0.25">
      <c r="A1492" t="s">
        <v>22</v>
      </c>
      <c r="B1492" t="s">
        <v>11</v>
      </c>
      <c r="C1492" t="s">
        <v>18</v>
      </c>
      <c r="D1492" t="s">
        <v>17</v>
      </c>
      <c r="E1492">
        <v>0.45588235294117602</v>
      </c>
      <c r="F1492">
        <v>0.801879245019117</v>
      </c>
      <c r="G1492">
        <v>8.1210720539093</v>
      </c>
      <c r="H1492">
        <v>44</v>
      </c>
      <c r="I1492">
        <v>60</v>
      </c>
      <c r="J1492">
        <v>30</v>
      </c>
    </row>
    <row r="1493" spans="1:10" x14ac:dyDescent="0.25">
      <c r="A1493" t="s">
        <v>22</v>
      </c>
      <c r="B1493" t="s">
        <v>11</v>
      </c>
      <c r="C1493" t="s">
        <v>18</v>
      </c>
      <c r="D1493" t="s">
        <v>17</v>
      </c>
      <c r="E1493">
        <v>0.33823529411764702</v>
      </c>
      <c r="F1493">
        <v>0.758142214191176</v>
      </c>
      <c r="G1493">
        <v>8.1857423782348597</v>
      </c>
      <c r="H1493">
        <v>41</v>
      </c>
      <c r="I1493">
        <v>61</v>
      </c>
      <c r="J1493">
        <v>30</v>
      </c>
    </row>
    <row r="1494" spans="1:10" x14ac:dyDescent="0.25">
      <c r="A1494" t="s">
        <v>22</v>
      </c>
      <c r="B1494" t="s">
        <v>11</v>
      </c>
      <c r="C1494" t="s">
        <v>18</v>
      </c>
      <c r="D1494" t="s">
        <v>17</v>
      </c>
      <c r="E1494">
        <v>0.52941176470588203</v>
      </c>
      <c r="F1494">
        <v>0.80086039063088199</v>
      </c>
      <c r="G1494">
        <v>8.2767317295074392</v>
      </c>
      <c r="H1494">
        <v>45</v>
      </c>
      <c r="I1494">
        <v>64</v>
      </c>
      <c r="J1494">
        <v>30</v>
      </c>
    </row>
    <row r="1495" spans="1:10" x14ac:dyDescent="0.25">
      <c r="A1495" t="s">
        <v>22</v>
      </c>
      <c r="B1495" t="s">
        <v>11</v>
      </c>
      <c r="C1495" t="s">
        <v>18</v>
      </c>
      <c r="D1495" t="s">
        <v>17</v>
      </c>
      <c r="E1495">
        <v>0.27941176470588203</v>
      </c>
      <c r="F1495">
        <v>0.784358848295588</v>
      </c>
      <c r="G1495">
        <v>8.3702089786529505</v>
      </c>
      <c r="H1495">
        <v>41</v>
      </c>
      <c r="I1495">
        <v>61</v>
      </c>
      <c r="J1495">
        <v>30</v>
      </c>
    </row>
    <row r="1496" spans="1:10" x14ac:dyDescent="0.25">
      <c r="A1496" t="s">
        <v>22</v>
      </c>
      <c r="B1496" t="s">
        <v>11</v>
      </c>
      <c r="C1496" t="s">
        <v>18</v>
      </c>
      <c r="D1496" t="s">
        <v>17</v>
      </c>
      <c r="E1496">
        <v>0.51470588235294101</v>
      </c>
      <c r="F1496">
        <v>0.78789010081911703</v>
      </c>
      <c r="G1496">
        <v>8.5449600219726491</v>
      </c>
      <c r="H1496">
        <v>55</v>
      </c>
      <c r="I1496">
        <v>77</v>
      </c>
      <c r="J1496">
        <v>30</v>
      </c>
    </row>
    <row r="1497" spans="1:10" x14ac:dyDescent="0.25">
      <c r="A1497" t="s">
        <v>22</v>
      </c>
      <c r="B1497" t="s">
        <v>11</v>
      </c>
      <c r="C1497" t="s">
        <v>18</v>
      </c>
      <c r="D1497" t="s">
        <v>17</v>
      </c>
      <c r="E1497">
        <v>0.67647058823529405</v>
      </c>
      <c r="F1497">
        <v>0.80322927528382304</v>
      </c>
      <c r="G1497">
        <v>8.7398777008056605</v>
      </c>
      <c r="H1497">
        <v>79</v>
      </c>
      <c r="I1497">
        <v>117</v>
      </c>
      <c r="J1497">
        <v>30</v>
      </c>
    </row>
    <row r="1498" spans="1:10" x14ac:dyDescent="0.25">
      <c r="A1498" t="s">
        <v>22</v>
      </c>
      <c r="B1498" t="s">
        <v>11</v>
      </c>
      <c r="C1498" t="s">
        <v>18</v>
      </c>
      <c r="D1498" t="s">
        <v>17</v>
      </c>
      <c r="E1498">
        <v>0.54411764705882304</v>
      </c>
      <c r="F1498">
        <v>0.786232212073529</v>
      </c>
      <c r="G1498">
        <v>8.7736079692840505</v>
      </c>
      <c r="H1498">
        <v>71</v>
      </c>
      <c r="I1498">
        <v>105</v>
      </c>
      <c r="J1498">
        <v>30</v>
      </c>
    </row>
    <row r="1499" spans="1:10" x14ac:dyDescent="0.25">
      <c r="A1499" t="s">
        <v>22</v>
      </c>
      <c r="B1499" t="s">
        <v>11</v>
      </c>
      <c r="C1499" t="s">
        <v>18</v>
      </c>
      <c r="D1499" t="s">
        <v>17</v>
      </c>
      <c r="E1499">
        <v>0.42647058823529399</v>
      </c>
      <c r="F1499">
        <v>0.76469019865882304</v>
      </c>
      <c r="G1499">
        <v>8.7807588577270508</v>
      </c>
      <c r="H1499">
        <v>66</v>
      </c>
      <c r="I1499">
        <v>91</v>
      </c>
      <c r="J1499">
        <v>30</v>
      </c>
    </row>
    <row r="1500" spans="1:10" x14ac:dyDescent="0.25">
      <c r="A1500" t="s">
        <v>22</v>
      </c>
      <c r="B1500" t="s">
        <v>11</v>
      </c>
      <c r="C1500" t="s">
        <v>18</v>
      </c>
      <c r="D1500" t="s">
        <v>17</v>
      </c>
      <c r="E1500">
        <v>0.48529411764705799</v>
      </c>
      <c r="F1500">
        <v>0.75448488924852897</v>
      </c>
      <c r="G1500">
        <v>8.9559528827667201</v>
      </c>
      <c r="H1500">
        <v>80</v>
      </c>
      <c r="I1500">
        <v>107</v>
      </c>
      <c r="J1500">
        <v>30</v>
      </c>
    </row>
    <row r="1501" spans="1:10" x14ac:dyDescent="0.25">
      <c r="A1501" t="s">
        <v>22</v>
      </c>
      <c r="B1501" t="s">
        <v>11</v>
      </c>
      <c r="C1501" t="s">
        <v>18</v>
      </c>
      <c r="D1501" t="s">
        <v>17</v>
      </c>
      <c r="E1501">
        <v>0.52941176470588203</v>
      </c>
      <c r="F1501">
        <v>0.74932006671617601</v>
      </c>
      <c r="G1501">
        <v>8.9939925670623708</v>
      </c>
      <c r="H1501">
        <v>71</v>
      </c>
      <c r="I1501">
        <v>97</v>
      </c>
      <c r="J1501">
        <v>30</v>
      </c>
    </row>
    <row r="1502" spans="1:10" x14ac:dyDescent="0.25">
      <c r="A1502" t="s">
        <v>22</v>
      </c>
      <c r="B1502" t="s">
        <v>19</v>
      </c>
      <c r="C1502" t="s">
        <v>12</v>
      </c>
      <c r="D1502" t="s">
        <v>13</v>
      </c>
      <c r="E1502">
        <v>0.82352941176470495</v>
      </c>
      <c r="F1502">
        <v>0.87997095544264703</v>
      </c>
      <c r="G1502">
        <v>2.2678024768829301</v>
      </c>
      <c r="H1502">
        <v>26</v>
      </c>
      <c r="I1502">
        <v>30</v>
      </c>
      <c r="J1502">
        <v>30</v>
      </c>
    </row>
    <row r="1503" spans="1:10" x14ac:dyDescent="0.25">
      <c r="A1503" t="s">
        <v>22</v>
      </c>
      <c r="B1503" t="s">
        <v>19</v>
      </c>
      <c r="C1503" t="s">
        <v>12</v>
      </c>
      <c r="D1503" t="s">
        <v>13</v>
      </c>
      <c r="E1503">
        <v>0.77941176470588203</v>
      </c>
      <c r="F1503">
        <v>0.83856710950588198</v>
      </c>
      <c r="G1503">
        <v>2.4035081863403298</v>
      </c>
      <c r="H1503">
        <v>24</v>
      </c>
      <c r="I1503">
        <v>30</v>
      </c>
      <c r="J1503">
        <v>30</v>
      </c>
    </row>
    <row r="1504" spans="1:10" x14ac:dyDescent="0.25">
      <c r="A1504" t="s">
        <v>22</v>
      </c>
      <c r="B1504" t="s">
        <v>19</v>
      </c>
      <c r="C1504" t="s">
        <v>12</v>
      </c>
      <c r="D1504" t="s">
        <v>13</v>
      </c>
      <c r="E1504">
        <v>0.80882352941176405</v>
      </c>
      <c r="F1504">
        <v>0.85670631797499996</v>
      </c>
      <c r="G1504">
        <v>2.8959500789642298</v>
      </c>
      <c r="H1504">
        <v>32</v>
      </c>
      <c r="I1504">
        <v>38</v>
      </c>
      <c r="J1504">
        <v>30</v>
      </c>
    </row>
    <row r="1505" spans="1:10" x14ac:dyDescent="0.25">
      <c r="A1505" t="s">
        <v>22</v>
      </c>
      <c r="B1505" t="s">
        <v>19</v>
      </c>
      <c r="C1505" t="s">
        <v>12</v>
      </c>
      <c r="D1505" t="s">
        <v>13</v>
      </c>
      <c r="E1505">
        <v>0.82352941176470495</v>
      </c>
      <c r="F1505">
        <v>0.88975663118970505</v>
      </c>
      <c r="G1505">
        <v>2.96026611328125</v>
      </c>
      <c r="H1505">
        <v>31</v>
      </c>
      <c r="I1505">
        <v>31</v>
      </c>
      <c r="J1505">
        <v>30</v>
      </c>
    </row>
    <row r="1506" spans="1:10" x14ac:dyDescent="0.25">
      <c r="A1506" t="s">
        <v>22</v>
      </c>
      <c r="B1506" t="s">
        <v>19</v>
      </c>
      <c r="C1506" t="s">
        <v>12</v>
      </c>
      <c r="D1506" t="s">
        <v>13</v>
      </c>
      <c r="E1506">
        <v>0.80882352941176405</v>
      </c>
      <c r="F1506">
        <v>0.85467582659558805</v>
      </c>
      <c r="G1506">
        <v>3.0713448524475</v>
      </c>
      <c r="H1506">
        <v>28</v>
      </c>
      <c r="I1506">
        <v>29</v>
      </c>
      <c r="J1506">
        <v>30</v>
      </c>
    </row>
    <row r="1507" spans="1:10" x14ac:dyDescent="0.25">
      <c r="A1507" t="s">
        <v>22</v>
      </c>
      <c r="B1507" t="s">
        <v>19</v>
      </c>
      <c r="C1507" t="s">
        <v>12</v>
      </c>
      <c r="D1507" t="s">
        <v>13</v>
      </c>
      <c r="E1507">
        <v>0.76470588235294101</v>
      </c>
      <c r="F1507">
        <v>0.80911338591323501</v>
      </c>
      <c r="G1507">
        <v>3.0906565189361501</v>
      </c>
      <c r="H1507">
        <v>38</v>
      </c>
      <c r="I1507">
        <v>45</v>
      </c>
      <c r="J1507">
        <v>30</v>
      </c>
    </row>
    <row r="1508" spans="1:10" x14ac:dyDescent="0.25">
      <c r="A1508" t="s">
        <v>22</v>
      </c>
      <c r="B1508" t="s">
        <v>19</v>
      </c>
      <c r="C1508" t="s">
        <v>12</v>
      </c>
      <c r="D1508" t="s">
        <v>13</v>
      </c>
      <c r="E1508">
        <v>0.75</v>
      </c>
      <c r="F1508">
        <v>0.79802465208676399</v>
      </c>
      <c r="G1508">
        <v>3.5948936939239502</v>
      </c>
      <c r="H1508">
        <v>35</v>
      </c>
      <c r="I1508">
        <v>44</v>
      </c>
      <c r="J1508">
        <v>30</v>
      </c>
    </row>
    <row r="1509" spans="1:10" x14ac:dyDescent="0.25">
      <c r="A1509" t="s">
        <v>22</v>
      </c>
      <c r="B1509" t="s">
        <v>19</v>
      </c>
      <c r="C1509" t="s">
        <v>12</v>
      </c>
      <c r="D1509" t="s">
        <v>13</v>
      </c>
      <c r="E1509">
        <v>0.82352941176470495</v>
      </c>
      <c r="F1509">
        <v>0.86693946377205799</v>
      </c>
      <c r="G1509">
        <v>3.6963207721710201</v>
      </c>
      <c r="H1509">
        <v>30</v>
      </c>
      <c r="I1509">
        <v>45</v>
      </c>
      <c r="J1509">
        <v>30</v>
      </c>
    </row>
    <row r="1510" spans="1:10" x14ac:dyDescent="0.25">
      <c r="A1510" t="s">
        <v>22</v>
      </c>
      <c r="B1510" t="s">
        <v>19</v>
      </c>
      <c r="C1510" t="s">
        <v>12</v>
      </c>
      <c r="D1510" t="s">
        <v>13</v>
      </c>
      <c r="E1510">
        <v>0.80882352941176405</v>
      </c>
      <c r="F1510">
        <v>0.87014949642205797</v>
      </c>
      <c r="G1510">
        <v>3.8610324859619101</v>
      </c>
      <c r="H1510">
        <v>22</v>
      </c>
      <c r="I1510">
        <v>28</v>
      </c>
      <c r="J1510">
        <v>30</v>
      </c>
    </row>
    <row r="1511" spans="1:10" x14ac:dyDescent="0.25">
      <c r="A1511" t="s">
        <v>22</v>
      </c>
      <c r="B1511" t="s">
        <v>19</v>
      </c>
      <c r="C1511" t="s">
        <v>12</v>
      </c>
      <c r="D1511" t="s">
        <v>13</v>
      </c>
      <c r="E1511">
        <v>0.83823529411764697</v>
      </c>
      <c r="F1511">
        <v>0.870314194841176</v>
      </c>
      <c r="G1511">
        <v>3.9228632450103702</v>
      </c>
      <c r="H1511">
        <v>27</v>
      </c>
      <c r="I1511">
        <v>29</v>
      </c>
      <c r="J1511">
        <v>30</v>
      </c>
    </row>
    <row r="1512" spans="1:10" x14ac:dyDescent="0.25">
      <c r="A1512" t="s">
        <v>22</v>
      </c>
      <c r="B1512" t="s">
        <v>19</v>
      </c>
      <c r="C1512" t="s">
        <v>12</v>
      </c>
      <c r="D1512" t="s">
        <v>13</v>
      </c>
      <c r="E1512">
        <v>0.86764705882352899</v>
      </c>
      <c r="F1512">
        <v>0.89361240626764704</v>
      </c>
      <c r="G1512">
        <v>4.01578640937805</v>
      </c>
      <c r="H1512">
        <v>29</v>
      </c>
      <c r="I1512">
        <v>35</v>
      </c>
      <c r="J1512">
        <v>30</v>
      </c>
    </row>
    <row r="1513" spans="1:10" x14ac:dyDescent="0.25">
      <c r="A1513" t="s">
        <v>22</v>
      </c>
      <c r="B1513" t="s">
        <v>19</v>
      </c>
      <c r="C1513" t="s">
        <v>12</v>
      </c>
      <c r="D1513" t="s">
        <v>13</v>
      </c>
      <c r="E1513">
        <v>0.85294117647058798</v>
      </c>
      <c r="F1513">
        <v>0.88239011544411705</v>
      </c>
      <c r="G1513">
        <v>4.1156435012817303</v>
      </c>
      <c r="H1513">
        <v>29</v>
      </c>
      <c r="I1513">
        <v>30</v>
      </c>
      <c r="J1513">
        <v>30</v>
      </c>
    </row>
    <row r="1514" spans="1:10" x14ac:dyDescent="0.25">
      <c r="A1514" t="s">
        <v>22</v>
      </c>
      <c r="B1514" t="s">
        <v>19</v>
      </c>
      <c r="C1514" t="s">
        <v>12</v>
      </c>
      <c r="D1514" t="s">
        <v>13</v>
      </c>
      <c r="E1514">
        <v>0.83823529411764697</v>
      </c>
      <c r="F1514">
        <v>0.85832281837646995</v>
      </c>
      <c r="G1514">
        <v>4.13895463943481</v>
      </c>
      <c r="H1514">
        <v>31</v>
      </c>
      <c r="I1514">
        <v>37</v>
      </c>
      <c r="J1514">
        <v>30</v>
      </c>
    </row>
    <row r="1515" spans="1:10" x14ac:dyDescent="0.25">
      <c r="A1515" t="s">
        <v>22</v>
      </c>
      <c r="B1515" t="s">
        <v>19</v>
      </c>
      <c r="C1515" t="s">
        <v>12</v>
      </c>
      <c r="D1515" t="s">
        <v>13</v>
      </c>
      <c r="E1515">
        <v>0.80882352941176405</v>
      </c>
      <c r="F1515">
        <v>0.846857859623529</v>
      </c>
      <c r="G1515">
        <v>4.13895463943481</v>
      </c>
      <c r="H1515">
        <v>36</v>
      </c>
      <c r="I1515">
        <v>42</v>
      </c>
      <c r="J1515">
        <v>30</v>
      </c>
    </row>
    <row r="1516" spans="1:10" x14ac:dyDescent="0.25">
      <c r="A1516" t="s">
        <v>22</v>
      </c>
      <c r="B1516" t="s">
        <v>19</v>
      </c>
      <c r="C1516" t="s">
        <v>12</v>
      </c>
      <c r="D1516" t="s">
        <v>13</v>
      </c>
      <c r="E1516">
        <v>0.75</v>
      </c>
      <c r="F1516">
        <v>0.82268687202500002</v>
      </c>
      <c r="G1516">
        <v>4.2405629158020002</v>
      </c>
      <c r="H1516">
        <v>25</v>
      </c>
      <c r="I1516">
        <v>26</v>
      </c>
      <c r="J1516">
        <v>30</v>
      </c>
    </row>
    <row r="1517" spans="1:10" x14ac:dyDescent="0.25">
      <c r="A1517" t="s">
        <v>22</v>
      </c>
      <c r="B1517" t="s">
        <v>19</v>
      </c>
      <c r="C1517" t="s">
        <v>12</v>
      </c>
      <c r="D1517" t="s">
        <v>13</v>
      </c>
      <c r="E1517">
        <v>0.79411764705882304</v>
      </c>
      <c r="F1517">
        <v>0.83356252012058796</v>
      </c>
      <c r="G1517">
        <v>4.2508678436279297</v>
      </c>
      <c r="H1517">
        <v>36</v>
      </c>
      <c r="I1517">
        <v>49</v>
      </c>
      <c r="J1517">
        <v>30</v>
      </c>
    </row>
    <row r="1518" spans="1:10" x14ac:dyDescent="0.25">
      <c r="A1518" t="s">
        <v>22</v>
      </c>
      <c r="B1518" t="s">
        <v>19</v>
      </c>
      <c r="C1518" t="s">
        <v>12</v>
      </c>
      <c r="D1518" t="s">
        <v>13</v>
      </c>
      <c r="E1518">
        <v>0.83823529411764697</v>
      </c>
      <c r="F1518">
        <v>0.86537257144117596</v>
      </c>
      <c r="G1518">
        <v>4.2981877326965297</v>
      </c>
      <c r="H1518">
        <v>38</v>
      </c>
      <c r="I1518">
        <v>48</v>
      </c>
      <c r="J1518">
        <v>30</v>
      </c>
    </row>
    <row r="1519" spans="1:10" x14ac:dyDescent="0.25">
      <c r="A1519" t="s">
        <v>22</v>
      </c>
      <c r="B1519" t="s">
        <v>19</v>
      </c>
      <c r="C1519" t="s">
        <v>12</v>
      </c>
      <c r="D1519" t="s">
        <v>13</v>
      </c>
      <c r="E1519">
        <v>0.79411764705882304</v>
      </c>
      <c r="F1519">
        <v>0.85364320222058798</v>
      </c>
      <c r="G1519">
        <v>4.3953917026519704</v>
      </c>
      <c r="H1519">
        <v>29</v>
      </c>
      <c r="I1519">
        <v>31</v>
      </c>
      <c r="J1519">
        <v>30</v>
      </c>
    </row>
    <row r="1520" spans="1:10" x14ac:dyDescent="0.25">
      <c r="A1520" t="s">
        <v>22</v>
      </c>
      <c r="B1520" t="s">
        <v>19</v>
      </c>
      <c r="C1520" t="s">
        <v>12</v>
      </c>
      <c r="D1520" t="s">
        <v>13</v>
      </c>
      <c r="E1520">
        <v>0.85294117647058798</v>
      </c>
      <c r="F1520">
        <v>0.89675833864999999</v>
      </c>
      <c r="G1520">
        <v>4.4142343997955296</v>
      </c>
      <c r="H1520">
        <v>36</v>
      </c>
      <c r="I1520">
        <v>48</v>
      </c>
      <c r="J1520">
        <v>30</v>
      </c>
    </row>
    <row r="1521" spans="1:10" x14ac:dyDescent="0.25">
      <c r="A1521" t="s">
        <v>22</v>
      </c>
      <c r="B1521" t="s">
        <v>19</v>
      </c>
      <c r="C1521" t="s">
        <v>12</v>
      </c>
      <c r="D1521" t="s">
        <v>13</v>
      </c>
      <c r="E1521">
        <v>0.77941176470588203</v>
      </c>
      <c r="F1521">
        <v>0.839813577949999</v>
      </c>
      <c r="G1521">
        <v>4.4387860298156703</v>
      </c>
      <c r="H1521">
        <v>26</v>
      </c>
      <c r="I1521">
        <v>31</v>
      </c>
      <c r="J1521">
        <v>30</v>
      </c>
    </row>
    <row r="1522" spans="1:10" x14ac:dyDescent="0.25">
      <c r="A1522" t="s">
        <v>22</v>
      </c>
      <c r="B1522" t="s">
        <v>19</v>
      </c>
      <c r="C1522" t="s">
        <v>12</v>
      </c>
      <c r="D1522" t="s">
        <v>13</v>
      </c>
      <c r="E1522">
        <v>0.76470588235294101</v>
      </c>
      <c r="F1522">
        <v>0.81096339142058804</v>
      </c>
      <c r="G1522">
        <v>4.4682896137237504</v>
      </c>
      <c r="H1522">
        <v>31</v>
      </c>
      <c r="I1522">
        <v>40</v>
      </c>
      <c r="J1522">
        <v>30</v>
      </c>
    </row>
    <row r="1523" spans="1:10" x14ac:dyDescent="0.25">
      <c r="A1523" t="s">
        <v>22</v>
      </c>
      <c r="B1523" t="s">
        <v>19</v>
      </c>
      <c r="C1523" t="s">
        <v>12</v>
      </c>
      <c r="D1523" t="s">
        <v>13</v>
      </c>
      <c r="E1523">
        <v>0.86764705882352899</v>
      </c>
      <c r="F1523">
        <v>0.88822190555735303</v>
      </c>
      <c r="G1523">
        <v>4.5094325542449898</v>
      </c>
      <c r="H1523">
        <v>24</v>
      </c>
      <c r="I1523">
        <v>28</v>
      </c>
      <c r="J1523">
        <v>30</v>
      </c>
    </row>
    <row r="1524" spans="1:10" x14ac:dyDescent="0.25">
      <c r="A1524" t="s">
        <v>22</v>
      </c>
      <c r="B1524" t="s">
        <v>19</v>
      </c>
      <c r="C1524" t="s">
        <v>12</v>
      </c>
      <c r="D1524" t="s">
        <v>13</v>
      </c>
      <c r="E1524">
        <v>0.80882352941176405</v>
      </c>
      <c r="F1524">
        <v>0.8616346708</v>
      </c>
      <c r="G1524">
        <v>4.6524159908294598</v>
      </c>
      <c r="H1524">
        <v>39</v>
      </c>
      <c r="I1524">
        <v>47</v>
      </c>
      <c r="J1524">
        <v>30</v>
      </c>
    </row>
    <row r="1525" spans="1:10" x14ac:dyDescent="0.25">
      <c r="A1525" t="s">
        <v>22</v>
      </c>
      <c r="B1525" t="s">
        <v>19</v>
      </c>
      <c r="C1525" t="s">
        <v>12</v>
      </c>
      <c r="D1525" t="s">
        <v>13</v>
      </c>
      <c r="E1525">
        <v>0.76470588235294101</v>
      </c>
      <c r="F1525">
        <v>0.82395993690441105</v>
      </c>
      <c r="G1525">
        <v>4.6833374500274596</v>
      </c>
      <c r="H1525">
        <v>31</v>
      </c>
      <c r="I1525">
        <v>39</v>
      </c>
      <c r="J1525">
        <v>30</v>
      </c>
    </row>
    <row r="1526" spans="1:10" x14ac:dyDescent="0.25">
      <c r="A1526" t="s">
        <v>22</v>
      </c>
      <c r="B1526" t="s">
        <v>19</v>
      </c>
      <c r="C1526" t="s">
        <v>12</v>
      </c>
      <c r="D1526" t="s">
        <v>13</v>
      </c>
      <c r="E1526">
        <v>0.75</v>
      </c>
      <c r="F1526">
        <v>0.79770449293970502</v>
      </c>
      <c r="G1526">
        <v>4.7228114604949898</v>
      </c>
      <c r="H1526">
        <v>37</v>
      </c>
      <c r="I1526">
        <v>45</v>
      </c>
      <c r="J1526">
        <v>30</v>
      </c>
    </row>
    <row r="1527" spans="1:10" x14ac:dyDescent="0.25">
      <c r="A1527" t="s">
        <v>22</v>
      </c>
      <c r="B1527" t="s">
        <v>19</v>
      </c>
      <c r="C1527" t="s">
        <v>12</v>
      </c>
      <c r="D1527" t="s">
        <v>13</v>
      </c>
      <c r="E1527">
        <v>0.77941176470588203</v>
      </c>
      <c r="F1527">
        <v>0.85128566772205805</v>
      </c>
      <c r="G1527">
        <v>4.7350754737854004</v>
      </c>
      <c r="H1527">
        <v>36</v>
      </c>
      <c r="I1527">
        <v>44</v>
      </c>
      <c r="J1527">
        <v>30</v>
      </c>
    </row>
    <row r="1528" spans="1:10" x14ac:dyDescent="0.25">
      <c r="A1528" t="s">
        <v>22</v>
      </c>
      <c r="B1528" t="s">
        <v>19</v>
      </c>
      <c r="C1528" t="s">
        <v>12</v>
      </c>
      <c r="D1528" t="s">
        <v>13</v>
      </c>
      <c r="E1528">
        <v>0.82352941176470495</v>
      </c>
      <c r="F1528">
        <v>0.903045499891176</v>
      </c>
      <c r="G1528">
        <v>4.7384800910949698</v>
      </c>
      <c r="H1528">
        <v>39</v>
      </c>
      <c r="I1528">
        <v>47</v>
      </c>
      <c r="J1528">
        <v>30</v>
      </c>
    </row>
    <row r="1529" spans="1:10" x14ac:dyDescent="0.25">
      <c r="A1529" t="s">
        <v>22</v>
      </c>
      <c r="B1529" t="s">
        <v>19</v>
      </c>
      <c r="C1529" t="s">
        <v>12</v>
      </c>
      <c r="D1529" t="s">
        <v>13</v>
      </c>
      <c r="E1529">
        <v>0.80882352941176405</v>
      </c>
      <c r="F1529">
        <v>0.85941877733676397</v>
      </c>
      <c r="G1529">
        <v>4.7347342967986998</v>
      </c>
      <c r="H1529">
        <v>35</v>
      </c>
      <c r="I1529">
        <v>42</v>
      </c>
      <c r="J1529">
        <v>30</v>
      </c>
    </row>
    <row r="1530" spans="1:10" x14ac:dyDescent="0.25">
      <c r="A1530" t="s">
        <v>22</v>
      </c>
      <c r="B1530" t="s">
        <v>19</v>
      </c>
      <c r="C1530" t="s">
        <v>12</v>
      </c>
      <c r="D1530" t="s">
        <v>13</v>
      </c>
      <c r="E1530">
        <v>0.77941176470588203</v>
      </c>
      <c r="F1530">
        <v>0.81094003683676397</v>
      </c>
      <c r="G1530">
        <v>4.77040314674377</v>
      </c>
      <c r="H1530">
        <v>30</v>
      </c>
      <c r="I1530">
        <v>39</v>
      </c>
      <c r="J1530">
        <v>30</v>
      </c>
    </row>
    <row r="1531" spans="1:10" x14ac:dyDescent="0.25">
      <c r="A1531" t="s">
        <v>22</v>
      </c>
      <c r="B1531" t="s">
        <v>19</v>
      </c>
      <c r="C1531" t="s">
        <v>12</v>
      </c>
      <c r="D1531" t="s">
        <v>13</v>
      </c>
      <c r="E1531">
        <v>0.75</v>
      </c>
      <c r="F1531">
        <v>0.79578642416176404</v>
      </c>
      <c r="G1531">
        <v>4.7656366825103698</v>
      </c>
      <c r="H1531">
        <v>30</v>
      </c>
      <c r="I1531">
        <v>41</v>
      </c>
      <c r="J1531">
        <v>30</v>
      </c>
    </row>
    <row r="1532" spans="1:10" x14ac:dyDescent="0.25">
      <c r="A1532" t="s">
        <v>22</v>
      </c>
      <c r="B1532" t="s">
        <v>19</v>
      </c>
      <c r="C1532" t="s">
        <v>12</v>
      </c>
      <c r="D1532" t="s">
        <v>14</v>
      </c>
      <c r="E1532">
        <v>0.86764705882352899</v>
      </c>
      <c r="F1532">
        <v>0.88482900170882295</v>
      </c>
      <c r="G1532">
        <v>2.28600597381591</v>
      </c>
      <c r="H1532">
        <v>60</v>
      </c>
      <c r="I1532">
        <v>56</v>
      </c>
      <c r="J1532">
        <v>30</v>
      </c>
    </row>
    <row r="1533" spans="1:10" x14ac:dyDescent="0.25">
      <c r="A1533" t="s">
        <v>22</v>
      </c>
      <c r="B1533" t="s">
        <v>19</v>
      </c>
      <c r="C1533" t="s">
        <v>12</v>
      </c>
      <c r="D1533" t="s">
        <v>14</v>
      </c>
      <c r="E1533">
        <v>0.76470588235294101</v>
      </c>
      <c r="F1533">
        <v>0.79777932848676403</v>
      </c>
      <c r="G1533">
        <v>2.5636346340179399</v>
      </c>
      <c r="H1533">
        <v>67</v>
      </c>
      <c r="I1533">
        <v>61</v>
      </c>
      <c r="J1533">
        <v>30</v>
      </c>
    </row>
    <row r="1534" spans="1:10" x14ac:dyDescent="0.25">
      <c r="A1534" t="s">
        <v>22</v>
      </c>
      <c r="B1534" t="s">
        <v>19</v>
      </c>
      <c r="C1534" t="s">
        <v>12</v>
      </c>
      <c r="D1534" t="s">
        <v>14</v>
      </c>
      <c r="E1534">
        <v>0.76470588235294101</v>
      </c>
      <c r="F1534">
        <v>0.82112406409705896</v>
      </c>
      <c r="G1534">
        <v>2.60038089752197</v>
      </c>
      <c r="H1534">
        <v>55</v>
      </c>
      <c r="I1534">
        <v>51</v>
      </c>
      <c r="J1534">
        <v>30</v>
      </c>
    </row>
    <row r="1535" spans="1:10" x14ac:dyDescent="0.25">
      <c r="A1535" t="s">
        <v>22</v>
      </c>
      <c r="B1535" t="s">
        <v>19</v>
      </c>
      <c r="C1535" t="s">
        <v>12</v>
      </c>
      <c r="D1535" t="s">
        <v>14</v>
      </c>
      <c r="E1535">
        <v>0.73529411764705799</v>
      </c>
      <c r="F1535">
        <v>0.79326888284558805</v>
      </c>
      <c r="G1535">
        <v>2.69822096824646</v>
      </c>
      <c r="H1535">
        <v>48</v>
      </c>
      <c r="I1535">
        <v>45</v>
      </c>
      <c r="J1535">
        <v>30</v>
      </c>
    </row>
    <row r="1536" spans="1:10" x14ac:dyDescent="0.25">
      <c r="A1536" t="s">
        <v>22</v>
      </c>
      <c r="B1536" t="s">
        <v>19</v>
      </c>
      <c r="C1536" t="s">
        <v>12</v>
      </c>
      <c r="D1536" t="s">
        <v>14</v>
      </c>
      <c r="E1536">
        <v>0.79411764705882304</v>
      </c>
      <c r="F1536">
        <v>0.81907247948529405</v>
      </c>
      <c r="G1536">
        <v>2.7801973819732599</v>
      </c>
      <c r="H1536">
        <v>62</v>
      </c>
      <c r="I1536">
        <v>57</v>
      </c>
      <c r="J1536">
        <v>30</v>
      </c>
    </row>
    <row r="1537" spans="1:10" x14ac:dyDescent="0.25">
      <c r="A1537" t="s">
        <v>22</v>
      </c>
      <c r="B1537" t="s">
        <v>19</v>
      </c>
      <c r="C1537" t="s">
        <v>12</v>
      </c>
      <c r="D1537" t="s">
        <v>14</v>
      </c>
      <c r="E1537">
        <v>0.79411764705882304</v>
      </c>
      <c r="F1537">
        <v>0.84748137244705801</v>
      </c>
      <c r="G1537">
        <v>3.1118671894073402</v>
      </c>
      <c r="H1537">
        <v>60</v>
      </c>
      <c r="I1537">
        <v>55</v>
      </c>
      <c r="J1537">
        <v>30</v>
      </c>
    </row>
    <row r="1538" spans="1:10" x14ac:dyDescent="0.25">
      <c r="A1538" t="s">
        <v>22</v>
      </c>
      <c r="B1538" t="s">
        <v>19</v>
      </c>
      <c r="C1538" t="s">
        <v>12</v>
      </c>
      <c r="D1538" t="s">
        <v>14</v>
      </c>
      <c r="E1538">
        <v>0.73529411764705799</v>
      </c>
      <c r="F1538">
        <v>0.76447260859558797</v>
      </c>
      <c r="G1538">
        <v>3.2944710254669101</v>
      </c>
      <c r="H1538">
        <v>64</v>
      </c>
      <c r="I1538">
        <v>61</v>
      </c>
      <c r="J1538">
        <v>30</v>
      </c>
    </row>
    <row r="1539" spans="1:10" x14ac:dyDescent="0.25">
      <c r="A1539" t="s">
        <v>22</v>
      </c>
      <c r="B1539" t="s">
        <v>19</v>
      </c>
      <c r="C1539" t="s">
        <v>12</v>
      </c>
      <c r="D1539" t="s">
        <v>14</v>
      </c>
      <c r="E1539">
        <v>0.79411764705882304</v>
      </c>
      <c r="F1539">
        <v>0.83302985237646998</v>
      </c>
      <c r="G1539">
        <v>3.5112609863281201</v>
      </c>
      <c r="H1539">
        <v>64</v>
      </c>
      <c r="I1539">
        <v>62</v>
      </c>
      <c r="J1539">
        <v>30</v>
      </c>
    </row>
    <row r="1540" spans="1:10" x14ac:dyDescent="0.25">
      <c r="A1540" t="s">
        <v>22</v>
      </c>
      <c r="B1540" t="s">
        <v>19</v>
      </c>
      <c r="C1540" t="s">
        <v>12</v>
      </c>
      <c r="D1540" t="s">
        <v>14</v>
      </c>
      <c r="E1540">
        <v>0.85294117647058798</v>
      </c>
      <c r="F1540">
        <v>0.85939134947647</v>
      </c>
      <c r="G1540">
        <v>3.6043386459350502</v>
      </c>
      <c r="H1540">
        <v>69</v>
      </c>
      <c r="I1540">
        <v>64</v>
      </c>
      <c r="J1540">
        <v>30</v>
      </c>
    </row>
    <row r="1541" spans="1:10" x14ac:dyDescent="0.25">
      <c r="A1541" t="s">
        <v>22</v>
      </c>
      <c r="B1541" t="s">
        <v>19</v>
      </c>
      <c r="C1541" t="s">
        <v>12</v>
      </c>
      <c r="D1541" t="s">
        <v>14</v>
      </c>
      <c r="E1541">
        <v>0.77941176470588203</v>
      </c>
      <c r="F1541">
        <v>0.80932643161470597</v>
      </c>
      <c r="G1541">
        <v>3.6248590946197501</v>
      </c>
      <c r="H1541">
        <v>60</v>
      </c>
      <c r="I1541">
        <v>59</v>
      </c>
      <c r="J1541">
        <v>30</v>
      </c>
    </row>
    <row r="1542" spans="1:10" x14ac:dyDescent="0.25">
      <c r="A1542" t="s">
        <v>22</v>
      </c>
      <c r="B1542" t="s">
        <v>19</v>
      </c>
      <c r="C1542" t="s">
        <v>12</v>
      </c>
      <c r="D1542" t="s">
        <v>14</v>
      </c>
      <c r="E1542">
        <v>0.83823529411764697</v>
      </c>
      <c r="F1542">
        <v>0.85999591668970499</v>
      </c>
      <c r="G1542">
        <v>3.6479852199554399</v>
      </c>
      <c r="H1542">
        <v>59</v>
      </c>
      <c r="I1542">
        <v>57</v>
      </c>
      <c r="J1542">
        <v>30</v>
      </c>
    </row>
    <row r="1543" spans="1:10" x14ac:dyDescent="0.25">
      <c r="A1543" t="s">
        <v>22</v>
      </c>
      <c r="B1543" t="s">
        <v>19</v>
      </c>
      <c r="C1543" t="s">
        <v>12</v>
      </c>
      <c r="D1543" t="s">
        <v>14</v>
      </c>
      <c r="E1543">
        <v>0.83823529411764697</v>
      </c>
      <c r="F1543">
        <v>0.87456371951029399</v>
      </c>
      <c r="G1543">
        <v>3.68695640563964</v>
      </c>
      <c r="H1543">
        <v>68</v>
      </c>
      <c r="I1543">
        <v>64</v>
      </c>
      <c r="J1543">
        <v>30</v>
      </c>
    </row>
    <row r="1544" spans="1:10" x14ac:dyDescent="0.25">
      <c r="A1544" t="s">
        <v>22</v>
      </c>
      <c r="B1544" t="s">
        <v>19</v>
      </c>
      <c r="C1544" t="s">
        <v>12</v>
      </c>
      <c r="D1544" t="s">
        <v>14</v>
      </c>
      <c r="E1544">
        <v>0.70588235294117596</v>
      </c>
      <c r="F1544">
        <v>0.75484791807499996</v>
      </c>
      <c r="G1544">
        <v>3.69740557670593</v>
      </c>
      <c r="H1544">
        <v>63</v>
      </c>
      <c r="I1544">
        <v>58</v>
      </c>
      <c r="J1544">
        <v>30</v>
      </c>
    </row>
    <row r="1545" spans="1:10" x14ac:dyDescent="0.25">
      <c r="A1545" t="s">
        <v>22</v>
      </c>
      <c r="B1545" t="s">
        <v>19</v>
      </c>
      <c r="C1545" t="s">
        <v>12</v>
      </c>
      <c r="D1545" t="s">
        <v>14</v>
      </c>
      <c r="E1545">
        <v>0.75</v>
      </c>
      <c r="F1545">
        <v>0.81061416010441101</v>
      </c>
      <c r="G1545">
        <v>3.7079296112060498</v>
      </c>
      <c r="H1545">
        <v>61</v>
      </c>
      <c r="I1545">
        <v>53</v>
      </c>
      <c r="J1545">
        <v>30</v>
      </c>
    </row>
    <row r="1546" spans="1:10" x14ac:dyDescent="0.25">
      <c r="A1546" t="s">
        <v>22</v>
      </c>
      <c r="B1546" t="s">
        <v>19</v>
      </c>
      <c r="C1546" t="s">
        <v>12</v>
      </c>
      <c r="D1546" t="s">
        <v>14</v>
      </c>
      <c r="E1546">
        <v>0.66176470588235203</v>
      </c>
      <c r="F1546">
        <v>0.71475579299705805</v>
      </c>
      <c r="G1546">
        <v>3.7079296112060498</v>
      </c>
      <c r="H1546">
        <v>61</v>
      </c>
      <c r="I1546">
        <v>55</v>
      </c>
      <c r="J1546">
        <v>30</v>
      </c>
    </row>
    <row r="1547" spans="1:10" x14ac:dyDescent="0.25">
      <c r="A1547" t="s">
        <v>22</v>
      </c>
      <c r="B1547" t="s">
        <v>19</v>
      </c>
      <c r="C1547" t="s">
        <v>12</v>
      </c>
      <c r="D1547" t="s">
        <v>14</v>
      </c>
      <c r="E1547">
        <v>0.77941176470588203</v>
      </c>
      <c r="F1547">
        <v>0.80826444191617597</v>
      </c>
      <c r="G1547">
        <v>3.7389066219329798</v>
      </c>
      <c r="H1547">
        <v>68</v>
      </c>
      <c r="I1547">
        <v>58</v>
      </c>
      <c r="J1547">
        <v>30</v>
      </c>
    </row>
    <row r="1548" spans="1:10" x14ac:dyDescent="0.25">
      <c r="A1548" t="s">
        <v>22</v>
      </c>
      <c r="B1548" t="s">
        <v>19</v>
      </c>
      <c r="C1548" t="s">
        <v>12</v>
      </c>
      <c r="D1548" t="s">
        <v>14</v>
      </c>
      <c r="E1548">
        <v>0.75</v>
      </c>
      <c r="F1548">
        <v>0.79875050921617596</v>
      </c>
      <c r="G1548">
        <v>3.7424082756042401</v>
      </c>
      <c r="H1548">
        <v>56</v>
      </c>
      <c r="I1548">
        <v>51</v>
      </c>
      <c r="J1548">
        <v>30</v>
      </c>
    </row>
    <row r="1549" spans="1:10" x14ac:dyDescent="0.25">
      <c r="A1549" t="s">
        <v>22</v>
      </c>
      <c r="B1549" t="s">
        <v>19</v>
      </c>
      <c r="C1549" t="s">
        <v>12</v>
      </c>
      <c r="D1549" t="s">
        <v>14</v>
      </c>
      <c r="E1549">
        <v>0.83823529411764697</v>
      </c>
      <c r="F1549">
        <v>0.84659480532499998</v>
      </c>
      <c r="G1549">
        <v>3.7694053649902299</v>
      </c>
      <c r="H1549">
        <v>65</v>
      </c>
      <c r="I1549">
        <v>57</v>
      </c>
      <c r="J1549">
        <v>30</v>
      </c>
    </row>
    <row r="1550" spans="1:10" x14ac:dyDescent="0.25">
      <c r="A1550" t="s">
        <v>22</v>
      </c>
      <c r="B1550" t="s">
        <v>19</v>
      </c>
      <c r="C1550" t="s">
        <v>12</v>
      </c>
      <c r="D1550" t="s">
        <v>14</v>
      </c>
      <c r="E1550">
        <v>0.82352941176470495</v>
      </c>
      <c r="F1550">
        <v>0.85130437513088197</v>
      </c>
      <c r="G1550">
        <v>3.76915383338928</v>
      </c>
      <c r="H1550">
        <v>66</v>
      </c>
      <c r="I1550">
        <v>60</v>
      </c>
      <c r="J1550">
        <v>30</v>
      </c>
    </row>
    <row r="1551" spans="1:10" x14ac:dyDescent="0.25">
      <c r="A1551" t="s">
        <v>22</v>
      </c>
      <c r="B1551" t="s">
        <v>19</v>
      </c>
      <c r="C1551" t="s">
        <v>12</v>
      </c>
      <c r="D1551" t="s">
        <v>14</v>
      </c>
      <c r="E1551">
        <v>0.77941176470588203</v>
      </c>
      <c r="F1551">
        <v>0.80193127874558801</v>
      </c>
      <c r="G1551">
        <v>3.7796118259429901</v>
      </c>
      <c r="H1551">
        <v>65</v>
      </c>
      <c r="I1551">
        <v>60</v>
      </c>
      <c r="J1551">
        <v>30</v>
      </c>
    </row>
    <row r="1552" spans="1:10" x14ac:dyDescent="0.25">
      <c r="A1552" t="s">
        <v>22</v>
      </c>
      <c r="B1552" t="s">
        <v>19</v>
      </c>
      <c r="C1552" t="s">
        <v>12</v>
      </c>
      <c r="D1552" t="s">
        <v>14</v>
      </c>
      <c r="E1552">
        <v>0.86764705882352899</v>
      </c>
      <c r="F1552">
        <v>0.87774668603823502</v>
      </c>
      <c r="G1552">
        <v>3.8213329315185498</v>
      </c>
      <c r="H1552">
        <v>68</v>
      </c>
      <c r="I1552">
        <v>64</v>
      </c>
      <c r="J1552">
        <v>30</v>
      </c>
    </row>
    <row r="1553" spans="1:10" x14ac:dyDescent="0.25">
      <c r="A1553" t="s">
        <v>22</v>
      </c>
      <c r="B1553" t="s">
        <v>19</v>
      </c>
      <c r="C1553" t="s">
        <v>12</v>
      </c>
      <c r="D1553" t="s">
        <v>14</v>
      </c>
      <c r="E1553">
        <v>0.83823529411764697</v>
      </c>
      <c r="F1553">
        <v>0.87167394469852899</v>
      </c>
      <c r="G1553">
        <v>3.8213329315185498</v>
      </c>
      <c r="H1553">
        <v>62</v>
      </c>
      <c r="I1553">
        <v>59</v>
      </c>
      <c r="J1553">
        <v>30</v>
      </c>
    </row>
    <row r="1554" spans="1:10" x14ac:dyDescent="0.25">
      <c r="A1554" t="s">
        <v>22</v>
      </c>
      <c r="B1554" t="s">
        <v>19</v>
      </c>
      <c r="C1554" t="s">
        <v>12</v>
      </c>
      <c r="D1554" t="s">
        <v>14</v>
      </c>
      <c r="E1554">
        <v>0.61764705882352899</v>
      </c>
      <c r="F1554">
        <v>0.701070823152941</v>
      </c>
      <c r="G1554">
        <v>3.8403971195220898</v>
      </c>
      <c r="H1554">
        <v>63</v>
      </c>
      <c r="I1554">
        <v>60</v>
      </c>
      <c r="J1554">
        <v>30</v>
      </c>
    </row>
    <row r="1555" spans="1:10" x14ac:dyDescent="0.25">
      <c r="A1555" t="s">
        <v>22</v>
      </c>
      <c r="B1555" t="s">
        <v>19</v>
      </c>
      <c r="C1555" t="s">
        <v>12</v>
      </c>
      <c r="D1555" t="s">
        <v>14</v>
      </c>
      <c r="E1555">
        <v>0.76470588235294101</v>
      </c>
      <c r="F1555">
        <v>0.79277898958676396</v>
      </c>
      <c r="G1555">
        <v>3.8333978652954102</v>
      </c>
      <c r="H1555">
        <v>54</v>
      </c>
      <c r="I1555">
        <v>52</v>
      </c>
      <c r="J1555">
        <v>30</v>
      </c>
    </row>
    <row r="1556" spans="1:10" x14ac:dyDescent="0.25">
      <c r="A1556" t="s">
        <v>22</v>
      </c>
      <c r="B1556" t="s">
        <v>19</v>
      </c>
      <c r="C1556" t="s">
        <v>12</v>
      </c>
      <c r="D1556" t="s">
        <v>14</v>
      </c>
      <c r="E1556">
        <v>0.80882352941176405</v>
      </c>
      <c r="F1556">
        <v>0.84545361635294103</v>
      </c>
      <c r="G1556">
        <v>3.86969542503356</v>
      </c>
      <c r="H1556">
        <v>65</v>
      </c>
      <c r="I1556">
        <v>61</v>
      </c>
      <c r="J1556">
        <v>30</v>
      </c>
    </row>
    <row r="1557" spans="1:10" x14ac:dyDescent="0.25">
      <c r="A1557" t="s">
        <v>22</v>
      </c>
      <c r="B1557" t="s">
        <v>19</v>
      </c>
      <c r="C1557" t="s">
        <v>12</v>
      </c>
      <c r="D1557" t="s">
        <v>14</v>
      </c>
      <c r="E1557">
        <v>0.69117647058823495</v>
      </c>
      <c r="F1557">
        <v>0.74204211408235299</v>
      </c>
      <c r="G1557">
        <v>3.93712282180786</v>
      </c>
      <c r="H1557">
        <v>68</v>
      </c>
      <c r="I1557">
        <v>65</v>
      </c>
      <c r="J1557">
        <v>30</v>
      </c>
    </row>
    <row r="1558" spans="1:10" x14ac:dyDescent="0.25">
      <c r="A1558" t="s">
        <v>22</v>
      </c>
      <c r="B1558" t="s">
        <v>19</v>
      </c>
      <c r="C1558" t="s">
        <v>12</v>
      </c>
      <c r="D1558" t="s">
        <v>14</v>
      </c>
      <c r="E1558">
        <v>0.82352941176470495</v>
      </c>
      <c r="F1558">
        <v>0.85257323523970596</v>
      </c>
      <c r="G1558">
        <v>4.2019536495208696</v>
      </c>
      <c r="H1558">
        <v>88</v>
      </c>
      <c r="I1558">
        <v>83</v>
      </c>
      <c r="J1558">
        <v>30</v>
      </c>
    </row>
    <row r="1559" spans="1:10" x14ac:dyDescent="0.25">
      <c r="A1559" t="s">
        <v>22</v>
      </c>
      <c r="B1559" t="s">
        <v>19</v>
      </c>
      <c r="C1559" t="s">
        <v>12</v>
      </c>
      <c r="D1559" t="s">
        <v>14</v>
      </c>
      <c r="E1559">
        <v>0.76470588235294101</v>
      </c>
      <c r="F1559">
        <v>0.79503660847058799</v>
      </c>
      <c r="G1559">
        <v>4.2327115535736004</v>
      </c>
      <c r="H1559">
        <v>101</v>
      </c>
      <c r="I1559">
        <v>99</v>
      </c>
      <c r="J1559">
        <v>30</v>
      </c>
    </row>
    <row r="1560" spans="1:10" x14ac:dyDescent="0.25">
      <c r="A1560" t="s">
        <v>22</v>
      </c>
      <c r="B1560" t="s">
        <v>19</v>
      </c>
      <c r="C1560" t="s">
        <v>12</v>
      </c>
      <c r="D1560" t="s">
        <v>14</v>
      </c>
      <c r="E1560">
        <v>0.77941176470588203</v>
      </c>
      <c r="F1560">
        <v>0.82237966574264698</v>
      </c>
      <c r="G1560">
        <v>4.2556991577148402</v>
      </c>
      <c r="H1560">
        <v>82</v>
      </c>
      <c r="I1560">
        <v>79</v>
      </c>
      <c r="J1560">
        <v>30</v>
      </c>
    </row>
    <row r="1561" spans="1:10" x14ac:dyDescent="0.25">
      <c r="A1561" t="s">
        <v>22</v>
      </c>
      <c r="B1561" t="s">
        <v>19</v>
      </c>
      <c r="C1561" t="s">
        <v>12</v>
      </c>
      <c r="D1561" t="s">
        <v>14</v>
      </c>
      <c r="E1561">
        <v>0.85294117647058798</v>
      </c>
      <c r="F1561">
        <v>0.87569025538823497</v>
      </c>
      <c r="G1561">
        <v>4.2736449241638104</v>
      </c>
      <c r="H1561">
        <v>85</v>
      </c>
      <c r="I1561">
        <v>82</v>
      </c>
      <c r="J1561">
        <v>30</v>
      </c>
    </row>
    <row r="1562" spans="1:10" x14ac:dyDescent="0.25">
      <c r="A1562" t="s">
        <v>22</v>
      </c>
      <c r="B1562" t="s">
        <v>19</v>
      </c>
      <c r="C1562" t="s">
        <v>12</v>
      </c>
      <c r="D1562" t="s">
        <v>15</v>
      </c>
      <c r="E1562">
        <v>0</v>
      </c>
      <c r="F1562">
        <v>0.75</v>
      </c>
      <c r="G1562">
        <v>0.12380313873291</v>
      </c>
      <c r="H1562">
        <v>0</v>
      </c>
      <c r="I1562">
        <v>0</v>
      </c>
      <c r="J1562">
        <v>30</v>
      </c>
    </row>
    <row r="1563" spans="1:10" x14ac:dyDescent="0.25">
      <c r="A1563" t="s">
        <v>22</v>
      </c>
      <c r="B1563" t="s">
        <v>19</v>
      </c>
      <c r="C1563" t="s">
        <v>12</v>
      </c>
      <c r="D1563" t="s">
        <v>15</v>
      </c>
      <c r="E1563">
        <v>0</v>
      </c>
      <c r="F1563">
        <v>0.75</v>
      </c>
      <c r="G1563">
        <v>0.16503524780273399</v>
      </c>
      <c r="H1563">
        <v>0</v>
      </c>
      <c r="I1563">
        <v>0</v>
      </c>
      <c r="J1563">
        <v>30</v>
      </c>
    </row>
    <row r="1564" spans="1:10" x14ac:dyDescent="0.25">
      <c r="A1564" t="s">
        <v>22</v>
      </c>
      <c r="B1564" t="s">
        <v>19</v>
      </c>
      <c r="C1564" t="s">
        <v>12</v>
      </c>
      <c r="D1564" t="s">
        <v>15</v>
      </c>
      <c r="E1564">
        <v>0</v>
      </c>
      <c r="F1564">
        <v>0.75</v>
      </c>
      <c r="G1564">
        <v>0.199706315994262</v>
      </c>
      <c r="H1564">
        <v>0</v>
      </c>
      <c r="I1564">
        <v>0</v>
      </c>
      <c r="J1564">
        <v>30</v>
      </c>
    </row>
    <row r="1565" spans="1:10" x14ac:dyDescent="0.25">
      <c r="A1565" t="s">
        <v>22</v>
      </c>
      <c r="B1565" t="s">
        <v>19</v>
      </c>
      <c r="C1565" t="s">
        <v>12</v>
      </c>
      <c r="D1565" t="s">
        <v>15</v>
      </c>
      <c r="E1565">
        <v>0</v>
      </c>
      <c r="F1565">
        <v>0.75</v>
      </c>
      <c r="G1565">
        <v>0.226150512695312</v>
      </c>
      <c r="H1565">
        <v>0</v>
      </c>
      <c r="I1565">
        <v>0</v>
      </c>
      <c r="J1565">
        <v>30</v>
      </c>
    </row>
    <row r="1566" spans="1:10" x14ac:dyDescent="0.25">
      <c r="A1566" t="s">
        <v>22</v>
      </c>
      <c r="B1566" t="s">
        <v>19</v>
      </c>
      <c r="C1566" t="s">
        <v>12</v>
      </c>
      <c r="D1566" t="s">
        <v>15</v>
      </c>
      <c r="E1566">
        <v>0</v>
      </c>
      <c r="F1566">
        <v>0.75</v>
      </c>
      <c r="G1566">
        <v>0.248021125793457</v>
      </c>
      <c r="H1566">
        <v>0</v>
      </c>
      <c r="I1566">
        <v>0</v>
      </c>
      <c r="J1566">
        <v>30</v>
      </c>
    </row>
    <row r="1567" spans="1:10" x14ac:dyDescent="0.25">
      <c r="A1567" t="s">
        <v>22</v>
      </c>
      <c r="B1567" t="s">
        <v>19</v>
      </c>
      <c r="C1567" t="s">
        <v>12</v>
      </c>
      <c r="D1567" t="s">
        <v>15</v>
      </c>
      <c r="E1567">
        <v>0</v>
      </c>
      <c r="F1567">
        <v>0.75</v>
      </c>
      <c r="G1567">
        <v>0.25666928291320801</v>
      </c>
      <c r="H1567">
        <v>0</v>
      </c>
      <c r="I1567">
        <v>0</v>
      </c>
      <c r="J1567">
        <v>30</v>
      </c>
    </row>
    <row r="1568" spans="1:10" x14ac:dyDescent="0.25">
      <c r="A1568" t="s">
        <v>22</v>
      </c>
      <c r="B1568" t="s">
        <v>19</v>
      </c>
      <c r="C1568" t="s">
        <v>12</v>
      </c>
      <c r="D1568" t="s">
        <v>15</v>
      </c>
      <c r="E1568">
        <v>0</v>
      </c>
      <c r="F1568">
        <v>0.75</v>
      </c>
      <c r="G1568">
        <v>0.25917363166808999</v>
      </c>
      <c r="H1568">
        <v>0</v>
      </c>
      <c r="I1568">
        <v>0</v>
      </c>
      <c r="J1568">
        <v>30</v>
      </c>
    </row>
    <row r="1569" spans="1:10" x14ac:dyDescent="0.25">
      <c r="A1569" t="s">
        <v>22</v>
      </c>
      <c r="B1569" t="s">
        <v>19</v>
      </c>
      <c r="C1569" t="s">
        <v>12</v>
      </c>
      <c r="D1569" t="s">
        <v>15</v>
      </c>
      <c r="E1569">
        <v>0</v>
      </c>
      <c r="F1569">
        <v>0.75</v>
      </c>
      <c r="G1569">
        <v>0.26817655563354398</v>
      </c>
      <c r="H1569">
        <v>0</v>
      </c>
      <c r="I1569">
        <v>0</v>
      </c>
      <c r="J1569">
        <v>30</v>
      </c>
    </row>
    <row r="1570" spans="1:10" x14ac:dyDescent="0.25">
      <c r="A1570" t="s">
        <v>22</v>
      </c>
      <c r="B1570" t="s">
        <v>19</v>
      </c>
      <c r="C1570" t="s">
        <v>12</v>
      </c>
      <c r="D1570" t="s">
        <v>15</v>
      </c>
      <c r="E1570">
        <v>0</v>
      </c>
      <c r="F1570">
        <v>0.75</v>
      </c>
      <c r="G1570">
        <v>0.34084677696228</v>
      </c>
      <c r="H1570">
        <v>0</v>
      </c>
      <c r="I1570">
        <v>0</v>
      </c>
      <c r="J1570">
        <v>30</v>
      </c>
    </row>
    <row r="1571" spans="1:10" x14ac:dyDescent="0.25">
      <c r="A1571" t="s">
        <v>22</v>
      </c>
      <c r="B1571" t="s">
        <v>19</v>
      </c>
      <c r="C1571" t="s">
        <v>12</v>
      </c>
      <c r="D1571" t="s">
        <v>15</v>
      </c>
      <c r="E1571">
        <v>0</v>
      </c>
      <c r="F1571">
        <v>0.75</v>
      </c>
      <c r="G1571">
        <v>0.36107683181762601</v>
      </c>
      <c r="H1571">
        <v>0</v>
      </c>
      <c r="I1571">
        <v>0</v>
      </c>
      <c r="J1571">
        <v>30</v>
      </c>
    </row>
    <row r="1572" spans="1:10" x14ac:dyDescent="0.25">
      <c r="A1572" t="s">
        <v>22</v>
      </c>
      <c r="B1572" t="s">
        <v>19</v>
      </c>
      <c r="C1572" t="s">
        <v>12</v>
      </c>
      <c r="D1572" t="s">
        <v>15</v>
      </c>
      <c r="E1572">
        <v>0</v>
      </c>
      <c r="F1572">
        <v>0.75</v>
      </c>
      <c r="G1572">
        <v>0.34338569641113198</v>
      </c>
      <c r="H1572">
        <v>0</v>
      </c>
      <c r="I1572">
        <v>0</v>
      </c>
      <c r="J1572">
        <v>30</v>
      </c>
    </row>
    <row r="1573" spans="1:10" x14ac:dyDescent="0.25">
      <c r="A1573" t="s">
        <v>22</v>
      </c>
      <c r="B1573" t="s">
        <v>19</v>
      </c>
      <c r="C1573" t="s">
        <v>12</v>
      </c>
      <c r="D1573" t="s">
        <v>15</v>
      </c>
      <c r="E1573">
        <v>0</v>
      </c>
      <c r="F1573">
        <v>0.75</v>
      </c>
      <c r="G1573">
        <v>0.39173150062561002</v>
      </c>
      <c r="H1573">
        <v>0</v>
      </c>
      <c r="I1573">
        <v>0</v>
      </c>
      <c r="J1573">
        <v>30</v>
      </c>
    </row>
    <row r="1574" spans="1:10" x14ac:dyDescent="0.25">
      <c r="A1574" t="s">
        <v>22</v>
      </c>
      <c r="B1574" t="s">
        <v>19</v>
      </c>
      <c r="C1574" t="s">
        <v>12</v>
      </c>
      <c r="D1574" t="s">
        <v>15</v>
      </c>
      <c r="E1574">
        <v>0</v>
      </c>
      <c r="F1574">
        <v>0.75</v>
      </c>
      <c r="G1574">
        <v>0.42279267311096103</v>
      </c>
      <c r="H1574">
        <v>0</v>
      </c>
      <c r="I1574">
        <v>0</v>
      </c>
      <c r="J1574">
        <v>30</v>
      </c>
    </row>
    <row r="1575" spans="1:10" x14ac:dyDescent="0.25">
      <c r="A1575" t="s">
        <v>22</v>
      </c>
      <c r="B1575" t="s">
        <v>19</v>
      </c>
      <c r="C1575" t="s">
        <v>12</v>
      </c>
      <c r="D1575" t="s">
        <v>15</v>
      </c>
      <c r="E1575">
        <v>0</v>
      </c>
      <c r="F1575">
        <v>0.75</v>
      </c>
      <c r="G1575">
        <v>0.43388843536376898</v>
      </c>
      <c r="H1575">
        <v>0</v>
      </c>
      <c r="I1575">
        <v>0</v>
      </c>
      <c r="J1575">
        <v>30</v>
      </c>
    </row>
    <row r="1576" spans="1:10" x14ac:dyDescent="0.25">
      <c r="A1576" t="s">
        <v>22</v>
      </c>
      <c r="B1576" t="s">
        <v>19</v>
      </c>
      <c r="C1576" t="s">
        <v>12</v>
      </c>
      <c r="D1576" t="s">
        <v>15</v>
      </c>
      <c r="E1576">
        <v>0</v>
      </c>
      <c r="F1576">
        <v>0.75</v>
      </c>
      <c r="G1576">
        <v>0.43388843536376898</v>
      </c>
      <c r="H1576">
        <v>0</v>
      </c>
      <c r="I1576">
        <v>0</v>
      </c>
      <c r="J1576">
        <v>30</v>
      </c>
    </row>
    <row r="1577" spans="1:10" x14ac:dyDescent="0.25">
      <c r="A1577" t="s">
        <v>22</v>
      </c>
      <c r="B1577" t="s">
        <v>19</v>
      </c>
      <c r="C1577" t="s">
        <v>12</v>
      </c>
      <c r="D1577" t="s">
        <v>15</v>
      </c>
      <c r="E1577">
        <v>0</v>
      </c>
      <c r="F1577">
        <v>0.75</v>
      </c>
      <c r="G1577">
        <v>0.43712902069091703</v>
      </c>
      <c r="H1577">
        <v>0</v>
      </c>
      <c r="I1577">
        <v>0</v>
      </c>
      <c r="J1577">
        <v>30</v>
      </c>
    </row>
    <row r="1578" spans="1:10" x14ac:dyDescent="0.25">
      <c r="A1578" t="s">
        <v>22</v>
      </c>
      <c r="B1578" t="s">
        <v>19</v>
      </c>
      <c r="C1578" t="s">
        <v>12</v>
      </c>
      <c r="D1578" t="s">
        <v>15</v>
      </c>
      <c r="E1578">
        <v>0</v>
      </c>
      <c r="F1578">
        <v>0.75</v>
      </c>
      <c r="G1578">
        <v>0.46529221534728998</v>
      </c>
      <c r="H1578">
        <v>0</v>
      </c>
      <c r="I1578">
        <v>0</v>
      </c>
      <c r="J1578">
        <v>30</v>
      </c>
    </row>
    <row r="1579" spans="1:10" x14ac:dyDescent="0.25">
      <c r="A1579" t="s">
        <v>22</v>
      </c>
      <c r="B1579" t="s">
        <v>19</v>
      </c>
      <c r="C1579" t="s">
        <v>12</v>
      </c>
      <c r="D1579" t="s">
        <v>15</v>
      </c>
      <c r="E1579">
        <v>0</v>
      </c>
      <c r="F1579">
        <v>0.75</v>
      </c>
      <c r="G1579">
        <v>0.47386622428893999</v>
      </c>
      <c r="H1579">
        <v>0</v>
      </c>
      <c r="I1579">
        <v>0</v>
      </c>
      <c r="J1579">
        <v>30</v>
      </c>
    </row>
    <row r="1580" spans="1:10" x14ac:dyDescent="0.25">
      <c r="A1580" t="s">
        <v>22</v>
      </c>
      <c r="B1580" t="s">
        <v>19</v>
      </c>
      <c r="C1580" t="s">
        <v>12</v>
      </c>
      <c r="D1580" t="s">
        <v>15</v>
      </c>
      <c r="E1580">
        <v>0</v>
      </c>
      <c r="F1580">
        <v>0.75</v>
      </c>
      <c r="G1580">
        <v>0.42689204216003401</v>
      </c>
      <c r="H1580">
        <v>0</v>
      </c>
      <c r="I1580">
        <v>0</v>
      </c>
      <c r="J1580">
        <v>30</v>
      </c>
    </row>
    <row r="1581" spans="1:10" x14ac:dyDescent="0.25">
      <c r="A1581" t="s">
        <v>22</v>
      </c>
      <c r="B1581" t="s">
        <v>19</v>
      </c>
      <c r="C1581" t="s">
        <v>12</v>
      </c>
      <c r="D1581" t="s">
        <v>15</v>
      </c>
      <c r="E1581">
        <v>0</v>
      </c>
      <c r="F1581">
        <v>0.75</v>
      </c>
      <c r="G1581">
        <v>0.47374749183654702</v>
      </c>
      <c r="H1581">
        <v>0</v>
      </c>
      <c r="I1581">
        <v>0</v>
      </c>
      <c r="J1581">
        <v>30</v>
      </c>
    </row>
    <row r="1582" spans="1:10" x14ac:dyDescent="0.25">
      <c r="A1582" t="s">
        <v>22</v>
      </c>
      <c r="B1582" t="s">
        <v>19</v>
      </c>
      <c r="C1582" t="s">
        <v>12</v>
      </c>
      <c r="D1582" t="s">
        <v>15</v>
      </c>
      <c r="E1582">
        <v>0</v>
      </c>
      <c r="F1582">
        <v>0.75</v>
      </c>
      <c r="G1582">
        <v>0.47374749183654702</v>
      </c>
      <c r="H1582">
        <v>0</v>
      </c>
      <c r="I1582">
        <v>0</v>
      </c>
      <c r="J1582">
        <v>30</v>
      </c>
    </row>
    <row r="1583" spans="1:10" x14ac:dyDescent="0.25">
      <c r="A1583" t="s">
        <v>22</v>
      </c>
      <c r="B1583" t="s">
        <v>19</v>
      </c>
      <c r="C1583" t="s">
        <v>12</v>
      </c>
      <c r="D1583" t="s">
        <v>15</v>
      </c>
      <c r="E1583">
        <v>0</v>
      </c>
      <c r="F1583">
        <v>0.75</v>
      </c>
      <c r="G1583">
        <v>0.48671913146972601</v>
      </c>
      <c r="H1583">
        <v>0</v>
      </c>
      <c r="I1583">
        <v>0</v>
      </c>
      <c r="J1583">
        <v>30</v>
      </c>
    </row>
    <row r="1584" spans="1:10" x14ac:dyDescent="0.25">
      <c r="A1584" t="s">
        <v>22</v>
      </c>
      <c r="B1584" t="s">
        <v>19</v>
      </c>
      <c r="C1584" t="s">
        <v>12</v>
      </c>
      <c r="D1584" t="s">
        <v>15</v>
      </c>
      <c r="E1584">
        <v>0</v>
      </c>
      <c r="F1584">
        <v>0.75</v>
      </c>
      <c r="G1584">
        <v>0.48121523857116699</v>
      </c>
      <c r="H1584">
        <v>0</v>
      </c>
      <c r="I1584">
        <v>0</v>
      </c>
      <c r="J1584">
        <v>30</v>
      </c>
    </row>
    <row r="1585" spans="1:10" x14ac:dyDescent="0.25">
      <c r="A1585" t="s">
        <v>22</v>
      </c>
      <c r="B1585" t="s">
        <v>19</v>
      </c>
      <c r="C1585" t="s">
        <v>12</v>
      </c>
      <c r="D1585" t="s">
        <v>15</v>
      </c>
      <c r="E1585">
        <v>0</v>
      </c>
      <c r="F1585">
        <v>0.75</v>
      </c>
      <c r="G1585">
        <v>0.49700689315795898</v>
      </c>
      <c r="H1585">
        <v>0</v>
      </c>
      <c r="I1585">
        <v>0</v>
      </c>
      <c r="J1585">
        <v>30</v>
      </c>
    </row>
    <row r="1586" spans="1:10" x14ac:dyDescent="0.25">
      <c r="A1586" t="s">
        <v>22</v>
      </c>
      <c r="B1586" t="s">
        <v>19</v>
      </c>
      <c r="C1586" t="s">
        <v>12</v>
      </c>
      <c r="D1586" t="s">
        <v>15</v>
      </c>
      <c r="E1586">
        <v>0</v>
      </c>
      <c r="F1586">
        <v>0.75</v>
      </c>
      <c r="G1586">
        <v>0.51507139205932595</v>
      </c>
      <c r="H1586">
        <v>0</v>
      </c>
      <c r="I1586">
        <v>0</v>
      </c>
      <c r="J1586">
        <v>30</v>
      </c>
    </row>
    <row r="1587" spans="1:10" x14ac:dyDescent="0.25">
      <c r="A1587" t="s">
        <v>22</v>
      </c>
      <c r="B1587" t="s">
        <v>19</v>
      </c>
      <c r="C1587" t="s">
        <v>12</v>
      </c>
      <c r="D1587" t="s">
        <v>15</v>
      </c>
      <c r="E1587">
        <v>0</v>
      </c>
      <c r="F1587">
        <v>0.75</v>
      </c>
      <c r="G1587">
        <v>0.52872467041015603</v>
      </c>
      <c r="H1587">
        <v>0</v>
      </c>
      <c r="I1587">
        <v>0</v>
      </c>
      <c r="J1587">
        <v>30</v>
      </c>
    </row>
    <row r="1588" spans="1:10" x14ac:dyDescent="0.25">
      <c r="A1588" t="s">
        <v>22</v>
      </c>
      <c r="B1588" t="s">
        <v>19</v>
      </c>
      <c r="C1588" t="s">
        <v>12</v>
      </c>
      <c r="D1588" t="s">
        <v>15</v>
      </c>
      <c r="E1588">
        <v>0</v>
      </c>
      <c r="F1588">
        <v>0.75</v>
      </c>
      <c r="G1588">
        <v>0.51979923248291005</v>
      </c>
      <c r="H1588">
        <v>0</v>
      </c>
      <c r="I1588">
        <v>0</v>
      </c>
      <c r="J1588">
        <v>30</v>
      </c>
    </row>
    <row r="1589" spans="1:10" x14ac:dyDescent="0.25">
      <c r="A1589" t="s">
        <v>22</v>
      </c>
      <c r="B1589" t="s">
        <v>19</v>
      </c>
      <c r="C1589" t="s">
        <v>12</v>
      </c>
      <c r="D1589" t="s">
        <v>15</v>
      </c>
      <c r="E1589">
        <v>0</v>
      </c>
      <c r="F1589">
        <v>0.75</v>
      </c>
      <c r="G1589">
        <v>0.52872467041015603</v>
      </c>
      <c r="H1589">
        <v>0</v>
      </c>
      <c r="I1589">
        <v>0</v>
      </c>
      <c r="J1589">
        <v>30</v>
      </c>
    </row>
    <row r="1590" spans="1:10" x14ac:dyDescent="0.25">
      <c r="A1590" t="s">
        <v>22</v>
      </c>
      <c r="B1590" t="s">
        <v>19</v>
      </c>
      <c r="C1590" t="s">
        <v>12</v>
      </c>
      <c r="D1590" t="s">
        <v>15</v>
      </c>
      <c r="E1590">
        <v>0</v>
      </c>
      <c r="F1590">
        <v>0.75</v>
      </c>
      <c r="G1590">
        <v>0.55622267723083496</v>
      </c>
      <c r="H1590">
        <v>0</v>
      </c>
      <c r="I1590">
        <v>0</v>
      </c>
      <c r="J1590">
        <v>30</v>
      </c>
    </row>
    <row r="1591" spans="1:10" x14ac:dyDescent="0.25">
      <c r="A1591" t="s">
        <v>22</v>
      </c>
      <c r="B1591" t="s">
        <v>19</v>
      </c>
      <c r="C1591" t="s">
        <v>12</v>
      </c>
      <c r="D1591" t="s">
        <v>15</v>
      </c>
      <c r="E1591">
        <v>0</v>
      </c>
      <c r="F1591">
        <v>0.75</v>
      </c>
      <c r="G1591">
        <v>0.54571747779846103</v>
      </c>
      <c r="H1591">
        <v>0</v>
      </c>
      <c r="I1591">
        <v>0</v>
      </c>
      <c r="J1591">
        <v>30</v>
      </c>
    </row>
    <row r="1592" spans="1:10" x14ac:dyDescent="0.25">
      <c r="A1592" t="s">
        <v>22</v>
      </c>
      <c r="B1592" t="s">
        <v>19</v>
      </c>
      <c r="C1592" t="s">
        <v>12</v>
      </c>
      <c r="D1592" t="s">
        <v>16</v>
      </c>
      <c r="E1592">
        <v>0</v>
      </c>
      <c r="F1592">
        <v>0.75</v>
      </c>
      <c r="G1592">
        <v>8.9168548583984306E-3</v>
      </c>
      <c r="H1592">
        <v>0</v>
      </c>
      <c r="I1592">
        <v>0</v>
      </c>
      <c r="J1592">
        <v>30</v>
      </c>
    </row>
    <row r="1593" spans="1:10" x14ac:dyDescent="0.25">
      <c r="A1593" t="s">
        <v>22</v>
      </c>
      <c r="B1593" t="s">
        <v>19</v>
      </c>
      <c r="C1593" t="s">
        <v>12</v>
      </c>
      <c r="D1593" t="s">
        <v>16</v>
      </c>
      <c r="E1593">
        <v>0</v>
      </c>
      <c r="F1593">
        <v>0.75</v>
      </c>
      <c r="G1593">
        <v>2.8148174285888599E-2</v>
      </c>
      <c r="H1593">
        <v>0</v>
      </c>
      <c r="I1593">
        <v>0</v>
      </c>
      <c r="J1593">
        <v>30</v>
      </c>
    </row>
    <row r="1594" spans="1:10" x14ac:dyDescent="0.25">
      <c r="A1594" t="s">
        <v>22</v>
      </c>
      <c r="B1594" t="s">
        <v>19</v>
      </c>
      <c r="C1594" t="s">
        <v>12</v>
      </c>
      <c r="D1594" t="s">
        <v>16</v>
      </c>
      <c r="E1594">
        <v>0</v>
      </c>
      <c r="F1594">
        <v>0.75</v>
      </c>
      <c r="G1594">
        <v>3.0148029327392498E-2</v>
      </c>
      <c r="H1594">
        <v>0</v>
      </c>
      <c r="I1594">
        <v>0</v>
      </c>
      <c r="J1594">
        <v>30</v>
      </c>
    </row>
    <row r="1595" spans="1:10" x14ac:dyDescent="0.25">
      <c r="A1595" t="s">
        <v>22</v>
      </c>
      <c r="B1595" t="s">
        <v>19</v>
      </c>
      <c r="C1595" t="s">
        <v>12</v>
      </c>
      <c r="D1595" t="s">
        <v>16</v>
      </c>
      <c r="E1595">
        <v>0</v>
      </c>
      <c r="F1595">
        <v>0.75</v>
      </c>
      <c r="G1595">
        <v>3.4147977828979402E-2</v>
      </c>
      <c r="H1595">
        <v>0</v>
      </c>
      <c r="I1595">
        <v>0</v>
      </c>
      <c r="J1595">
        <v>30</v>
      </c>
    </row>
    <row r="1596" spans="1:10" x14ac:dyDescent="0.25">
      <c r="A1596" t="s">
        <v>22</v>
      </c>
      <c r="B1596" t="s">
        <v>19</v>
      </c>
      <c r="C1596" t="s">
        <v>12</v>
      </c>
      <c r="D1596" t="s">
        <v>16</v>
      </c>
      <c r="E1596">
        <v>0</v>
      </c>
      <c r="F1596">
        <v>0.75</v>
      </c>
      <c r="G1596">
        <v>3.1147718429565398E-2</v>
      </c>
      <c r="H1596">
        <v>0</v>
      </c>
      <c r="I1596">
        <v>0</v>
      </c>
      <c r="J1596">
        <v>30</v>
      </c>
    </row>
    <row r="1597" spans="1:10" x14ac:dyDescent="0.25">
      <c r="A1597" t="s">
        <v>22</v>
      </c>
      <c r="B1597" t="s">
        <v>19</v>
      </c>
      <c r="C1597" t="s">
        <v>12</v>
      </c>
      <c r="D1597" t="s">
        <v>16</v>
      </c>
      <c r="E1597">
        <v>0</v>
      </c>
      <c r="F1597">
        <v>0.75</v>
      </c>
      <c r="G1597">
        <v>3.5652160644531201E-2</v>
      </c>
      <c r="H1597">
        <v>0</v>
      </c>
      <c r="I1597">
        <v>0</v>
      </c>
      <c r="J1597">
        <v>30</v>
      </c>
    </row>
    <row r="1598" spans="1:10" x14ac:dyDescent="0.25">
      <c r="A1598" t="s">
        <v>22</v>
      </c>
      <c r="B1598" t="s">
        <v>19</v>
      </c>
      <c r="C1598" t="s">
        <v>12</v>
      </c>
      <c r="D1598" t="s">
        <v>16</v>
      </c>
      <c r="E1598">
        <v>0</v>
      </c>
      <c r="F1598">
        <v>0.75</v>
      </c>
      <c r="G1598">
        <v>3.5655498504638602E-2</v>
      </c>
      <c r="H1598">
        <v>0</v>
      </c>
      <c r="I1598">
        <v>0</v>
      </c>
      <c r="J1598">
        <v>30</v>
      </c>
    </row>
    <row r="1599" spans="1:10" x14ac:dyDescent="0.25">
      <c r="A1599" t="s">
        <v>22</v>
      </c>
      <c r="B1599" t="s">
        <v>19</v>
      </c>
      <c r="C1599" t="s">
        <v>12</v>
      </c>
      <c r="D1599" t="s">
        <v>16</v>
      </c>
      <c r="E1599">
        <v>0</v>
      </c>
      <c r="F1599">
        <v>0.75</v>
      </c>
      <c r="G1599">
        <v>3.7655591964721603E-2</v>
      </c>
      <c r="H1599">
        <v>0</v>
      </c>
      <c r="I1599">
        <v>0</v>
      </c>
      <c r="J1599">
        <v>30</v>
      </c>
    </row>
    <row r="1600" spans="1:10" x14ac:dyDescent="0.25">
      <c r="A1600" t="s">
        <v>22</v>
      </c>
      <c r="B1600" t="s">
        <v>19</v>
      </c>
      <c r="C1600" t="s">
        <v>12</v>
      </c>
      <c r="D1600" t="s">
        <v>16</v>
      </c>
      <c r="E1600">
        <v>0</v>
      </c>
      <c r="F1600">
        <v>0.75</v>
      </c>
      <c r="G1600">
        <v>3.6655426025390597E-2</v>
      </c>
      <c r="H1600">
        <v>0</v>
      </c>
      <c r="I1600">
        <v>0</v>
      </c>
      <c r="J1600">
        <v>30</v>
      </c>
    </row>
    <row r="1601" spans="1:10" x14ac:dyDescent="0.25">
      <c r="A1601" t="s">
        <v>22</v>
      </c>
      <c r="B1601" t="s">
        <v>19</v>
      </c>
      <c r="C1601" t="s">
        <v>12</v>
      </c>
      <c r="D1601" t="s">
        <v>16</v>
      </c>
      <c r="E1601">
        <v>0</v>
      </c>
      <c r="F1601">
        <v>0.75</v>
      </c>
      <c r="G1601">
        <v>3.4623146057128899E-2</v>
      </c>
      <c r="H1601">
        <v>0</v>
      </c>
      <c r="I1601">
        <v>0</v>
      </c>
      <c r="J1601">
        <v>30</v>
      </c>
    </row>
    <row r="1602" spans="1:10" x14ac:dyDescent="0.25">
      <c r="A1602" t="s">
        <v>22</v>
      </c>
      <c r="B1602" t="s">
        <v>19</v>
      </c>
      <c r="C1602" t="s">
        <v>12</v>
      </c>
      <c r="D1602" t="s">
        <v>16</v>
      </c>
      <c r="E1602">
        <v>0</v>
      </c>
      <c r="F1602">
        <v>0.75</v>
      </c>
      <c r="G1602">
        <v>3.9655447006225503E-2</v>
      </c>
      <c r="H1602">
        <v>0</v>
      </c>
      <c r="I1602">
        <v>0</v>
      </c>
      <c r="J1602">
        <v>30</v>
      </c>
    </row>
    <row r="1603" spans="1:10" x14ac:dyDescent="0.25">
      <c r="A1603" t="s">
        <v>22</v>
      </c>
      <c r="B1603" t="s">
        <v>19</v>
      </c>
      <c r="C1603" t="s">
        <v>12</v>
      </c>
      <c r="D1603" t="s">
        <v>16</v>
      </c>
      <c r="E1603">
        <v>0</v>
      </c>
      <c r="F1603">
        <v>0.75</v>
      </c>
      <c r="G1603">
        <v>3.9911031723022398E-2</v>
      </c>
      <c r="H1603">
        <v>0</v>
      </c>
      <c r="I1603">
        <v>0</v>
      </c>
      <c r="J1603">
        <v>30</v>
      </c>
    </row>
    <row r="1604" spans="1:10" x14ac:dyDescent="0.25">
      <c r="A1604" t="s">
        <v>22</v>
      </c>
      <c r="B1604" t="s">
        <v>19</v>
      </c>
      <c r="C1604" t="s">
        <v>12</v>
      </c>
      <c r="D1604" t="s">
        <v>16</v>
      </c>
      <c r="E1604">
        <v>0</v>
      </c>
      <c r="F1604">
        <v>0.75</v>
      </c>
      <c r="G1604">
        <v>4.0911674499511698E-2</v>
      </c>
      <c r="H1604">
        <v>0</v>
      </c>
      <c r="I1604">
        <v>0</v>
      </c>
      <c r="J1604">
        <v>30</v>
      </c>
    </row>
    <row r="1605" spans="1:10" x14ac:dyDescent="0.25">
      <c r="A1605" t="s">
        <v>22</v>
      </c>
      <c r="B1605" t="s">
        <v>19</v>
      </c>
      <c r="C1605" t="s">
        <v>12</v>
      </c>
      <c r="D1605" t="s">
        <v>16</v>
      </c>
      <c r="E1605">
        <v>0</v>
      </c>
      <c r="F1605">
        <v>0.75</v>
      </c>
      <c r="G1605">
        <v>3.9911031723022398E-2</v>
      </c>
      <c r="H1605">
        <v>0</v>
      </c>
      <c r="I1605">
        <v>0</v>
      </c>
      <c r="J1605">
        <v>30</v>
      </c>
    </row>
    <row r="1606" spans="1:10" x14ac:dyDescent="0.25">
      <c r="A1606" t="s">
        <v>22</v>
      </c>
      <c r="B1606" t="s">
        <v>19</v>
      </c>
      <c r="C1606" t="s">
        <v>12</v>
      </c>
      <c r="D1606" t="s">
        <v>16</v>
      </c>
      <c r="E1606">
        <v>0</v>
      </c>
      <c r="F1606">
        <v>0.75</v>
      </c>
      <c r="G1606">
        <v>3.9911031723022398E-2</v>
      </c>
      <c r="H1606">
        <v>0</v>
      </c>
      <c r="I1606">
        <v>0</v>
      </c>
      <c r="J1606">
        <v>30</v>
      </c>
    </row>
    <row r="1607" spans="1:10" x14ac:dyDescent="0.25">
      <c r="A1607" t="s">
        <v>22</v>
      </c>
      <c r="B1607" t="s">
        <v>19</v>
      </c>
      <c r="C1607" t="s">
        <v>12</v>
      </c>
      <c r="D1607" t="s">
        <v>16</v>
      </c>
      <c r="E1607">
        <v>0</v>
      </c>
      <c r="F1607">
        <v>0.75</v>
      </c>
      <c r="G1607">
        <v>3.9911031723022398E-2</v>
      </c>
      <c r="H1607">
        <v>0</v>
      </c>
      <c r="I1607">
        <v>0</v>
      </c>
      <c r="J1607">
        <v>30</v>
      </c>
    </row>
    <row r="1608" spans="1:10" x14ac:dyDescent="0.25">
      <c r="A1608" t="s">
        <v>22</v>
      </c>
      <c r="B1608" t="s">
        <v>19</v>
      </c>
      <c r="C1608" t="s">
        <v>12</v>
      </c>
      <c r="D1608" t="s">
        <v>16</v>
      </c>
      <c r="E1608">
        <v>0</v>
      </c>
      <c r="F1608">
        <v>0.75</v>
      </c>
      <c r="G1608">
        <v>3.9911031723022398E-2</v>
      </c>
      <c r="H1608">
        <v>0</v>
      </c>
      <c r="I1608">
        <v>0</v>
      </c>
      <c r="J1608">
        <v>30</v>
      </c>
    </row>
    <row r="1609" spans="1:10" x14ac:dyDescent="0.25">
      <c r="A1609" t="s">
        <v>22</v>
      </c>
      <c r="B1609" t="s">
        <v>19</v>
      </c>
      <c r="C1609" t="s">
        <v>12</v>
      </c>
      <c r="D1609" t="s">
        <v>16</v>
      </c>
      <c r="E1609">
        <v>0</v>
      </c>
      <c r="F1609">
        <v>0.75</v>
      </c>
      <c r="G1609">
        <v>2.9154062271118102E-2</v>
      </c>
      <c r="H1609">
        <v>0</v>
      </c>
      <c r="I1609">
        <v>0</v>
      </c>
      <c r="J1609">
        <v>30</v>
      </c>
    </row>
    <row r="1610" spans="1:10" x14ac:dyDescent="0.25">
      <c r="A1610" t="s">
        <v>22</v>
      </c>
      <c r="B1610" t="s">
        <v>19</v>
      </c>
      <c r="C1610" t="s">
        <v>12</v>
      </c>
      <c r="D1610" t="s">
        <v>16</v>
      </c>
      <c r="E1610">
        <v>0</v>
      </c>
      <c r="F1610">
        <v>0.75</v>
      </c>
      <c r="G1610">
        <v>3.9911031723022398E-2</v>
      </c>
      <c r="H1610">
        <v>0</v>
      </c>
      <c r="I1610">
        <v>0</v>
      </c>
      <c r="J1610">
        <v>30</v>
      </c>
    </row>
    <row r="1611" spans="1:10" x14ac:dyDescent="0.25">
      <c r="A1611" t="s">
        <v>22</v>
      </c>
      <c r="B1611" t="s">
        <v>19</v>
      </c>
      <c r="C1611" t="s">
        <v>12</v>
      </c>
      <c r="D1611" t="s">
        <v>16</v>
      </c>
      <c r="E1611">
        <v>0</v>
      </c>
      <c r="F1611">
        <v>0.75</v>
      </c>
      <c r="G1611">
        <v>2.8147935867309501E-2</v>
      </c>
      <c r="H1611">
        <v>0</v>
      </c>
      <c r="I1611">
        <v>0</v>
      </c>
      <c r="J1611">
        <v>30</v>
      </c>
    </row>
    <row r="1612" spans="1:10" x14ac:dyDescent="0.25">
      <c r="A1612" t="s">
        <v>22</v>
      </c>
      <c r="B1612" t="s">
        <v>19</v>
      </c>
      <c r="C1612" t="s">
        <v>12</v>
      </c>
      <c r="D1612" t="s">
        <v>16</v>
      </c>
      <c r="E1612">
        <v>0</v>
      </c>
      <c r="F1612">
        <v>0.75</v>
      </c>
      <c r="G1612">
        <v>3.9911031723022398E-2</v>
      </c>
      <c r="H1612">
        <v>0</v>
      </c>
      <c r="I1612">
        <v>0</v>
      </c>
      <c r="J1612">
        <v>30</v>
      </c>
    </row>
    <row r="1613" spans="1:10" x14ac:dyDescent="0.25">
      <c r="A1613" t="s">
        <v>22</v>
      </c>
      <c r="B1613" t="s">
        <v>19</v>
      </c>
      <c r="C1613" t="s">
        <v>12</v>
      </c>
      <c r="D1613" t="s">
        <v>16</v>
      </c>
      <c r="E1613">
        <v>0</v>
      </c>
      <c r="F1613">
        <v>0.75</v>
      </c>
      <c r="G1613">
        <v>3.9911031723022398E-2</v>
      </c>
      <c r="H1613">
        <v>0</v>
      </c>
      <c r="I1613">
        <v>0</v>
      </c>
      <c r="J1613">
        <v>30</v>
      </c>
    </row>
    <row r="1614" spans="1:10" x14ac:dyDescent="0.25">
      <c r="A1614" t="s">
        <v>22</v>
      </c>
      <c r="B1614" t="s">
        <v>19</v>
      </c>
      <c r="C1614" t="s">
        <v>12</v>
      </c>
      <c r="D1614" t="s">
        <v>16</v>
      </c>
      <c r="E1614">
        <v>0</v>
      </c>
      <c r="F1614">
        <v>0.75</v>
      </c>
      <c r="G1614">
        <v>3.9911031723022398E-2</v>
      </c>
      <c r="H1614">
        <v>0</v>
      </c>
      <c r="I1614">
        <v>0</v>
      </c>
      <c r="J1614">
        <v>30</v>
      </c>
    </row>
    <row r="1615" spans="1:10" x14ac:dyDescent="0.25">
      <c r="A1615" t="s">
        <v>22</v>
      </c>
      <c r="B1615" t="s">
        <v>19</v>
      </c>
      <c r="C1615" t="s">
        <v>12</v>
      </c>
      <c r="D1615" t="s">
        <v>16</v>
      </c>
      <c r="E1615">
        <v>0</v>
      </c>
      <c r="F1615">
        <v>0.75</v>
      </c>
      <c r="G1615">
        <v>3.9911031723022398E-2</v>
      </c>
      <c r="H1615">
        <v>0</v>
      </c>
      <c r="I1615">
        <v>0</v>
      </c>
      <c r="J1615">
        <v>30</v>
      </c>
    </row>
    <row r="1616" spans="1:10" x14ac:dyDescent="0.25">
      <c r="A1616" t="s">
        <v>22</v>
      </c>
      <c r="B1616" t="s">
        <v>19</v>
      </c>
      <c r="C1616" t="s">
        <v>12</v>
      </c>
      <c r="D1616" t="s">
        <v>16</v>
      </c>
      <c r="E1616">
        <v>0</v>
      </c>
      <c r="F1616">
        <v>0.75</v>
      </c>
      <c r="G1616">
        <v>4.1556119918823201E-2</v>
      </c>
      <c r="H1616">
        <v>0</v>
      </c>
      <c r="I1616">
        <v>0</v>
      </c>
      <c r="J1616">
        <v>30</v>
      </c>
    </row>
    <row r="1617" spans="1:10" x14ac:dyDescent="0.25">
      <c r="A1617" t="s">
        <v>22</v>
      </c>
      <c r="B1617" t="s">
        <v>19</v>
      </c>
      <c r="C1617" t="s">
        <v>12</v>
      </c>
      <c r="D1617" t="s">
        <v>16</v>
      </c>
      <c r="E1617">
        <v>0</v>
      </c>
      <c r="F1617">
        <v>0.75</v>
      </c>
      <c r="G1617">
        <v>3.9911031723022398E-2</v>
      </c>
      <c r="H1617">
        <v>0</v>
      </c>
      <c r="I1617">
        <v>0</v>
      </c>
      <c r="J1617">
        <v>30</v>
      </c>
    </row>
    <row r="1618" spans="1:10" x14ac:dyDescent="0.25">
      <c r="A1618" t="s">
        <v>22</v>
      </c>
      <c r="B1618" t="s">
        <v>19</v>
      </c>
      <c r="C1618" t="s">
        <v>12</v>
      </c>
      <c r="D1618" t="s">
        <v>16</v>
      </c>
      <c r="E1618">
        <v>0</v>
      </c>
      <c r="F1618">
        <v>0.75</v>
      </c>
      <c r="G1618">
        <v>3.9911031723022398E-2</v>
      </c>
      <c r="H1618">
        <v>0</v>
      </c>
      <c r="I1618">
        <v>0</v>
      </c>
      <c r="J1618">
        <v>30</v>
      </c>
    </row>
    <row r="1619" spans="1:10" x14ac:dyDescent="0.25">
      <c r="A1619" t="s">
        <v>22</v>
      </c>
      <c r="B1619" t="s">
        <v>19</v>
      </c>
      <c r="C1619" t="s">
        <v>12</v>
      </c>
      <c r="D1619" t="s">
        <v>16</v>
      </c>
      <c r="E1619">
        <v>0</v>
      </c>
      <c r="F1619">
        <v>0.75</v>
      </c>
      <c r="G1619">
        <v>4.0911674499511698E-2</v>
      </c>
      <c r="H1619">
        <v>0</v>
      </c>
      <c r="I1619">
        <v>0</v>
      </c>
      <c r="J1619">
        <v>30</v>
      </c>
    </row>
    <row r="1620" spans="1:10" x14ac:dyDescent="0.25">
      <c r="A1620" t="s">
        <v>22</v>
      </c>
      <c r="B1620" t="s">
        <v>19</v>
      </c>
      <c r="C1620" t="s">
        <v>12</v>
      </c>
      <c r="D1620" t="s">
        <v>16</v>
      </c>
      <c r="E1620">
        <v>0</v>
      </c>
      <c r="F1620">
        <v>0.75</v>
      </c>
      <c r="G1620">
        <v>3.5655021667480399E-2</v>
      </c>
      <c r="H1620">
        <v>0</v>
      </c>
      <c r="I1620">
        <v>0</v>
      </c>
      <c r="J1620">
        <v>30</v>
      </c>
    </row>
    <row r="1621" spans="1:10" x14ac:dyDescent="0.25">
      <c r="A1621" t="s">
        <v>22</v>
      </c>
      <c r="B1621" t="s">
        <v>19</v>
      </c>
      <c r="C1621" t="s">
        <v>12</v>
      </c>
      <c r="D1621" t="s">
        <v>16</v>
      </c>
      <c r="E1621">
        <v>0</v>
      </c>
      <c r="F1621">
        <v>0.75</v>
      </c>
      <c r="G1621">
        <v>3.9911031723022398E-2</v>
      </c>
      <c r="H1621">
        <v>0</v>
      </c>
      <c r="I1621">
        <v>0</v>
      </c>
      <c r="J1621">
        <v>30</v>
      </c>
    </row>
    <row r="1622" spans="1:10" x14ac:dyDescent="0.25">
      <c r="A1622" t="s">
        <v>22</v>
      </c>
      <c r="B1622" t="s">
        <v>19</v>
      </c>
      <c r="C1622" t="s">
        <v>12</v>
      </c>
      <c r="D1622" t="s">
        <v>17</v>
      </c>
      <c r="E1622">
        <v>0</v>
      </c>
      <c r="F1622">
        <v>0.75</v>
      </c>
      <c r="G1622">
        <v>0.152375698089599</v>
      </c>
      <c r="H1622">
        <v>0</v>
      </c>
      <c r="I1622">
        <v>0</v>
      </c>
      <c r="J1622">
        <v>30</v>
      </c>
    </row>
    <row r="1623" spans="1:10" x14ac:dyDescent="0.25">
      <c r="A1623" t="s">
        <v>22</v>
      </c>
      <c r="B1623" t="s">
        <v>19</v>
      </c>
      <c r="C1623" t="s">
        <v>12</v>
      </c>
      <c r="D1623" t="s">
        <v>17</v>
      </c>
      <c r="E1623">
        <v>0</v>
      </c>
      <c r="F1623">
        <v>0.75</v>
      </c>
      <c r="G1623">
        <v>0.162801504135131</v>
      </c>
      <c r="H1623">
        <v>0</v>
      </c>
      <c r="I1623">
        <v>0</v>
      </c>
      <c r="J1623">
        <v>30</v>
      </c>
    </row>
    <row r="1624" spans="1:10" x14ac:dyDescent="0.25">
      <c r="A1624" t="s">
        <v>22</v>
      </c>
      <c r="B1624" t="s">
        <v>19</v>
      </c>
      <c r="C1624" t="s">
        <v>12</v>
      </c>
      <c r="D1624" t="s">
        <v>17</v>
      </c>
      <c r="E1624">
        <v>0</v>
      </c>
      <c r="F1624">
        <v>0.75</v>
      </c>
      <c r="G1624">
        <v>0.256067514419555</v>
      </c>
      <c r="H1624">
        <v>0</v>
      </c>
      <c r="I1624">
        <v>0</v>
      </c>
      <c r="J1624">
        <v>30</v>
      </c>
    </row>
    <row r="1625" spans="1:10" x14ac:dyDescent="0.25">
      <c r="A1625" t="s">
        <v>22</v>
      </c>
      <c r="B1625" t="s">
        <v>19</v>
      </c>
      <c r="C1625" t="s">
        <v>12</v>
      </c>
      <c r="D1625" t="s">
        <v>17</v>
      </c>
      <c r="E1625">
        <v>0</v>
      </c>
      <c r="F1625">
        <v>0.75</v>
      </c>
      <c r="G1625">
        <v>0.30878591537475503</v>
      </c>
      <c r="H1625">
        <v>1</v>
      </c>
      <c r="I1625">
        <v>3</v>
      </c>
      <c r="J1625">
        <v>30</v>
      </c>
    </row>
    <row r="1626" spans="1:10" x14ac:dyDescent="0.25">
      <c r="A1626" t="s">
        <v>22</v>
      </c>
      <c r="B1626" t="s">
        <v>19</v>
      </c>
      <c r="C1626" t="s">
        <v>12</v>
      </c>
      <c r="D1626" t="s">
        <v>17</v>
      </c>
      <c r="E1626">
        <v>0</v>
      </c>
      <c r="F1626">
        <v>0.75</v>
      </c>
      <c r="G1626">
        <v>0.36295413970947199</v>
      </c>
      <c r="H1626">
        <v>0</v>
      </c>
      <c r="I1626">
        <v>0</v>
      </c>
      <c r="J1626">
        <v>30</v>
      </c>
    </row>
    <row r="1627" spans="1:10" x14ac:dyDescent="0.25">
      <c r="A1627" t="s">
        <v>22</v>
      </c>
      <c r="B1627" t="s">
        <v>19</v>
      </c>
      <c r="C1627" t="s">
        <v>12</v>
      </c>
      <c r="D1627" t="s">
        <v>17</v>
      </c>
      <c r="E1627">
        <v>0</v>
      </c>
      <c r="F1627">
        <v>0.75</v>
      </c>
      <c r="G1627">
        <v>0.37849235534667902</v>
      </c>
      <c r="H1627">
        <v>0</v>
      </c>
      <c r="I1627">
        <v>0</v>
      </c>
      <c r="J1627">
        <v>30</v>
      </c>
    </row>
    <row r="1628" spans="1:10" x14ac:dyDescent="0.25">
      <c r="A1628" t="s">
        <v>22</v>
      </c>
      <c r="B1628" t="s">
        <v>19</v>
      </c>
      <c r="C1628" t="s">
        <v>12</v>
      </c>
      <c r="D1628" t="s">
        <v>17</v>
      </c>
      <c r="E1628">
        <v>0</v>
      </c>
      <c r="F1628">
        <v>0.75</v>
      </c>
      <c r="G1628">
        <v>0.50424146652221602</v>
      </c>
      <c r="H1628">
        <v>0</v>
      </c>
      <c r="I1628">
        <v>0</v>
      </c>
      <c r="J1628">
        <v>30</v>
      </c>
    </row>
    <row r="1629" spans="1:10" x14ac:dyDescent="0.25">
      <c r="A1629" t="s">
        <v>22</v>
      </c>
      <c r="B1629" t="s">
        <v>19</v>
      </c>
      <c r="C1629" t="s">
        <v>12</v>
      </c>
      <c r="D1629" t="s">
        <v>17</v>
      </c>
      <c r="E1629">
        <v>0</v>
      </c>
      <c r="F1629">
        <v>0.75</v>
      </c>
      <c r="G1629">
        <v>0.53066778182983398</v>
      </c>
      <c r="H1629">
        <v>1</v>
      </c>
      <c r="I1629">
        <v>3</v>
      </c>
      <c r="J1629">
        <v>30</v>
      </c>
    </row>
    <row r="1630" spans="1:10" x14ac:dyDescent="0.25">
      <c r="A1630" t="s">
        <v>22</v>
      </c>
      <c r="B1630" t="s">
        <v>19</v>
      </c>
      <c r="C1630" t="s">
        <v>12</v>
      </c>
      <c r="D1630" t="s">
        <v>17</v>
      </c>
      <c r="E1630">
        <v>0</v>
      </c>
      <c r="F1630">
        <v>0.75</v>
      </c>
      <c r="G1630">
        <v>0.55811786651611295</v>
      </c>
      <c r="H1630">
        <v>1</v>
      </c>
      <c r="I1630">
        <v>5</v>
      </c>
      <c r="J1630">
        <v>30</v>
      </c>
    </row>
    <row r="1631" spans="1:10" x14ac:dyDescent="0.25">
      <c r="A1631" t="s">
        <v>22</v>
      </c>
      <c r="B1631" t="s">
        <v>19</v>
      </c>
      <c r="C1631" t="s">
        <v>12</v>
      </c>
      <c r="D1631" t="s">
        <v>17</v>
      </c>
      <c r="E1631">
        <v>0</v>
      </c>
      <c r="F1631">
        <v>0.75</v>
      </c>
      <c r="G1631">
        <v>0.58425140380859297</v>
      </c>
      <c r="H1631">
        <v>0</v>
      </c>
      <c r="I1631">
        <v>0</v>
      </c>
      <c r="J1631">
        <v>30</v>
      </c>
    </row>
    <row r="1632" spans="1:10" x14ac:dyDescent="0.25">
      <c r="A1632" t="s">
        <v>22</v>
      </c>
      <c r="B1632" t="s">
        <v>19</v>
      </c>
      <c r="C1632" t="s">
        <v>12</v>
      </c>
      <c r="D1632" t="s">
        <v>17</v>
      </c>
      <c r="E1632">
        <v>0</v>
      </c>
      <c r="F1632">
        <v>0.75</v>
      </c>
      <c r="G1632">
        <v>0.59676432609558105</v>
      </c>
      <c r="H1632">
        <v>0</v>
      </c>
      <c r="I1632">
        <v>0</v>
      </c>
      <c r="J1632">
        <v>30</v>
      </c>
    </row>
    <row r="1633" spans="1:10" x14ac:dyDescent="0.25">
      <c r="A1633" t="s">
        <v>22</v>
      </c>
      <c r="B1633" t="s">
        <v>19</v>
      </c>
      <c r="C1633" t="s">
        <v>12</v>
      </c>
      <c r="D1633" t="s">
        <v>17</v>
      </c>
      <c r="E1633">
        <v>0</v>
      </c>
      <c r="F1633">
        <v>0.75</v>
      </c>
      <c r="G1633">
        <v>0.63536858558654696</v>
      </c>
      <c r="H1633">
        <v>1</v>
      </c>
      <c r="I1633">
        <v>5</v>
      </c>
      <c r="J1633">
        <v>30</v>
      </c>
    </row>
    <row r="1634" spans="1:10" x14ac:dyDescent="0.25">
      <c r="A1634" t="s">
        <v>22</v>
      </c>
      <c r="B1634" t="s">
        <v>19</v>
      </c>
      <c r="C1634" t="s">
        <v>12</v>
      </c>
      <c r="D1634" t="s">
        <v>17</v>
      </c>
      <c r="E1634">
        <v>0</v>
      </c>
      <c r="F1634">
        <v>0.75</v>
      </c>
      <c r="G1634">
        <v>0.62726044654846103</v>
      </c>
      <c r="H1634">
        <v>1</v>
      </c>
      <c r="I1634">
        <v>3</v>
      </c>
      <c r="J1634">
        <v>30</v>
      </c>
    </row>
    <row r="1635" spans="1:10" x14ac:dyDescent="0.25">
      <c r="A1635" t="s">
        <v>22</v>
      </c>
      <c r="B1635" t="s">
        <v>19</v>
      </c>
      <c r="C1635" t="s">
        <v>12</v>
      </c>
      <c r="D1635" t="s">
        <v>17</v>
      </c>
      <c r="E1635">
        <v>0</v>
      </c>
      <c r="F1635">
        <v>0.75</v>
      </c>
      <c r="G1635">
        <v>0.63742327690124501</v>
      </c>
      <c r="H1635">
        <v>0</v>
      </c>
      <c r="I1635">
        <v>0</v>
      </c>
      <c r="J1635">
        <v>30</v>
      </c>
    </row>
    <row r="1636" spans="1:10" x14ac:dyDescent="0.25">
      <c r="A1636" t="s">
        <v>22</v>
      </c>
      <c r="B1636" t="s">
        <v>19</v>
      </c>
      <c r="C1636" t="s">
        <v>12</v>
      </c>
      <c r="D1636" t="s">
        <v>17</v>
      </c>
      <c r="E1636">
        <v>0</v>
      </c>
      <c r="F1636">
        <v>0.75</v>
      </c>
      <c r="G1636">
        <v>0.64132261276245095</v>
      </c>
      <c r="H1636">
        <v>1</v>
      </c>
      <c r="I1636">
        <v>5</v>
      </c>
      <c r="J1636">
        <v>30</v>
      </c>
    </row>
    <row r="1637" spans="1:10" x14ac:dyDescent="0.25">
      <c r="A1637" t="s">
        <v>22</v>
      </c>
      <c r="B1637" t="s">
        <v>19</v>
      </c>
      <c r="C1637" t="s">
        <v>12</v>
      </c>
      <c r="D1637" t="s">
        <v>17</v>
      </c>
      <c r="E1637">
        <v>0</v>
      </c>
      <c r="F1637">
        <v>0.75</v>
      </c>
      <c r="G1637">
        <v>0.68899130821228005</v>
      </c>
      <c r="H1637">
        <v>1</v>
      </c>
      <c r="I1637">
        <v>3</v>
      </c>
      <c r="J1637">
        <v>30</v>
      </c>
    </row>
    <row r="1638" spans="1:10" x14ac:dyDescent="0.25">
      <c r="A1638" t="s">
        <v>22</v>
      </c>
      <c r="B1638" t="s">
        <v>19</v>
      </c>
      <c r="C1638" t="s">
        <v>12</v>
      </c>
      <c r="D1638" t="s">
        <v>17</v>
      </c>
      <c r="E1638">
        <v>0</v>
      </c>
      <c r="F1638">
        <v>0.75</v>
      </c>
      <c r="G1638">
        <v>0.68899130821228005</v>
      </c>
      <c r="H1638">
        <v>0</v>
      </c>
      <c r="I1638">
        <v>0</v>
      </c>
      <c r="J1638">
        <v>30</v>
      </c>
    </row>
    <row r="1639" spans="1:10" x14ac:dyDescent="0.25">
      <c r="A1639" t="s">
        <v>22</v>
      </c>
      <c r="B1639" t="s">
        <v>19</v>
      </c>
      <c r="C1639" t="s">
        <v>12</v>
      </c>
      <c r="D1639" t="s">
        <v>17</v>
      </c>
      <c r="E1639">
        <v>0</v>
      </c>
      <c r="F1639">
        <v>0.75</v>
      </c>
      <c r="G1639">
        <v>0.85520052909850997</v>
      </c>
      <c r="H1639">
        <v>1</v>
      </c>
      <c r="I1639">
        <v>3</v>
      </c>
      <c r="J1639">
        <v>30</v>
      </c>
    </row>
    <row r="1640" spans="1:10" x14ac:dyDescent="0.25">
      <c r="A1640" t="s">
        <v>22</v>
      </c>
      <c r="B1640" t="s">
        <v>19</v>
      </c>
      <c r="C1640" t="s">
        <v>12</v>
      </c>
      <c r="D1640" t="s">
        <v>17</v>
      </c>
      <c r="E1640">
        <v>0</v>
      </c>
      <c r="F1640">
        <v>0.75</v>
      </c>
      <c r="G1640">
        <v>0.86090731620788497</v>
      </c>
      <c r="H1640">
        <v>1</v>
      </c>
      <c r="I1640">
        <v>3</v>
      </c>
      <c r="J1640">
        <v>30</v>
      </c>
    </row>
    <row r="1641" spans="1:10" x14ac:dyDescent="0.25">
      <c r="A1641" t="s">
        <v>22</v>
      </c>
      <c r="B1641" t="s">
        <v>19</v>
      </c>
      <c r="C1641" t="s">
        <v>12</v>
      </c>
      <c r="D1641" t="s">
        <v>17</v>
      </c>
      <c r="E1641">
        <v>0</v>
      </c>
      <c r="F1641">
        <v>0.75</v>
      </c>
      <c r="G1641">
        <v>0.93396925926208496</v>
      </c>
      <c r="H1641">
        <v>1</v>
      </c>
      <c r="I1641">
        <v>3</v>
      </c>
      <c r="J1641">
        <v>30</v>
      </c>
    </row>
    <row r="1642" spans="1:10" x14ac:dyDescent="0.25">
      <c r="A1642" t="s">
        <v>22</v>
      </c>
      <c r="B1642" t="s">
        <v>19</v>
      </c>
      <c r="C1642" t="s">
        <v>12</v>
      </c>
      <c r="D1642" t="s">
        <v>17</v>
      </c>
      <c r="E1642">
        <v>0</v>
      </c>
      <c r="F1642">
        <v>0.75</v>
      </c>
      <c r="G1642">
        <v>0.94766664505004805</v>
      </c>
      <c r="H1642">
        <v>1</v>
      </c>
      <c r="I1642">
        <v>3</v>
      </c>
      <c r="J1642">
        <v>30</v>
      </c>
    </row>
    <row r="1643" spans="1:10" x14ac:dyDescent="0.25">
      <c r="A1643" t="s">
        <v>22</v>
      </c>
      <c r="B1643" t="s">
        <v>19</v>
      </c>
      <c r="C1643" t="s">
        <v>12</v>
      </c>
      <c r="D1643" t="s">
        <v>17</v>
      </c>
      <c r="E1643">
        <v>5.8823529411764698E-2</v>
      </c>
      <c r="F1643">
        <v>0.74456330109705804</v>
      </c>
      <c r="G1643">
        <v>1.41022825241088</v>
      </c>
      <c r="H1643">
        <v>14</v>
      </c>
      <c r="I1643">
        <v>27</v>
      </c>
      <c r="J1643">
        <v>30</v>
      </c>
    </row>
    <row r="1644" spans="1:10" x14ac:dyDescent="0.25">
      <c r="A1644" t="s">
        <v>22</v>
      </c>
      <c r="B1644" t="s">
        <v>19</v>
      </c>
      <c r="C1644" t="s">
        <v>12</v>
      </c>
      <c r="D1644" t="s">
        <v>17</v>
      </c>
      <c r="E1644">
        <v>0.220588235294117</v>
      </c>
      <c r="F1644">
        <v>0.76603094042205799</v>
      </c>
      <c r="G1644">
        <v>1.56000924110412</v>
      </c>
      <c r="H1644">
        <v>13</v>
      </c>
      <c r="I1644">
        <v>20</v>
      </c>
      <c r="J1644">
        <v>30</v>
      </c>
    </row>
    <row r="1645" spans="1:10" x14ac:dyDescent="0.25">
      <c r="A1645" t="s">
        <v>22</v>
      </c>
      <c r="B1645" t="s">
        <v>19</v>
      </c>
      <c r="C1645" t="s">
        <v>12</v>
      </c>
      <c r="D1645" t="s">
        <v>17</v>
      </c>
      <c r="E1645">
        <v>5.8823529411764698E-2</v>
      </c>
      <c r="F1645">
        <v>0.75193053082794103</v>
      </c>
      <c r="G1645">
        <v>1.9013414382934499</v>
      </c>
      <c r="H1645">
        <v>13</v>
      </c>
      <c r="I1645">
        <v>26</v>
      </c>
      <c r="J1645">
        <v>30</v>
      </c>
    </row>
    <row r="1646" spans="1:10" x14ac:dyDescent="0.25">
      <c r="A1646" t="s">
        <v>22</v>
      </c>
      <c r="B1646" t="s">
        <v>19</v>
      </c>
      <c r="C1646" t="s">
        <v>12</v>
      </c>
      <c r="D1646" t="s">
        <v>17</v>
      </c>
      <c r="E1646">
        <v>0.10294117647058799</v>
      </c>
      <c r="F1646">
        <v>0.74495490728235203</v>
      </c>
      <c r="G1646">
        <v>1.90608239173889</v>
      </c>
      <c r="H1646">
        <v>21</v>
      </c>
      <c r="I1646">
        <v>35</v>
      </c>
      <c r="J1646">
        <v>30</v>
      </c>
    </row>
    <row r="1647" spans="1:10" x14ac:dyDescent="0.25">
      <c r="A1647" t="s">
        <v>22</v>
      </c>
      <c r="B1647" t="s">
        <v>19</v>
      </c>
      <c r="C1647" t="s">
        <v>12</v>
      </c>
      <c r="D1647" t="s">
        <v>17</v>
      </c>
      <c r="E1647">
        <v>0.39705882352941102</v>
      </c>
      <c r="F1647">
        <v>0.77907308634558803</v>
      </c>
      <c r="G1647">
        <v>2.26435327529907</v>
      </c>
      <c r="H1647">
        <v>35</v>
      </c>
      <c r="I1647">
        <v>54</v>
      </c>
      <c r="J1647">
        <v>30</v>
      </c>
    </row>
    <row r="1648" spans="1:10" x14ac:dyDescent="0.25">
      <c r="A1648" t="s">
        <v>22</v>
      </c>
      <c r="B1648" t="s">
        <v>19</v>
      </c>
      <c r="C1648" t="s">
        <v>12</v>
      </c>
      <c r="D1648" t="s">
        <v>17</v>
      </c>
      <c r="E1648">
        <v>0.16176470588235201</v>
      </c>
      <c r="F1648">
        <v>0.75820481061323497</v>
      </c>
      <c r="G1648">
        <v>2.3354427814483598</v>
      </c>
      <c r="H1648">
        <v>37</v>
      </c>
      <c r="I1648">
        <v>57</v>
      </c>
      <c r="J1648">
        <v>30</v>
      </c>
    </row>
    <row r="1649" spans="1:10" x14ac:dyDescent="0.25">
      <c r="A1649" t="s">
        <v>22</v>
      </c>
      <c r="B1649" t="s">
        <v>19</v>
      </c>
      <c r="C1649" t="s">
        <v>12</v>
      </c>
      <c r="D1649" t="s">
        <v>17</v>
      </c>
      <c r="E1649">
        <v>0.308823529411764</v>
      </c>
      <c r="F1649">
        <v>0.77978722210588203</v>
      </c>
      <c r="G1649">
        <v>2.68270516395568</v>
      </c>
      <c r="H1649">
        <v>34</v>
      </c>
      <c r="I1649">
        <v>55</v>
      </c>
      <c r="J1649">
        <v>30</v>
      </c>
    </row>
    <row r="1650" spans="1:10" x14ac:dyDescent="0.25">
      <c r="A1650" t="s">
        <v>22</v>
      </c>
      <c r="B1650" t="s">
        <v>19</v>
      </c>
      <c r="C1650" t="s">
        <v>12</v>
      </c>
      <c r="D1650" t="s">
        <v>17</v>
      </c>
      <c r="E1650">
        <v>0.57352941176470495</v>
      </c>
      <c r="F1650">
        <v>0.82381269904264698</v>
      </c>
      <c r="G1650">
        <v>2.7072911262512198</v>
      </c>
      <c r="H1650">
        <v>67</v>
      </c>
      <c r="I1650">
        <v>101</v>
      </c>
      <c r="J1650">
        <v>30</v>
      </c>
    </row>
    <row r="1651" spans="1:10" x14ac:dyDescent="0.25">
      <c r="A1651" t="s">
        <v>22</v>
      </c>
      <c r="B1651" t="s">
        <v>19</v>
      </c>
      <c r="C1651" t="s">
        <v>12</v>
      </c>
      <c r="D1651" t="s">
        <v>17</v>
      </c>
      <c r="E1651">
        <v>0.39705882352941102</v>
      </c>
      <c r="F1651">
        <v>0.77936280179411699</v>
      </c>
      <c r="G1651">
        <v>2.8461847305297798</v>
      </c>
      <c r="H1651">
        <v>59</v>
      </c>
      <c r="I1651">
        <v>88</v>
      </c>
      <c r="J1651">
        <v>30</v>
      </c>
    </row>
    <row r="1652" spans="1:10" x14ac:dyDescent="0.25">
      <c r="A1652" t="s">
        <v>22</v>
      </c>
      <c r="B1652" t="s">
        <v>19</v>
      </c>
      <c r="C1652" t="s">
        <v>18</v>
      </c>
      <c r="D1652" t="s">
        <v>13</v>
      </c>
      <c r="E1652">
        <v>0.82352941176470495</v>
      </c>
      <c r="F1652">
        <v>0.869156645473529</v>
      </c>
      <c r="G1652">
        <v>2.4577775001525799</v>
      </c>
      <c r="H1652">
        <v>20</v>
      </c>
      <c r="I1652">
        <v>24</v>
      </c>
      <c r="J1652">
        <v>30</v>
      </c>
    </row>
    <row r="1653" spans="1:10" x14ac:dyDescent="0.25">
      <c r="A1653" t="s">
        <v>22</v>
      </c>
      <c r="B1653" t="s">
        <v>19</v>
      </c>
      <c r="C1653" t="s">
        <v>18</v>
      </c>
      <c r="D1653" t="s">
        <v>13</v>
      </c>
      <c r="E1653">
        <v>0.91176470588235203</v>
      </c>
      <c r="F1653">
        <v>0.91413675208823497</v>
      </c>
      <c r="G1653">
        <v>2.5510349273681601</v>
      </c>
      <c r="H1653">
        <v>18</v>
      </c>
      <c r="I1653">
        <v>21</v>
      </c>
      <c r="J1653">
        <v>30</v>
      </c>
    </row>
    <row r="1654" spans="1:10" x14ac:dyDescent="0.25">
      <c r="A1654" t="s">
        <v>22</v>
      </c>
      <c r="B1654" t="s">
        <v>19</v>
      </c>
      <c r="C1654" t="s">
        <v>18</v>
      </c>
      <c r="D1654" t="s">
        <v>13</v>
      </c>
      <c r="E1654">
        <v>0.76470588235294101</v>
      </c>
      <c r="F1654">
        <v>0.84768640967205799</v>
      </c>
      <c r="G1654">
        <v>3.0734260082244802</v>
      </c>
      <c r="H1654">
        <v>19</v>
      </c>
      <c r="I1654">
        <v>22</v>
      </c>
      <c r="J1654">
        <v>30</v>
      </c>
    </row>
    <row r="1655" spans="1:10" x14ac:dyDescent="0.25">
      <c r="A1655" t="s">
        <v>22</v>
      </c>
      <c r="B1655" t="s">
        <v>19</v>
      </c>
      <c r="C1655" t="s">
        <v>18</v>
      </c>
      <c r="D1655" t="s">
        <v>13</v>
      </c>
      <c r="E1655">
        <v>0.76470588235294101</v>
      </c>
      <c r="F1655">
        <v>0.81722507461029403</v>
      </c>
      <c r="G1655">
        <v>3.4413034915924001</v>
      </c>
      <c r="H1655">
        <v>20</v>
      </c>
      <c r="I1655">
        <v>25</v>
      </c>
      <c r="J1655">
        <v>30</v>
      </c>
    </row>
    <row r="1656" spans="1:10" x14ac:dyDescent="0.25">
      <c r="A1656" t="s">
        <v>22</v>
      </c>
      <c r="B1656" t="s">
        <v>19</v>
      </c>
      <c r="C1656" t="s">
        <v>18</v>
      </c>
      <c r="D1656" t="s">
        <v>13</v>
      </c>
      <c r="E1656">
        <v>0.86764705882352899</v>
      </c>
      <c r="F1656">
        <v>0.88957476252205803</v>
      </c>
      <c r="G1656">
        <v>3.6669564247131299</v>
      </c>
      <c r="H1656">
        <v>24</v>
      </c>
      <c r="I1656">
        <v>27</v>
      </c>
      <c r="J1656">
        <v>30</v>
      </c>
    </row>
    <row r="1657" spans="1:10" x14ac:dyDescent="0.25">
      <c r="A1657" t="s">
        <v>22</v>
      </c>
      <c r="B1657" t="s">
        <v>19</v>
      </c>
      <c r="C1657" t="s">
        <v>18</v>
      </c>
      <c r="D1657" t="s">
        <v>13</v>
      </c>
      <c r="E1657">
        <v>0.75</v>
      </c>
      <c r="F1657">
        <v>0.83376026656470503</v>
      </c>
      <c r="G1657">
        <v>3.7080519199371298</v>
      </c>
      <c r="H1657">
        <v>24</v>
      </c>
      <c r="I1657">
        <v>31</v>
      </c>
      <c r="J1657">
        <v>30</v>
      </c>
    </row>
    <row r="1658" spans="1:10" x14ac:dyDescent="0.25">
      <c r="A1658" t="s">
        <v>22</v>
      </c>
      <c r="B1658" t="s">
        <v>19</v>
      </c>
      <c r="C1658" t="s">
        <v>18</v>
      </c>
      <c r="D1658" t="s">
        <v>13</v>
      </c>
      <c r="E1658">
        <v>0.82352941176470495</v>
      </c>
      <c r="F1658">
        <v>0.86383424261764696</v>
      </c>
      <c r="G1658">
        <v>3.7381966114044101</v>
      </c>
      <c r="H1658">
        <v>22</v>
      </c>
      <c r="I1658">
        <v>25</v>
      </c>
      <c r="J1658">
        <v>30</v>
      </c>
    </row>
    <row r="1659" spans="1:10" x14ac:dyDescent="0.25">
      <c r="A1659" t="s">
        <v>22</v>
      </c>
      <c r="B1659" t="s">
        <v>19</v>
      </c>
      <c r="C1659" t="s">
        <v>18</v>
      </c>
      <c r="D1659" t="s">
        <v>13</v>
      </c>
      <c r="E1659">
        <v>0.80882352941176405</v>
      </c>
      <c r="F1659">
        <v>0.86966594433382305</v>
      </c>
      <c r="G1659">
        <v>3.7590384483337398</v>
      </c>
      <c r="H1659">
        <v>18</v>
      </c>
      <c r="I1659">
        <v>24</v>
      </c>
      <c r="J1659">
        <v>30</v>
      </c>
    </row>
    <row r="1660" spans="1:10" x14ac:dyDescent="0.25">
      <c r="A1660" t="s">
        <v>22</v>
      </c>
      <c r="B1660" t="s">
        <v>19</v>
      </c>
      <c r="C1660" t="s">
        <v>18</v>
      </c>
      <c r="D1660" t="s">
        <v>13</v>
      </c>
      <c r="E1660">
        <v>0.75</v>
      </c>
      <c r="F1660">
        <v>0.809229278345588</v>
      </c>
      <c r="G1660">
        <v>3.9130697250366202</v>
      </c>
      <c r="H1660">
        <v>24</v>
      </c>
      <c r="I1660">
        <v>35</v>
      </c>
      <c r="J1660">
        <v>30</v>
      </c>
    </row>
    <row r="1661" spans="1:10" x14ac:dyDescent="0.25">
      <c r="A1661" t="s">
        <v>22</v>
      </c>
      <c r="B1661" t="s">
        <v>19</v>
      </c>
      <c r="C1661" t="s">
        <v>18</v>
      </c>
      <c r="D1661" t="s">
        <v>13</v>
      </c>
      <c r="E1661">
        <v>0.75</v>
      </c>
      <c r="F1661">
        <v>0.83348800835294101</v>
      </c>
      <c r="G1661">
        <v>3.9652352333068799</v>
      </c>
      <c r="H1661">
        <v>25</v>
      </c>
      <c r="I1661">
        <v>29</v>
      </c>
      <c r="J1661">
        <v>30</v>
      </c>
    </row>
    <row r="1662" spans="1:10" x14ac:dyDescent="0.25">
      <c r="A1662" t="s">
        <v>22</v>
      </c>
      <c r="B1662" t="s">
        <v>19</v>
      </c>
      <c r="C1662" t="s">
        <v>18</v>
      </c>
      <c r="D1662" t="s">
        <v>13</v>
      </c>
      <c r="E1662">
        <v>0.83823529411764697</v>
      </c>
      <c r="F1662">
        <v>0.87387422204411702</v>
      </c>
      <c r="G1662">
        <v>4.0279359817504803</v>
      </c>
      <c r="H1662">
        <v>21</v>
      </c>
      <c r="I1662">
        <v>25</v>
      </c>
      <c r="J1662">
        <v>30</v>
      </c>
    </row>
    <row r="1663" spans="1:10" x14ac:dyDescent="0.25">
      <c r="A1663" t="s">
        <v>22</v>
      </c>
      <c r="B1663" t="s">
        <v>19</v>
      </c>
      <c r="C1663" t="s">
        <v>18</v>
      </c>
      <c r="D1663" t="s">
        <v>13</v>
      </c>
      <c r="E1663">
        <v>0.79411764705882304</v>
      </c>
      <c r="F1663">
        <v>0.85496432819411705</v>
      </c>
      <c r="G1663">
        <v>4.0576817989349303</v>
      </c>
      <c r="H1663">
        <v>24</v>
      </c>
      <c r="I1663">
        <v>26</v>
      </c>
      <c r="J1663">
        <v>30</v>
      </c>
    </row>
    <row r="1664" spans="1:10" x14ac:dyDescent="0.25">
      <c r="A1664" t="s">
        <v>22</v>
      </c>
      <c r="B1664" t="s">
        <v>19</v>
      </c>
      <c r="C1664" t="s">
        <v>18</v>
      </c>
      <c r="D1664" t="s">
        <v>13</v>
      </c>
      <c r="E1664">
        <v>0.85294117647058798</v>
      </c>
      <c r="F1664">
        <v>0.89192280655441103</v>
      </c>
      <c r="G1664">
        <v>4.2637209892272896</v>
      </c>
      <c r="H1664">
        <v>17</v>
      </c>
      <c r="I1664">
        <v>23</v>
      </c>
      <c r="J1664">
        <v>30</v>
      </c>
    </row>
    <row r="1665" spans="1:10" x14ac:dyDescent="0.25">
      <c r="A1665" t="s">
        <v>22</v>
      </c>
      <c r="B1665" t="s">
        <v>19</v>
      </c>
      <c r="C1665" t="s">
        <v>18</v>
      </c>
      <c r="D1665" t="s">
        <v>13</v>
      </c>
      <c r="E1665">
        <v>0.77941176470588203</v>
      </c>
      <c r="F1665">
        <v>0.85139613784411705</v>
      </c>
      <c r="G1665">
        <v>4.2739675045013401</v>
      </c>
      <c r="H1665">
        <v>30</v>
      </c>
      <c r="I1665">
        <v>35</v>
      </c>
      <c r="J1665">
        <v>30</v>
      </c>
    </row>
    <row r="1666" spans="1:10" x14ac:dyDescent="0.25">
      <c r="A1666" t="s">
        <v>22</v>
      </c>
      <c r="B1666" t="s">
        <v>19</v>
      </c>
      <c r="C1666" t="s">
        <v>18</v>
      </c>
      <c r="D1666" t="s">
        <v>13</v>
      </c>
      <c r="E1666">
        <v>0.88235294117647001</v>
      </c>
      <c r="F1666">
        <v>0.90207454053235203</v>
      </c>
      <c r="G1666">
        <v>4.4072902202606201</v>
      </c>
      <c r="H1666">
        <v>21</v>
      </c>
      <c r="I1666">
        <v>24</v>
      </c>
      <c r="J1666">
        <v>30</v>
      </c>
    </row>
    <row r="1667" spans="1:10" x14ac:dyDescent="0.25">
      <c r="A1667" t="s">
        <v>22</v>
      </c>
      <c r="B1667" t="s">
        <v>19</v>
      </c>
      <c r="C1667" t="s">
        <v>18</v>
      </c>
      <c r="D1667" t="s">
        <v>13</v>
      </c>
      <c r="E1667">
        <v>0.76470588235294101</v>
      </c>
      <c r="F1667">
        <v>0.82394485984264598</v>
      </c>
      <c r="G1667">
        <v>4.4072902202606201</v>
      </c>
      <c r="H1667">
        <v>25</v>
      </c>
      <c r="I1667">
        <v>31</v>
      </c>
      <c r="J1667">
        <v>30</v>
      </c>
    </row>
    <row r="1668" spans="1:10" x14ac:dyDescent="0.25">
      <c r="A1668" t="s">
        <v>22</v>
      </c>
      <c r="B1668" t="s">
        <v>19</v>
      </c>
      <c r="C1668" t="s">
        <v>18</v>
      </c>
      <c r="D1668" t="s">
        <v>13</v>
      </c>
      <c r="E1668">
        <v>0.83823529411764697</v>
      </c>
      <c r="F1668">
        <v>0.87125272174558799</v>
      </c>
      <c r="G1668">
        <v>4.4187946319579998</v>
      </c>
      <c r="H1668">
        <v>25</v>
      </c>
      <c r="I1668">
        <v>38</v>
      </c>
      <c r="J1668">
        <v>30</v>
      </c>
    </row>
    <row r="1669" spans="1:10" x14ac:dyDescent="0.25">
      <c r="A1669" t="s">
        <v>22</v>
      </c>
      <c r="B1669" t="s">
        <v>19</v>
      </c>
      <c r="C1669" t="s">
        <v>18</v>
      </c>
      <c r="D1669" t="s">
        <v>13</v>
      </c>
      <c r="E1669">
        <v>0.82352941176470495</v>
      </c>
      <c r="F1669">
        <v>0.86976450390146998</v>
      </c>
      <c r="G1669">
        <v>4.4273834228515598</v>
      </c>
      <c r="H1669">
        <v>18</v>
      </c>
      <c r="I1669">
        <v>19</v>
      </c>
      <c r="J1669">
        <v>30</v>
      </c>
    </row>
    <row r="1670" spans="1:10" x14ac:dyDescent="0.25">
      <c r="A1670" t="s">
        <v>22</v>
      </c>
      <c r="B1670" t="s">
        <v>19</v>
      </c>
      <c r="C1670" t="s">
        <v>18</v>
      </c>
      <c r="D1670" t="s">
        <v>13</v>
      </c>
      <c r="E1670">
        <v>0.80882352941176405</v>
      </c>
      <c r="F1670">
        <v>0.85541179970882297</v>
      </c>
      <c r="G1670">
        <v>4.4750504493713299</v>
      </c>
      <c r="H1670">
        <v>27</v>
      </c>
      <c r="I1670">
        <v>35</v>
      </c>
      <c r="J1670">
        <v>30</v>
      </c>
    </row>
    <row r="1671" spans="1:10" x14ac:dyDescent="0.25">
      <c r="A1671" t="s">
        <v>22</v>
      </c>
      <c r="B1671" t="s">
        <v>19</v>
      </c>
      <c r="C1671" t="s">
        <v>18</v>
      </c>
      <c r="D1671" t="s">
        <v>13</v>
      </c>
      <c r="E1671">
        <v>0.76470588235294101</v>
      </c>
      <c r="F1671">
        <v>0.80352831062499996</v>
      </c>
      <c r="G1671">
        <v>4.4996325969696001</v>
      </c>
      <c r="H1671">
        <v>29</v>
      </c>
      <c r="I1671">
        <v>35</v>
      </c>
      <c r="J1671">
        <v>30</v>
      </c>
    </row>
    <row r="1672" spans="1:10" x14ac:dyDescent="0.25">
      <c r="A1672" t="s">
        <v>22</v>
      </c>
      <c r="B1672" t="s">
        <v>19</v>
      </c>
      <c r="C1672" t="s">
        <v>18</v>
      </c>
      <c r="D1672" t="s">
        <v>13</v>
      </c>
      <c r="E1672">
        <v>0.86764705882352899</v>
      </c>
      <c r="F1672">
        <v>0.90315004767058804</v>
      </c>
      <c r="G1672">
        <v>4.54231357574462</v>
      </c>
      <c r="H1672">
        <v>21</v>
      </c>
      <c r="I1672">
        <v>25</v>
      </c>
      <c r="J1672">
        <v>30</v>
      </c>
    </row>
    <row r="1673" spans="1:10" x14ac:dyDescent="0.25">
      <c r="A1673" t="s">
        <v>22</v>
      </c>
      <c r="B1673" t="s">
        <v>19</v>
      </c>
      <c r="C1673" t="s">
        <v>18</v>
      </c>
      <c r="D1673" t="s">
        <v>13</v>
      </c>
      <c r="E1673">
        <v>0.76470588235294101</v>
      </c>
      <c r="F1673">
        <v>0.83907108729705804</v>
      </c>
      <c r="G1673">
        <v>4.54231357574462</v>
      </c>
      <c r="H1673">
        <v>24</v>
      </c>
      <c r="I1673">
        <v>28</v>
      </c>
      <c r="J1673">
        <v>30</v>
      </c>
    </row>
    <row r="1674" spans="1:10" x14ac:dyDescent="0.25">
      <c r="A1674" t="s">
        <v>22</v>
      </c>
      <c r="B1674" t="s">
        <v>19</v>
      </c>
      <c r="C1674" t="s">
        <v>18</v>
      </c>
      <c r="D1674" t="s">
        <v>13</v>
      </c>
      <c r="E1674">
        <v>0.86764705882352899</v>
      </c>
      <c r="F1674">
        <v>0.89198051928676403</v>
      </c>
      <c r="G1674">
        <v>4.5616211891174299</v>
      </c>
      <c r="H1674">
        <v>18</v>
      </c>
      <c r="I1674">
        <v>21</v>
      </c>
      <c r="J1674">
        <v>30</v>
      </c>
    </row>
    <row r="1675" spans="1:10" x14ac:dyDescent="0.25">
      <c r="A1675" t="s">
        <v>22</v>
      </c>
      <c r="B1675" t="s">
        <v>19</v>
      </c>
      <c r="C1675" t="s">
        <v>18</v>
      </c>
      <c r="D1675" t="s">
        <v>13</v>
      </c>
      <c r="E1675">
        <v>0.86764705882352899</v>
      </c>
      <c r="F1675">
        <v>0.90603031743088203</v>
      </c>
      <c r="G1675">
        <v>4.5666463375091499</v>
      </c>
      <c r="H1675">
        <v>26</v>
      </c>
      <c r="I1675">
        <v>32</v>
      </c>
      <c r="J1675">
        <v>30</v>
      </c>
    </row>
    <row r="1676" spans="1:10" x14ac:dyDescent="0.25">
      <c r="A1676" t="s">
        <v>22</v>
      </c>
      <c r="B1676" t="s">
        <v>19</v>
      </c>
      <c r="C1676" t="s">
        <v>18</v>
      </c>
      <c r="D1676" t="s">
        <v>13</v>
      </c>
      <c r="E1676">
        <v>0.82352941176470495</v>
      </c>
      <c r="F1676">
        <v>0.87838564914558803</v>
      </c>
      <c r="G1676">
        <v>4.5932552814483598</v>
      </c>
      <c r="H1676">
        <v>18</v>
      </c>
      <c r="I1676">
        <v>22</v>
      </c>
      <c r="J1676">
        <v>30</v>
      </c>
    </row>
    <row r="1677" spans="1:10" x14ac:dyDescent="0.25">
      <c r="A1677" t="s">
        <v>22</v>
      </c>
      <c r="B1677" t="s">
        <v>19</v>
      </c>
      <c r="C1677" t="s">
        <v>18</v>
      </c>
      <c r="D1677" t="s">
        <v>13</v>
      </c>
      <c r="E1677">
        <v>0.86764705882352899</v>
      </c>
      <c r="F1677">
        <v>0.91090661031764697</v>
      </c>
      <c r="G1677">
        <v>4.6024680137634197</v>
      </c>
      <c r="H1677">
        <v>25</v>
      </c>
      <c r="I1677">
        <v>31</v>
      </c>
      <c r="J1677">
        <v>30</v>
      </c>
    </row>
    <row r="1678" spans="1:10" x14ac:dyDescent="0.25">
      <c r="A1678" t="s">
        <v>22</v>
      </c>
      <c r="B1678" t="s">
        <v>19</v>
      </c>
      <c r="C1678" t="s">
        <v>18</v>
      </c>
      <c r="D1678" t="s">
        <v>13</v>
      </c>
      <c r="E1678">
        <v>0.83823529411764697</v>
      </c>
      <c r="F1678">
        <v>0.88045913467058801</v>
      </c>
      <c r="G1678">
        <v>4.5825228691101003</v>
      </c>
      <c r="H1678">
        <v>26</v>
      </c>
      <c r="I1678">
        <v>37</v>
      </c>
      <c r="J1678">
        <v>30</v>
      </c>
    </row>
    <row r="1679" spans="1:10" x14ac:dyDescent="0.25">
      <c r="A1679" t="s">
        <v>22</v>
      </c>
      <c r="B1679" t="s">
        <v>19</v>
      </c>
      <c r="C1679" t="s">
        <v>18</v>
      </c>
      <c r="D1679" t="s">
        <v>13</v>
      </c>
      <c r="E1679">
        <v>0.76470588235294101</v>
      </c>
      <c r="F1679">
        <v>0.825051622191176</v>
      </c>
      <c r="G1679">
        <v>4.6022047996520996</v>
      </c>
      <c r="H1679">
        <v>20</v>
      </c>
      <c r="I1679">
        <v>28</v>
      </c>
      <c r="J1679">
        <v>30</v>
      </c>
    </row>
    <row r="1680" spans="1:10" x14ac:dyDescent="0.25">
      <c r="A1680" t="s">
        <v>22</v>
      </c>
      <c r="B1680" t="s">
        <v>19</v>
      </c>
      <c r="C1680" t="s">
        <v>18</v>
      </c>
      <c r="D1680" t="s">
        <v>13</v>
      </c>
      <c r="E1680">
        <v>0.89705882352941102</v>
      </c>
      <c r="F1680">
        <v>0.90081485779411696</v>
      </c>
      <c r="G1680">
        <v>4.64418244361877</v>
      </c>
      <c r="H1680">
        <v>20</v>
      </c>
      <c r="I1680">
        <v>19</v>
      </c>
      <c r="J1680">
        <v>30</v>
      </c>
    </row>
    <row r="1681" spans="1:10" x14ac:dyDescent="0.25">
      <c r="A1681" t="s">
        <v>22</v>
      </c>
      <c r="B1681" t="s">
        <v>19</v>
      </c>
      <c r="C1681" t="s">
        <v>18</v>
      </c>
      <c r="D1681" t="s">
        <v>13</v>
      </c>
      <c r="E1681">
        <v>0.83823529411764697</v>
      </c>
      <c r="F1681">
        <v>0.87443442508823499</v>
      </c>
      <c r="G1681">
        <v>4.6669108867645201</v>
      </c>
      <c r="H1681">
        <v>29</v>
      </c>
      <c r="I1681">
        <v>38</v>
      </c>
      <c r="J1681">
        <v>30</v>
      </c>
    </row>
    <row r="1682" spans="1:10" x14ac:dyDescent="0.25">
      <c r="A1682" t="s">
        <v>22</v>
      </c>
      <c r="B1682" t="s">
        <v>19</v>
      </c>
      <c r="C1682" t="s">
        <v>18</v>
      </c>
      <c r="D1682" t="s">
        <v>14</v>
      </c>
      <c r="E1682">
        <v>0.77941176470588203</v>
      </c>
      <c r="F1682">
        <v>0.819121598625</v>
      </c>
      <c r="G1682">
        <v>2.2103281021118102</v>
      </c>
      <c r="H1682">
        <v>44</v>
      </c>
      <c r="I1682">
        <v>41</v>
      </c>
      <c r="J1682">
        <v>30</v>
      </c>
    </row>
    <row r="1683" spans="1:10" x14ac:dyDescent="0.25">
      <c r="A1683" t="s">
        <v>22</v>
      </c>
      <c r="B1683" t="s">
        <v>19</v>
      </c>
      <c r="C1683" t="s">
        <v>18</v>
      </c>
      <c r="D1683" t="s">
        <v>14</v>
      </c>
      <c r="E1683">
        <v>0.77941176470588203</v>
      </c>
      <c r="F1683">
        <v>0.83938200208382296</v>
      </c>
      <c r="G1683">
        <v>2.3177123069763099</v>
      </c>
      <c r="H1683">
        <v>37</v>
      </c>
      <c r="I1683">
        <v>36</v>
      </c>
      <c r="J1683">
        <v>30</v>
      </c>
    </row>
    <row r="1684" spans="1:10" x14ac:dyDescent="0.25">
      <c r="A1684" t="s">
        <v>22</v>
      </c>
      <c r="B1684" t="s">
        <v>19</v>
      </c>
      <c r="C1684" t="s">
        <v>18</v>
      </c>
      <c r="D1684" t="s">
        <v>14</v>
      </c>
      <c r="E1684">
        <v>0.73529411764705799</v>
      </c>
      <c r="F1684">
        <v>0.82394449065735198</v>
      </c>
      <c r="G1684">
        <v>2.3525919914245601</v>
      </c>
      <c r="H1684">
        <v>21</v>
      </c>
      <c r="I1684">
        <v>20</v>
      </c>
      <c r="J1684">
        <v>30</v>
      </c>
    </row>
    <row r="1685" spans="1:10" x14ac:dyDescent="0.25">
      <c r="A1685" t="s">
        <v>22</v>
      </c>
      <c r="B1685" t="s">
        <v>19</v>
      </c>
      <c r="C1685" t="s">
        <v>18</v>
      </c>
      <c r="D1685" t="s">
        <v>14</v>
      </c>
      <c r="E1685">
        <v>0.75</v>
      </c>
      <c r="F1685">
        <v>0.83211934086764705</v>
      </c>
      <c r="G1685">
        <v>2.45699763298034</v>
      </c>
      <c r="H1685">
        <v>22</v>
      </c>
      <c r="I1685">
        <v>20</v>
      </c>
      <c r="J1685">
        <v>30</v>
      </c>
    </row>
    <row r="1686" spans="1:10" x14ac:dyDescent="0.25">
      <c r="A1686" t="s">
        <v>22</v>
      </c>
      <c r="B1686" t="s">
        <v>19</v>
      </c>
      <c r="C1686" t="s">
        <v>18</v>
      </c>
      <c r="D1686" t="s">
        <v>14</v>
      </c>
      <c r="E1686">
        <v>0.79411764705882304</v>
      </c>
      <c r="F1686">
        <v>0.85290755041764699</v>
      </c>
      <c r="G1686">
        <v>2.4759984016418399</v>
      </c>
      <c r="H1686">
        <v>19</v>
      </c>
      <c r="I1686">
        <v>17</v>
      </c>
      <c r="J1686">
        <v>30</v>
      </c>
    </row>
    <row r="1687" spans="1:10" x14ac:dyDescent="0.25">
      <c r="A1687" t="s">
        <v>22</v>
      </c>
      <c r="B1687" t="s">
        <v>19</v>
      </c>
      <c r="C1687" t="s">
        <v>18</v>
      </c>
      <c r="D1687" t="s">
        <v>14</v>
      </c>
      <c r="E1687">
        <v>0.75</v>
      </c>
      <c r="F1687">
        <v>0.81547942869852896</v>
      </c>
      <c r="G1687">
        <v>2.5140419006347599</v>
      </c>
      <c r="H1687">
        <v>23</v>
      </c>
      <c r="I1687">
        <v>22</v>
      </c>
      <c r="J1687">
        <v>30</v>
      </c>
    </row>
    <row r="1688" spans="1:10" x14ac:dyDescent="0.25">
      <c r="A1688" t="s">
        <v>22</v>
      </c>
      <c r="B1688" t="s">
        <v>19</v>
      </c>
      <c r="C1688" t="s">
        <v>18</v>
      </c>
      <c r="D1688" t="s">
        <v>14</v>
      </c>
      <c r="E1688">
        <v>0.76470588235294101</v>
      </c>
      <c r="F1688">
        <v>0.82764696410146998</v>
      </c>
      <c r="G1688">
        <v>2.7343456745147701</v>
      </c>
      <c r="H1688">
        <v>21</v>
      </c>
      <c r="I1688">
        <v>20</v>
      </c>
      <c r="J1688">
        <v>30</v>
      </c>
    </row>
    <row r="1689" spans="1:10" x14ac:dyDescent="0.25">
      <c r="A1689" t="s">
        <v>22</v>
      </c>
      <c r="B1689" t="s">
        <v>19</v>
      </c>
      <c r="C1689" t="s">
        <v>18</v>
      </c>
      <c r="D1689" t="s">
        <v>14</v>
      </c>
      <c r="E1689">
        <v>0.85294117647058798</v>
      </c>
      <c r="F1689">
        <v>0.87184777268382296</v>
      </c>
      <c r="G1689">
        <v>2.9319901466369598</v>
      </c>
      <c r="H1689">
        <v>44</v>
      </c>
      <c r="I1689">
        <v>42</v>
      </c>
      <c r="J1689">
        <v>30</v>
      </c>
    </row>
    <row r="1690" spans="1:10" x14ac:dyDescent="0.25">
      <c r="A1690" t="s">
        <v>22</v>
      </c>
      <c r="B1690" t="s">
        <v>19</v>
      </c>
      <c r="C1690" t="s">
        <v>18</v>
      </c>
      <c r="D1690" t="s">
        <v>14</v>
      </c>
      <c r="E1690">
        <v>0.88235294117647001</v>
      </c>
      <c r="F1690">
        <v>0.892696525019117</v>
      </c>
      <c r="G1690">
        <v>2.9730484485626198</v>
      </c>
      <c r="H1690">
        <v>46</v>
      </c>
      <c r="I1690">
        <v>44</v>
      </c>
      <c r="J1690">
        <v>30</v>
      </c>
    </row>
    <row r="1691" spans="1:10" x14ac:dyDescent="0.25">
      <c r="A1691" t="s">
        <v>22</v>
      </c>
      <c r="B1691" t="s">
        <v>19</v>
      </c>
      <c r="C1691" t="s">
        <v>18</v>
      </c>
      <c r="D1691" t="s">
        <v>14</v>
      </c>
      <c r="E1691">
        <v>0.82352941176470495</v>
      </c>
      <c r="F1691">
        <v>0.85011522741323498</v>
      </c>
      <c r="G1691">
        <v>2.9541058540344198</v>
      </c>
      <c r="H1691">
        <v>40</v>
      </c>
      <c r="I1691">
        <v>38</v>
      </c>
      <c r="J1691">
        <v>30</v>
      </c>
    </row>
    <row r="1692" spans="1:10" x14ac:dyDescent="0.25">
      <c r="A1692" t="s">
        <v>22</v>
      </c>
      <c r="B1692" t="s">
        <v>19</v>
      </c>
      <c r="C1692" t="s">
        <v>18</v>
      </c>
      <c r="D1692" t="s">
        <v>14</v>
      </c>
      <c r="E1692">
        <v>0.76470588235294101</v>
      </c>
      <c r="F1692">
        <v>0.81059701799558803</v>
      </c>
      <c r="G1692">
        <v>3.0225832462310702</v>
      </c>
      <c r="H1692">
        <v>40</v>
      </c>
      <c r="I1692">
        <v>38</v>
      </c>
      <c r="J1692">
        <v>30</v>
      </c>
    </row>
    <row r="1693" spans="1:10" x14ac:dyDescent="0.25">
      <c r="A1693" t="s">
        <v>22</v>
      </c>
      <c r="B1693" t="s">
        <v>19</v>
      </c>
      <c r="C1693" t="s">
        <v>18</v>
      </c>
      <c r="D1693" t="s">
        <v>14</v>
      </c>
      <c r="E1693">
        <v>0.73529411764705799</v>
      </c>
      <c r="F1693">
        <v>0.825182121463235</v>
      </c>
      <c r="G1693">
        <v>2.9815115928649898</v>
      </c>
      <c r="H1693">
        <v>20</v>
      </c>
      <c r="I1693">
        <v>20</v>
      </c>
      <c r="J1693">
        <v>30</v>
      </c>
    </row>
    <row r="1694" spans="1:10" x14ac:dyDescent="0.25">
      <c r="A1694" t="s">
        <v>22</v>
      </c>
      <c r="B1694" t="s">
        <v>19</v>
      </c>
      <c r="C1694" t="s">
        <v>18</v>
      </c>
      <c r="D1694" t="s">
        <v>14</v>
      </c>
      <c r="E1694">
        <v>0.77941176470588203</v>
      </c>
      <c r="F1694">
        <v>0.85263828543529396</v>
      </c>
      <c r="G1694">
        <v>3.1182215213775599</v>
      </c>
      <c r="H1694">
        <v>22</v>
      </c>
      <c r="I1694">
        <v>20</v>
      </c>
      <c r="J1694">
        <v>30</v>
      </c>
    </row>
    <row r="1695" spans="1:10" x14ac:dyDescent="0.25">
      <c r="A1695" t="s">
        <v>22</v>
      </c>
      <c r="B1695" t="s">
        <v>19</v>
      </c>
      <c r="C1695" t="s">
        <v>18</v>
      </c>
      <c r="D1695" t="s">
        <v>14</v>
      </c>
      <c r="E1695">
        <v>0.73529411764705799</v>
      </c>
      <c r="F1695">
        <v>0.83487034222941103</v>
      </c>
      <c r="G1695">
        <v>3.1692354679107599</v>
      </c>
      <c r="H1695">
        <v>20</v>
      </c>
      <c r="I1695">
        <v>18</v>
      </c>
      <c r="J1695">
        <v>30</v>
      </c>
    </row>
    <row r="1696" spans="1:10" x14ac:dyDescent="0.25">
      <c r="A1696" t="s">
        <v>22</v>
      </c>
      <c r="B1696" t="s">
        <v>19</v>
      </c>
      <c r="C1696" t="s">
        <v>18</v>
      </c>
      <c r="D1696" t="s">
        <v>14</v>
      </c>
      <c r="E1696">
        <v>0.83823529411764697</v>
      </c>
      <c r="F1696">
        <v>0.85427215731617601</v>
      </c>
      <c r="G1696">
        <v>3.2507879734039302</v>
      </c>
      <c r="H1696">
        <v>43</v>
      </c>
      <c r="I1696">
        <v>42</v>
      </c>
      <c r="J1696">
        <v>30</v>
      </c>
    </row>
    <row r="1697" spans="1:10" x14ac:dyDescent="0.25">
      <c r="A1697" t="s">
        <v>22</v>
      </c>
      <c r="B1697" t="s">
        <v>19</v>
      </c>
      <c r="C1697" t="s">
        <v>18</v>
      </c>
      <c r="D1697" t="s">
        <v>14</v>
      </c>
      <c r="E1697">
        <v>0.73529411764705799</v>
      </c>
      <c r="F1697">
        <v>0.83605191509558796</v>
      </c>
      <c r="G1697">
        <v>3.2520885467529199</v>
      </c>
      <c r="H1697">
        <v>20</v>
      </c>
      <c r="I1697">
        <v>19</v>
      </c>
      <c r="J1697">
        <v>30</v>
      </c>
    </row>
    <row r="1698" spans="1:10" x14ac:dyDescent="0.25">
      <c r="A1698" t="s">
        <v>22</v>
      </c>
      <c r="B1698" t="s">
        <v>19</v>
      </c>
      <c r="C1698" t="s">
        <v>18</v>
      </c>
      <c r="D1698" t="s">
        <v>14</v>
      </c>
      <c r="E1698">
        <v>0.77941176470588203</v>
      </c>
      <c r="F1698">
        <v>0.83746488528529395</v>
      </c>
      <c r="G1698">
        <v>3.29131650924682</v>
      </c>
      <c r="H1698">
        <v>19</v>
      </c>
      <c r="I1698">
        <v>18</v>
      </c>
      <c r="J1698">
        <v>30</v>
      </c>
    </row>
    <row r="1699" spans="1:10" x14ac:dyDescent="0.25">
      <c r="A1699" t="s">
        <v>22</v>
      </c>
      <c r="B1699" t="s">
        <v>19</v>
      </c>
      <c r="C1699" t="s">
        <v>18</v>
      </c>
      <c r="D1699" t="s">
        <v>14</v>
      </c>
      <c r="E1699">
        <v>0.82352941176470495</v>
      </c>
      <c r="F1699">
        <v>0.87732883199705802</v>
      </c>
      <c r="G1699">
        <v>3.30167412757873</v>
      </c>
      <c r="H1699">
        <v>23</v>
      </c>
      <c r="I1699">
        <v>21</v>
      </c>
      <c r="J1699">
        <v>30</v>
      </c>
    </row>
    <row r="1700" spans="1:10" x14ac:dyDescent="0.25">
      <c r="A1700" t="s">
        <v>22</v>
      </c>
      <c r="B1700" t="s">
        <v>19</v>
      </c>
      <c r="C1700" t="s">
        <v>18</v>
      </c>
      <c r="D1700" t="s">
        <v>14</v>
      </c>
      <c r="E1700">
        <v>0.85294117647058798</v>
      </c>
      <c r="F1700">
        <v>0.88185220494264704</v>
      </c>
      <c r="G1700">
        <v>3.3327724933624201</v>
      </c>
      <c r="H1700">
        <v>22</v>
      </c>
      <c r="I1700">
        <v>21</v>
      </c>
      <c r="J1700">
        <v>30</v>
      </c>
    </row>
    <row r="1701" spans="1:10" x14ac:dyDescent="0.25">
      <c r="A1701" t="s">
        <v>22</v>
      </c>
      <c r="B1701" t="s">
        <v>19</v>
      </c>
      <c r="C1701" t="s">
        <v>18</v>
      </c>
      <c r="D1701" t="s">
        <v>14</v>
      </c>
      <c r="E1701">
        <v>0.69117647058823495</v>
      </c>
      <c r="F1701">
        <v>0.79349520634558801</v>
      </c>
      <c r="G1701">
        <v>3.3429784774780198</v>
      </c>
      <c r="H1701">
        <v>23</v>
      </c>
      <c r="I1701">
        <v>21</v>
      </c>
      <c r="J1701">
        <v>30</v>
      </c>
    </row>
    <row r="1702" spans="1:10" x14ac:dyDescent="0.25">
      <c r="A1702" t="s">
        <v>22</v>
      </c>
      <c r="B1702" t="s">
        <v>19</v>
      </c>
      <c r="C1702" t="s">
        <v>18</v>
      </c>
      <c r="D1702" t="s">
        <v>14</v>
      </c>
      <c r="E1702">
        <v>0.72058823529411697</v>
      </c>
      <c r="F1702">
        <v>0.783398216419117</v>
      </c>
      <c r="G1702">
        <v>3.3947374820709202</v>
      </c>
      <c r="H1702">
        <v>20</v>
      </c>
      <c r="I1702">
        <v>19</v>
      </c>
      <c r="J1702">
        <v>30</v>
      </c>
    </row>
    <row r="1703" spans="1:10" x14ac:dyDescent="0.25">
      <c r="A1703" t="s">
        <v>22</v>
      </c>
      <c r="B1703" t="s">
        <v>19</v>
      </c>
      <c r="C1703" t="s">
        <v>18</v>
      </c>
      <c r="D1703" t="s">
        <v>14</v>
      </c>
      <c r="E1703">
        <v>0.80882352941176405</v>
      </c>
      <c r="F1703">
        <v>0.86765625933235202</v>
      </c>
      <c r="G1703">
        <v>3.41507768630981</v>
      </c>
      <c r="H1703">
        <v>19</v>
      </c>
      <c r="I1703">
        <v>18</v>
      </c>
      <c r="J1703">
        <v>30</v>
      </c>
    </row>
    <row r="1704" spans="1:10" x14ac:dyDescent="0.25">
      <c r="A1704" t="s">
        <v>22</v>
      </c>
      <c r="B1704" t="s">
        <v>19</v>
      </c>
      <c r="C1704" t="s">
        <v>18</v>
      </c>
      <c r="D1704" t="s">
        <v>14</v>
      </c>
      <c r="E1704">
        <v>0.76470588235294101</v>
      </c>
      <c r="F1704">
        <v>0.80855749179117598</v>
      </c>
      <c r="G1704">
        <v>3.4357876777648899</v>
      </c>
      <c r="H1704">
        <v>18</v>
      </c>
      <c r="I1704">
        <v>18</v>
      </c>
      <c r="J1704">
        <v>30</v>
      </c>
    </row>
    <row r="1705" spans="1:10" x14ac:dyDescent="0.25">
      <c r="A1705" t="s">
        <v>22</v>
      </c>
      <c r="B1705" t="s">
        <v>19</v>
      </c>
      <c r="C1705" t="s">
        <v>18</v>
      </c>
      <c r="D1705" t="s">
        <v>14</v>
      </c>
      <c r="E1705">
        <v>0.76470588235294101</v>
      </c>
      <c r="F1705">
        <v>0.83916069094999901</v>
      </c>
      <c r="G1705">
        <v>3.4672980308532702</v>
      </c>
      <c r="H1705">
        <v>26</v>
      </c>
      <c r="I1705">
        <v>24</v>
      </c>
      <c r="J1705">
        <v>30</v>
      </c>
    </row>
    <row r="1706" spans="1:10" x14ac:dyDescent="0.25">
      <c r="A1706" t="s">
        <v>22</v>
      </c>
      <c r="B1706" t="s">
        <v>19</v>
      </c>
      <c r="C1706" t="s">
        <v>18</v>
      </c>
      <c r="D1706" t="s">
        <v>14</v>
      </c>
      <c r="E1706">
        <v>0.83823529411764697</v>
      </c>
      <c r="F1706">
        <v>0.88367161457794097</v>
      </c>
      <c r="G1706">
        <v>3.51924324035644</v>
      </c>
      <c r="H1706">
        <v>21</v>
      </c>
      <c r="I1706">
        <v>21</v>
      </c>
      <c r="J1706">
        <v>30</v>
      </c>
    </row>
    <row r="1707" spans="1:10" x14ac:dyDescent="0.25">
      <c r="A1707" t="s">
        <v>22</v>
      </c>
      <c r="B1707" t="s">
        <v>19</v>
      </c>
      <c r="C1707" t="s">
        <v>18</v>
      </c>
      <c r="D1707" t="s">
        <v>14</v>
      </c>
      <c r="E1707">
        <v>0.82352941176470495</v>
      </c>
      <c r="F1707">
        <v>0.84066471345441096</v>
      </c>
      <c r="G1707">
        <v>3.57014679908752</v>
      </c>
      <c r="H1707">
        <v>45</v>
      </c>
      <c r="I1707">
        <v>43</v>
      </c>
      <c r="J1707">
        <v>30</v>
      </c>
    </row>
    <row r="1708" spans="1:10" x14ac:dyDescent="0.25">
      <c r="A1708" t="s">
        <v>22</v>
      </c>
      <c r="B1708" t="s">
        <v>19</v>
      </c>
      <c r="C1708" t="s">
        <v>18</v>
      </c>
      <c r="D1708" t="s">
        <v>14</v>
      </c>
      <c r="E1708">
        <v>0.76470588235294101</v>
      </c>
      <c r="F1708">
        <v>0.81683657006323496</v>
      </c>
      <c r="G1708">
        <v>3.6106586456298801</v>
      </c>
      <c r="H1708">
        <v>42</v>
      </c>
      <c r="I1708">
        <v>40</v>
      </c>
      <c r="J1708">
        <v>30</v>
      </c>
    </row>
    <row r="1709" spans="1:10" x14ac:dyDescent="0.25">
      <c r="A1709" t="s">
        <v>22</v>
      </c>
      <c r="B1709" t="s">
        <v>19</v>
      </c>
      <c r="C1709" t="s">
        <v>18</v>
      </c>
      <c r="D1709" t="s">
        <v>14</v>
      </c>
      <c r="E1709">
        <v>0.72058823529411697</v>
      </c>
      <c r="F1709">
        <v>0.80279066560000001</v>
      </c>
      <c r="G1709">
        <v>3.6782259941100999</v>
      </c>
      <c r="H1709">
        <v>76</v>
      </c>
      <c r="I1709">
        <v>72</v>
      </c>
      <c r="J1709">
        <v>30</v>
      </c>
    </row>
    <row r="1710" spans="1:10" x14ac:dyDescent="0.25">
      <c r="A1710" t="s">
        <v>22</v>
      </c>
      <c r="B1710" t="s">
        <v>19</v>
      </c>
      <c r="C1710" t="s">
        <v>18</v>
      </c>
      <c r="D1710" t="s">
        <v>14</v>
      </c>
      <c r="E1710">
        <v>0.75</v>
      </c>
      <c r="F1710">
        <v>0.81711279467647002</v>
      </c>
      <c r="G1710">
        <v>3.6941339969635001</v>
      </c>
      <c r="H1710">
        <v>60</v>
      </c>
      <c r="I1710">
        <v>57</v>
      </c>
      <c r="J1710">
        <v>30</v>
      </c>
    </row>
    <row r="1711" spans="1:10" x14ac:dyDescent="0.25">
      <c r="A1711" t="s">
        <v>22</v>
      </c>
      <c r="B1711" t="s">
        <v>19</v>
      </c>
      <c r="C1711" t="s">
        <v>18</v>
      </c>
      <c r="D1711" t="s">
        <v>14</v>
      </c>
      <c r="E1711">
        <v>0.67647058823529405</v>
      </c>
      <c r="F1711">
        <v>0.80246500061911696</v>
      </c>
      <c r="G1711">
        <v>3.90464186668396</v>
      </c>
      <c r="H1711">
        <v>88</v>
      </c>
      <c r="I1711">
        <v>87</v>
      </c>
      <c r="J1711">
        <v>30</v>
      </c>
    </row>
    <row r="1712" spans="1:10" x14ac:dyDescent="0.25">
      <c r="A1712" t="s">
        <v>22</v>
      </c>
      <c r="B1712" t="s">
        <v>19</v>
      </c>
      <c r="C1712" t="s">
        <v>18</v>
      </c>
      <c r="D1712" t="s">
        <v>15</v>
      </c>
      <c r="E1712">
        <v>0</v>
      </c>
      <c r="F1712">
        <v>0.75</v>
      </c>
      <c r="G1712">
        <v>0.12433958053588801</v>
      </c>
      <c r="H1712">
        <v>0</v>
      </c>
      <c r="I1712">
        <v>0</v>
      </c>
      <c r="J1712">
        <v>30</v>
      </c>
    </row>
    <row r="1713" spans="1:10" x14ac:dyDescent="0.25">
      <c r="A1713" t="s">
        <v>22</v>
      </c>
      <c r="B1713" t="s">
        <v>19</v>
      </c>
      <c r="C1713" t="s">
        <v>18</v>
      </c>
      <c r="D1713" t="s">
        <v>15</v>
      </c>
      <c r="E1713">
        <v>0</v>
      </c>
      <c r="F1713">
        <v>0.75</v>
      </c>
      <c r="G1713">
        <v>0.19224309921264601</v>
      </c>
      <c r="H1713">
        <v>0</v>
      </c>
      <c r="I1713">
        <v>0</v>
      </c>
      <c r="J1713">
        <v>30</v>
      </c>
    </row>
    <row r="1714" spans="1:10" x14ac:dyDescent="0.25">
      <c r="A1714" t="s">
        <v>22</v>
      </c>
      <c r="B1714" t="s">
        <v>19</v>
      </c>
      <c r="C1714" t="s">
        <v>18</v>
      </c>
      <c r="D1714" t="s">
        <v>15</v>
      </c>
      <c r="E1714">
        <v>0</v>
      </c>
      <c r="F1714">
        <v>0.75</v>
      </c>
      <c r="G1714">
        <v>0.216944694519042</v>
      </c>
      <c r="H1714">
        <v>0</v>
      </c>
      <c r="I1714">
        <v>0</v>
      </c>
      <c r="J1714">
        <v>30</v>
      </c>
    </row>
    <row r="1715" spans="1:10" x14ac:dyDescent="0.25">
      <c r="A1715" t="s">
        <v>22</v>
      </c>
      <c r="B1715" t="s">
        <v>19</v>
      </c>
      <c r="C1715" t="s">
        <v>18</v>
      </c>
      <c r="D1715" t="s">
        <v>15</v>
      </c>
      <c r="E1715">
        <v>0</v>
      </c>
      <c r="F1715">
        <v>0.75</v>
      </c>
      <c r="G1715">
        <v>0.24224734306335399</v>
      </c>
      <c r="H1715">
        <v>0</v>
      </c>
      <c r="I1715">
        <v>0</v>
      </c>
      <c r="J1715">
        <v>30</v>
      </c>
    </row>
    <row r="1716" spans="1:10" x14ac:dyDescent="0.25">
      <c r="A1716" t="s">
        <v>22</v>
      </c>
      <c r="B1716" t="s">
        <v>19</v>
      </c>
      <c r="C1716" t="s">
        <v>18</v>
      </c>
      <c r="D1716" t="s">
        <v>15</v>
      </c>
      <c r="E1716">
        <v>0</v>
      </c>
      <c r="F1716">
        <v>0.75</v>
      </c>
      <c r="G1716">
        <v>0.29527115821838301</v>
      </c>
      <c r="H1716">
        <v>0</v>
      </c>
      <c r="I1716">
        <v>0</v>
      </c>
      <c r="J1716">
        <v>30</v>
      </c>
    </row>
    <row r="1717" spans="1:10" x14ac:dyDescent="0.25">
      <c r="A1717" t="s">
        <v>22</v>
      </c>
      <c r="B1717" t="s">
        <v>19</v>
      </c>
      <c r="C1717" t="s">
        <v>18</v>
      </c>
      <c r="D1717" t="s">
        <v>15</v>
      </c>
      <c r="E1717">
        <v>0</v>
      </c>
      <c r="F1717">
        <v>0.75</v>
      </c>
      <c r="G1717">
        <v>0.30544137954711897</v>
      </c>
      <c r="H1717">
        <v>0</v>
      </c>
      <c r="I1717">
        <v>0</v>
      </c>
      <c r="J1717">
        <v>30</v>
      </c>
    </row>
    <row r="1718" spans="1:10" x14ac:dyDescent="0.25">
      <c r="A1718" t="s">
        <v>22</v>
      </c>
      <c r="B1718" t="s">
        <v>19</v>
      </c>
      <c r="C1718" t="s">
        <v>18</v>
      </c>
      <c r="D1718" t="s">
        <v>15</v>
      </c>
      <c r="E1718">
        <v>0</v>
      </c>
      <c r="F1718">
        <v>0.75</v>
      </c>
      <c r="G1718">
        <v>0.302616596221923</v>
      </c>
      <c r="H1718">
        <v>0</v>
      </c>
      <c r="I1718">
        <v>0</v>
      </c>
      <c r="J1718">
        <v>30</v>
      </c>
    </row>
    <row r="1719" spans="1:10" x14ac:dyDescent="0.25">
      <c r="A1719" t="s">
        <v>22</v>
      </c>
      <c r="B1719" t="s">
        <v>19</v>
      </c>
      <c r="C1719" t="s">
        <v>18</v>
      </c>
      <c r="D1719" t="s">
        <v>15</v>
      </c>
      <c r="E1719">
        <v>0</v>
      </c>
      <c r="F1719">
        <v>0.75</v>
      </c>
      <c r="G1719">
        <v>0.31228947639465299</v>
      </c>
      <c r="H1719">
        <v>0</v>
      </c>
      <c r="I1719">
        <v>0</v>
      </c>
      <c r="J1719">
        <v>30</v>
      </c>
    </row>
    <row r="1720" spans="1:10" x14ac:dyDescent="0.25">
      <c r="A1720" t="s">
        <v>22</v>
      </c>
      <c r="B1720" t="s">
        <v>19</v>
      </c>
      <c r="C1720" t="s">
        <v>18</v>
      </c>
      <c r="D1720" t="s">
        <v>15</v>
      </c>
      <c r="E1720">
        <v>0</v>
      </c>
      <c r="F1720">
        <v>0.75</v>
      </c>
      <c r="G1720">
        <v>0.330001831054687</v>
      </c>
      <c r="H1720">
        <v>0</v>
      </c>
      <c r="I1720">
        <v>0</v>
      </c>
      <c r="J1720">
        <v>30</v>
      </c>
    </row>
    <row r="1721" spans="1:10" x14ac:dyDescent="0.25">
      <c r="A1721" t="s">
        <v>22</v>
      </c>
      <c r="B1721" t="s">
        <v>19</v>
      </c>
      <c r="C1721" t="s">
        <v>18</v>
      </c>
      <c r="D1721" t="s">
        <v>15</v>
      </c>
      <c r="E1721">
        <v>0</v>
      </c>
      <c r="F1721">
        <v>0.75</v>
      </c>
      <c r="G1721">
        <v>0.344094038009643</v>
      </c>
      <c r="H1721">
        <v>0</v>
      </c>
      <c r="I1721">
        <v>0</v>
      </c>
      <c r="J1721">
        <v>30</v>
      </c>
    </row>
    <row r="1722" spans="1:10" x14ac:dyDescent="0.25">
      <c r="A1722" t="s">
        <v>22</v>
      </c>
      <c r="B1722" t="s">
        <v>19</v>
      </c>
      <c r="C1722" t="s">
        <v>18</v>
      </c>
      <c r="D1722" t="s">
        <v>15</v>
      </c>
      <c r="E1722">
        <v>0</v>
      </c>
      <c r="F1722">
        <v>0.75</v>
      </c>
      <c r="G1722">
        <v>0.34017276763915999</v>
      </c>
      <c r="H1722">
        <v>0</v>
      </c>
      <c r="I1722">
        <v>0</v>
      </c>
      <c r="J1722">
        <v>30</v>
      </c>
    </row>
    <row r="1723" spans="1:10" x14ac:dyDescent="0.25">
      <c r="A1723" t="s">
        <v>22</v>
      </c>
      <c r="B1723" t="s">
        <v>19</v>
      </c>
      <c r="C1723" t="s">
        <v>18</v>
      </c>
      <c r="D1723" t="s">
        <v>15</v>
      </c>
      <c r="E1723">
        <v>0</v>
      </c>
      <c r="F1723">
        <v>0.75</v>
      </c>
      <c r="G1723">
        <v>0.37098884582519498</v>
      </c>
      <c r="H1723">
        <v>0</v>
      </c>
      <c r="I1723">
        <v>0</v>
      </c>
      <c r="J1723">
        <v>30</v>
      </c>
    </row>
    <row r="1724" spans="1:10" x14ac:dyDescent="0.25">
      <c r="A1724" t="s">
        <v>22</v>
      </c>
      <c r="B1724" t="s">
        <v>19</v>
      </c>
      <c r="C1724" t="s">
        <v>18</v>
      </c>
      <c r="D1724" t="s">
        <v>15</v>
      </c>
      <c r="E1724">
        <v>0</v>
      </c>
      <c r="F1724">
        <v>0.75</v>
      </c>
      <c r="G1724">
        <v>0.382210493087768</v>
      </c>
      <c r="H1724">
        <v>0</v>
      </c>
      <c r="I1724">
        <v>0</v>
      </c>
      <c r="J1724">
        <v>30</v>
      </c>
    </row>
    <row r="1725" spans="1:10" x14ac:dyDescent="0.25">
      <c r="A1725" t="s">
        <v>22</v>
      </c>
      <c r="B1725" t="s">
        <v>19</v>
      </c>
      <c r="C1725" t="s">
        <v>18</v>
      </c>
      <c r="D1725" t="s">
        <v>15</v>
      </c>
      <c r="E1725">
        <v>0</v>
      </c>
      <c r="F1725">
        <v>0.75</v>
      </c>
      <c r="G1725">
        <v>0.38741302490234297</v>
      </c>
      <c r="H1725">
        <v>0</v>
      </c>
      <c r="I1725">
        <v>0</v>
      </c>
      <c r="J1725">
        <v>30</v>
      </c>
    </row>
    <row r="1726" spans="1:10" x14ac:dyDescent="0.25">
      <c r="A1726" t="s">
        <v>22</v>
      </c>
      <c r="B1726" t="s">
        <v>19</v>
      </c>
      <c r="C1726" t="s">
        <v>18</v>
      </c>
      <c r="D1726" t="s">
        <v>15</v>
      </c>
      <c r="E1726">
        <v>0</v>
      </c>
      <c r="F1726">
        <v>0.75</v>
      </c>
      <c r="G1726">
        <v>0.38107943534851002</v>
      </c>
      <c r="H1726">
        <v>0</v>
      </c>
      <c r="I1726">
        <v>0</v>
      </c>
      <c r="J1726">
        <v>30</v>
      </c>
    </row>
    <row r="1727" spans="1:10" x14ac:dyDescent="0.25">
      <c r="A1727" t="s">
        <v>22</v>
      </c>
      <c r="B1727" t="s">
        <v>19</v>
      </c>
      <c r="C1727" t="s">
        <v>18</v>
      </c>
      <c r="D1727" t="s">
        <v>15</v>
      </c>
      <c r="E1727">
        <v>0</v>
      </c>
      <c r="F1727">
        <v>0.75</v>
      </c>
      <c r="G1727">
        <v>0.35689783096313399</v>
      </c>
      <c r="H1727">
        <v>0</v>
      </c>
      <c r="I1727">
        <v>0</v>
      </c>
      <c r="J1727">
        <v>30</v>
      </c>
    </row>
    <row r="1728" spans="1:10" x14ac:dyDescent="0.25">
      <c r="A1728" t="s">
        <v>22</v>
      </c>
      <c r="B1728" t="s">
        <v>19</v>
      </c>
      <c r="C1728" t="s">
        <v>18</v>
      </c>
      <c r="D1728" t="s">
        <v>15</v>
      </c>
      <c r="E1728">
        <v>0</v>
      </c>
      <c r="F1728">
        <v>0.75</v>
      </c>
      <c r="G1728">
        <v>0.401931762695312</v>
      </c>
      <c r="H1728">
        <v>0</v>
      </c>
      <c r="I1728">
        <v>0</v>
      </c>
      <c r="J1728">
        <v>30</v>
      </c>
    </row>
    <row r="1729" spans="1:10" x14ac:dyDescent="0.25">
      <c r="A1729" t="s">
        <v>22</v>
      </c>
      <c r="B1729" t="s">
        <v>19</v>
      </c>
      <c r="C1729" t="s">
        <v>18</v>
      </c>
      <c r="D1729" t="s">
        <v>15</v>
      </c>
      <c r="E1729">
        <v>0</v>
      </c>
      <c r="F1729">
        <v>0.75</v>
      </c>
      <c r="G1729">
        <v>0.42057752609252902</v>
      </c>
      <c r="H1729">
        <v>0</v>
      </c>
      <c r="I1729">
        <v>0</v>
      </c>
      <c r="J1729">
        <v>30</v>
      </c>
    </row>
    <row r="1730" spans="1:10" x14ac:dyDescent="0.25">
      <c r="A1730" t="s">
        <v>22</v>
      </c>
      <c r="B1730" t="s">
        <v>19</v>
      </c>
      <c r="C1730" t="s">
        <v>18</v>
      </c>
      <c r="D1730" t="s">
        <v>15</v>
      </c>
      <c r="E1730">
        <v>0</v>
      </c>
      <c r="F1730">
        <v>0.75</v>
      </c>
      <c r="G1730">
        <v>0.43274855613708402</v>
      </c>
      <c r="H1730">
        <v>0</v>
      </c>
      <c r="I1730">
        <v>0</v>
      </c>
      <c r="J1730">
        <v>30</v>
      </c>
    </row>
    <row r="1731" spans="1:10" x14ac:dyDescent="0.25">
      <c r="A1731" t="s">
        <v>22</v>
      </c>
      <c r="B1731" t="s">
        <v>19</v>
      </c>
      <c r="C1731" t="s">
        <v>18</v>
      </c>
      <c r="D1731" t="s">
        <v>15</v>
      </c>
      <c r="E1731">
        <v>0</v>
      </c>
      <c r="F1731">
        <v>0.75</v>
      </c>
      <c r="G1731">
        <v>0.44573640823364202</v>
      </c>
      <c r="H1731">
        <v>0</v>
      </c>
      <c r="I1731">
        <v>0</v>
      </c>
      <c r="J1731">
        <v>30</v>
      </c>
    </row>
    <row r="1732" spans="1:10" x14ac:dyDescent="0.25">
      <c r="A1732" t="s">
        <v>22</v>
      </c>
      <c r="B1732" t="s">
        <v>19</v>
      </c>
      <c r="C1732" t="s">
        <v>18</v>
      </c>
      <c r="D1732" t="s">
        <v>15</v>
      </c>
      <c r="E1732">
        <v>0</v>
      </c>
      <c r="F1732">
        <v>0.75</v>
      </c>
      <c r="G1732">
        <v>0.44451045989990201</v>
      </c>
      <c r="H1732">
        <v>0</v>
      </c>
      <c r="I1732">
        <v>0</v>
      </c>
      <c r="J1732">
        <v>30</v>
      </c>
    </row>
    <row r="1733" spans="1:10" x14ac:dyDescent="0.25">
      <c r="A1733" t="s">
        <v>22</v>
      </c>
      <c r="B1733" t="s">
        <v>19</v>
      </c>
      <c r="C1733" t="s">
        <v>18</v>
      </c>
      <c r="D1733" t="s">
        <v>15</v>
      </c>
      <c r="E1733">
        <v>0</v>
      </c>
      <c r="F1733">
        <v>0.75</v>
      </c>
      <c r="G1733">
        <v>0.48083233833312899</v>
      </c>
      <c r="H1733">
        <v>0</v>
      </c>
      <c r="I1733">
        <v>0</v>
      </c>
      <c r="J1733">
        <v>30</v>
      </c>
    </row>
    <row r="1734" spans="1:10" x14ac:dyDescent="0.25">
      <c r="A1734" t="s">
        <v>22</v>
      </c>
      <c r="B1734" t="s">
        <v>19</v>
      </c>
      <c r="C1734" t="s">
        <v>18</v>
      </c>
      <c r="D1734" t="s">
        <v>15</v>
      </c>
      <c r="E1734">
        <v>0</v>
      </c>
      <c r="F1734">
        <v>0.75</v>
      </c>
      <c r="G1734">
        <v>0.49104690551757801</v>
      </c>
      <c r="H1734">
        <v>0</v>
      </c>
      <c r="I1734">
        <v>0</v>
      </c>
      <c r="J1734">
        <v>30</v>
      </c>
    </row>
    <row r="1735" spans="1:10" x14ac:dyDescent="0.25">
      <c r="A1735" t="s">
        <v>22</v>
      </c>
      <c r="B1735" t="s">
        <v>19</v>
      </c>
      <c r="C1735" t="s">
        <v>18</v>
      </c>
      <c r="D1735" t="s">
        <v>15</v>
      </c>
      <c r="E1735">
        <v>0</v>
      </c>
      <c r="F1735">
        <v>0.75</v>
      </c>
      <c r="G1735">
        <v>0.49479079246520902</v>
      </c>
      <c r="H1735">
        <v>0</v>
      </c>
      <c r="I1735">
        <v>0</v>
      </c>
      <c r="J1735">
        <v>30</v>
      </c>
    </row>
    <row r="1736" spans="1:10" x14ac:dyDescent="0.25">
      <c r="A1736" t="s">
        <v>22</v>
      </c>
      <c r="B1736" t="s">
        <v>19</v>
      </c>
      <c r="C1736" t="s">
        <v>18</v>
      </c>
      <c r="D1736" t="s">
        <v>15</v>
      </c>
      <c r="E1736">
        <v>0</v>
      </c>
      <c r="F1736">
        <v>0.75</v>
      </c>
      <c r="G1736">
        <v>0.494884252548217</v>
      </c>
      <c r="H1736">
        <v>0</v>
      </c>
      <c r="I1736">
        <v>0</v>
      </c>
      <c r="J1736">
        <v>30</v>
      </c>
    </row>
    <row r="1737" spans="1:10" x14ac:dyDescent="0.25">
      <c r="A1737" t="s">
        <v>22</v>
      </c>
      <c r="B1737" t="s">
        <v>19</v>
      </c>
      <c r="C1737" t="s">
        <v>18</v>
      </c>
      <c r="D1737" t="s">
        <v>15</v>
      </c>
      <c r="E1737">
        <v>0</v>
      </c>
      <c r="F1737">
        <v>0.75</v>
      </c>
      <c r="G1737">
        <v>0.51038551330566395</v>
      </c>
      <c r="H1737">
        <v>0</v>
      </c>
      <c r="I1737">
        <v>0</v>
      </c>
      <c r="J1737">
        <v>30</v>
      </c>
    </row>
    <row r="1738" spans="1:10" x14ac:dyDescent="0.25">
      <c r="A1738" t="s">
        <v>22</v>
      </c>
      <c r="B1738" t="s">
        <v>19</v>
      </c>
      <c r="C1738" t="s">
        <v>18</v>
      </c>
      <c r="D1738" t="s">
        <v>15</v>
      </c>
      <c r="E1738">
        <v>0</v>
      </c>
      <c r="F1738">
        <v>0.75</v>
      </c>
      <c r="G1738">
        <v>0.51548337936401301</v>
      </c>
      <c r="H1738">
        <v>0</v>
      </c>
      <c r="I1738">
        <v>0</v>
      </c>
      <c r="J1738">
        <v>30</v>
      </c>
    </row>
    <row r="1739" spans="1:10" x14ac:dyDescent="0.25">
      <c r="A1739" t="s">
        <v>22</v>
      </c>
      <c r="B1739" t="s">
        <v>19</v>
      </c>
      <c r="C1739" t="s">
        <v>18</v>
      </c>
      <c r="D1739" t="s">
        <v>15</v>
      </c>
      <c r="E1739">
        <v>0</v>
      </c>
      <c r="F1739">
        <v>0.75</v>
      </c>
      <c r="G1739">
        <v>0.49479079246520902</v>
      </c>
      <c r="H1739">
        <v>0</v>
      </c>
      <c r="I1739">
        <v>0</v>
      </c>
      <c r="J1739">
        <v>30</v>
      </c>
    </row>
    <row r="1740" spans="1:10" x14ac:dyDescent="0.25">
      <c r="A1740" t="s">
        <v>22</v>
      </c>
      <c r="B1740" t="s">
        <v>19</v>
      </c>
      <c r="C1740" t="s">
        <v>18</v>
      </c>
      <c r="D1740" t="s">
        <v>15</v>
      </c>
      <c r="E1740">
        <v>0</v>
      </c>
      <c r="F1740">
        <v>0.75</v>
      </c>
      <c r="G1740">
        <v>0.53195548057556097</v>
      </c>
      <c r="H1740">
        <v>0</v>
      </c>
      <c r="I1740">
        <v>0</v>
      </c>
      <c r="J1740">
        <v>30</v>
      </c>
    </row>
    <row r="1741" spans="1:10" x14ac:dyDescent="0.25">
      <c r="A1741" t="s">
        <v>22</v>
      </c>
      <c r="B1741" t="s">
        <v>19</v>
      </c>
      <c r="C1741" t="s">
        <v>18</v>
      </c>
      <c r="D1741" t="s">
        <v>15</v>
      </c>
      <c r="E1741">
        <v>0</v>
      </c>
      <c r="F1741">
        <v>0.75</v>
      </c>
      <c r="G1741">
        <v>0.525654315948486</v>
      </c>
      <c r="H1741">
        <v>0</v>
      </c>
      <c r="I1741">
        <v>0</v>
      </c>
      <c r="J1741">
        <v>30</v>
      </c>
    </row>
    <row r="1742" spans="1:10" x14ac:dyDescent="0.25">
      <c r="A1742" t="s">
        <v>22</v>
      </c>
      <c r="B1742" t="s">
        <v>19</v>
      </c>
      <c r="C1742" t="s">
        <v>18</v>
      </c>
      <c r="D1742" t="s">
        <v>16</v>
      </c>
      <c r="E1742">
        <v>0</v>
      </c>
      <c r="F1742">
        <v>0.75</v>
      </c>
      <c r="G1742">
        <v>1.5726089477539E-2</v>
      </c>
      <c r="H1742">
        <v>0</v>
      </c>
      <c r="I1742">
        <v>0</v>
      </c>
      <c r="J1742">
        <v>30</v>
      </c>
    </row>
    <row r="1743" spans="1:10" x14ac:dyDescent="0.25">
      <c r="A1743" t="s">
        <v>22</v>
      </c>
      <c r="B1743" t="s">
        <v>19</v>
      </c>
      <c r="C1743" t="s">
        <v>18</v>
      </c>
      <c r="D1743" t="s">
        <v>16</v>
      </c>
      <c r="E1743">
        <v>0</v>
      </c>
      <c r="F1743">
        <v>0.75</v>
      </c>
      <c r="G1743">
        <v>3.9435863494872998E-2</v>
      </c>
      <c r="H1743">
        <v>0</v>
      </c>
      <c r="I1743">
        <v>0</v>
      </c>
      <c r="J1743">
        <v>30</v>
      </c>
    </row>
    <row r="1744" spans="1:10" x14ac:dyDescent="0.25">
      <c r="A1744" t="s">
        <v>22</v>
      </c>
      <c r="B1744" t="s">
        <v>19</v>
      </c>
      <c r="C1744" t="s">
        <v>18</v>
      </c>
      <c r="D1744" t="s">
        <v>16</v>
      </c>
      <c r="E1744">
        <v>0</v>
      </c>
      <c r="F1744">
        <v>0.75</v>
      </c>
      <c r="G1744">
        <v>3.9435863494872998E-2</v>
      </c>
      <c r="H1744">
        <v>0</v>
      </c>
      <c r="I1744">
        <v>0</v>
      </c>
      <c r="J1744">
        <v>30</v>
      </c>
    </row>
    <row r="1745" spans="1:10" x14ac:dyDescent="0.25">
      <c r="A1745" t="s">
        <v>22</v>
      </c>
      <c r="B1745" t="s">
        <v>19</v>
      </c>
      <c r="C1745" t="s">
        <v>18</v>
      </c>
      <c r="D1745" t="s">
        <v>16</v>
      </c>
      <c r="E1745">
        <v>0</v>
      </c>
      <c r="F1745">
        <v>0.75</v>
      </c>
      <c r="G1745">
        <v>3.4149169921875E-2</v>
      </c>
      <c r="H1745">
        <v>0</v>
      </c>
      <c r="I1745">
        <v>0</v>
      </c>
      <c r="J1745">
        <v>30</v>
      </c>
    </row>
    <row r="1746" spans="1:10" x14ac:dyDescent="0.25">
      <c r="A1746" t="s">
        <v>22</v>
      </c>
      <c r="B1746" t="s">
        <v>19</v>
      </c>
      <c r="C1746" t="s">
        <v>18</v>
      </c>
      <c r="D1746" t="s">
        <v>16</v>
      </c>
      <c r="E1746">
        <v>0</v>
      </c>
      <c r="F1746">
        <v>0.75</v>
      </c>
      <c r="G1746">
        <v>3.4149169921875E-2</v>
      </c>
      <c r="H1746">
        <v>0</v>
      </c>
      <c r="I1746">
        <v>0</v>
      </c>
      <c r="J1746">
        <v>30</v>
      </c>
    </row>
    <row r="1747" spans="1:10" x14ac:dyDescent="0.25">
      <c r="A1747" t="s">
        <v>22</v>
      </c>
      <c r="B1747" t="s">
        <v>19</v>
      </c>
      <c r="C1747" t="s">
        <v>18</v>
      </c>
      <c r="D1747" t="s">
        <v>16</v>
      </c>
      <c r="E1747">
        <v>0</v>
      </c>
      <c r="F1747">
        <v>0.75</v>
      </c>
      <c r="G1747">
        <v>3.0984640121459898E-2</v>
      </c>
      <c r="H1747">
        <v>0</v>
      </c>
      <c r="I1747">
        <v>0</v>
      </c>
      <c r="J1747">
        <v>30</v>
      </c>
    </row>
    <row r="1748" spans="1:10" x14ac:dyDescent="0.25">
      <c r="A1748" t="s">
        <v>22</v>
      </c>
      <c r="B1748" t="s">
        <v>19</v>
      </c>
      <c r="C1748" t="s">
        <v>18</v>
      </c>
      <c r="D1748" t="s">
        <v>16</v>
      </c>
      <c r="E1748">
        <v>0</v>
      </c>
      <c r="F1748">
        <v>0.75</v>
      </c>
      <c r="G1748">
        <v>3.06770801544189E-2</v>
      </c>
      <c r="H1748">
        <v>0</v>
      </c>
      <c r="I1748">
        <v>0</v>
      </c>
      <c r="J1748">
        <v>30</v>
      </c>
    </row>
    <row r="1749" spans="1:10" x14ac:dyDescent="0.25">
      <c r="A1749" t="s">
        <v>22</v>
      </c>
      <c r="B1749" t="s">
        <v>19</v>
      </c>
      <c r="C1749" t="s">
        <v>18</v>
      </c>
      <c r="D1749" t="s">
        <v>16</v>
      </c>
      <c r="E1749">
        <v>0</v>
      </c>
      <c r="F1749">
        <v>0.75</v>
      </c>
      <c r="G1749">
        <v>3.06770801544189E-2</v>
      </c>
      <c r="H1749">
        <v>0</v>
      </c>
      <c r="I1749">
        <v>0</v>
      </c>
      <c r="J1749">
        <v>30</v>
      </c>
    </row>
    <row r="1750" spans="1:10" x14ac:dyDescent="0.25">
      <c r="A1750" t="s">
        <v>22</v>
      </c>
      <c r="B1750" t="s">
        <v>19</v>
      </c>
      <c r="C1750" t="s">
        <v>18</v>
      </c>
      <c r="D1750" t="s">
        <v>16</v>
      </c>
      <c r="E1750">
        <v>0</v>
      </c>
      <c r="F1750">
        <v>0.75</v>
      </c>
      <c r="G1750">
        <v>4.0915489196777302E-2</v>
      </c>
      <c r="H1750">
        <v>0</v>
      </c>
      <c r="I1750">
        <v>0</v>
      </c>
      <c r="J1750">
        <v>30</v>
      </c>
    </row>
    <row r="1751" spans="1:10" x14ac:dyDescent="0.25">
      <c r="A1751" t="s">
        <v>22</v>
      </c>
      <c r="B1751" t="s">
        <v>19</v>
      </c>
      <c r="C1751" t="s">
        <v>18</v>
      </c>
      <c r="D1751" t="s">
        <v>16</v>
      </c>
      <c r="E1751">
        <v>0</v>
      </c>
      <c r="F1751">
        <v>0.75</v>
      </c>
      <c r="G1751">
        <v>3.06770801544189E-2</v>
      </c>
      <c r="H1751">
        <v>0</v>
      </c>
      <c r="I1751">
        <v>0</v>
      </c>
      <c r="J1751">
        <v>30</v>
      </c>
    </row>
    <row r="1752" spans="1:10" x14ac:dyDescent="0.25">
      <c r="A1752" t="s">
        <v>22</v>
      </c>
      <c r="B1752" t="s">
        <v>19</v>
      </c>
      <c r="C1752" t="s">
        <v>18</v>
      </c>
      <c r="D1752" t="s">
        <v>16</v>
      </c>
      <c r="E1752">
        <v>0</v>
      </c>
      <c r="F1752">
        <v>0.75</v>
      </c>
      <c r="G1752">
        <v>4.4057607650756801E-2</v>
      </c>
      <c r="H1752">
        <v>0</v>
      </c>
      <c r="I1752">
        <v>0</v>
      </c>
      <c r="J1752">
        <v>30</v>
      </c>
    </row>
    <row r="1753" spans="1:10" x14ac:dyDescent="0.25">
      <c r="A1753" t="s">
        <v>22</v>
      </c>
      <c r="B1753" t="s">
        <v>19</v>
      </c>
      <c r="C1753" t="s">
        <v>18</v>
      </c>
      <c r="D1753" t="s">
        <v>16</v>
      </c>
      <c r="E1753">
        <v>0</v>
      </c>
      <c r="F1753">
        <v>0.75</v>
      </c>
      <c r="G1753">
        <v>3.4149169921875E-2</v>
      </c>
      <c r="H1753">
        <v>0</v>
      </c>
      <c r="I1753">
        <v>0</v>
      </c>
      <c r="J1753">
        <v>30</v>
      </c>
    </row>
    <row r="1754" spans="1:10" x14ac:dyDescent="0.25">
      <c r="A1754" t="s">
        <v>22</v>
      </c>
      <c r="B1754" t="s">
        <v>19</v>
      </c>
      <c r="C1754" t="s">
        <v>18</v>
      </c>
      <c r="D1754" t="s">
        <v>16</v>
      </c>
      <c r="E1754">
        <v>0</v>
      </c>
      <c r="F1754">
        <v>0.75</v>
      </c>
      <c r="G1754">
        <v>4.7373533248901298E-2</v>
      </c>
      <c r="H1754">
        <v>0</v>
      </c>
      <c r="I1754">
        <v>0</v>
      </c>
      <c r="J1754">
        <v>30</v>
      </c>
    </row>
    <row r="1755" spans="1:10" x14ac:dyDescent="0.25">
      <c r="A1755" t="s">
        <v>22</v>
      </c>
      <c r="B1755" t="s">
        <v>19</v>
      </c>
      <c r="C1755" t="s">
        <v>18</v>
      </c>
      <c r="D1755" t="s">
        <v>16</v>
      </c>
      <c r="E1755">
        <v>0</v>
      </c>
      <c r="F1755">
        <v>0.75</v>
      </c>
      <c r="G1755">
        <v>3.9435863494872998E-2</v>
      </c>
      <c r="H1755">
        <v>0</v>
      </c>
      <c r="I1755">
        <v>0</v>
      </c>
      <c r="J1755">
        <v>30</v>
      </c>
    </row>
    <row r="1756" spans="1:10" x14ac:dyDescent="0.25">
      <c r="A1756" t="s">
        <v>22</v>
      </c>
      <c r="B1756" t="s">
        <v>19</v>
      </c>
      <c r="C1756" t="s">
        <v>18</v>
      </c>
      <c r="D1756" t="s">
        <v>16</v>
      </c>
      <c r="E1756">
        <v>0</v>
      </c>
      <c r="F1756">
        <v>0.75</v>
      </c>
      <c r="G1756">
        <v>3.9435863494872998E-2</v>
      </c>
      <c r="H1756">
        <v>0</v>
      </c>
      <c r="I1756">
        <v>0</v>
      </c>
      <c r="J1756">
        <v>30</v>
      </c>
    </row>
    <row r="1757" spans="1:10" x14ac:dyDescent="0.25">
      <c r="A1757" t="s">
        <v>22</v>
      </c>
      <c r="B1757" t="s">
        <v>19</v>
      </c>
      <c r="C1757" t="s">
        <v>18</v>
      </c>
      <c r="D1757" t="s">
        <v>16</v>
      </c>
      <c r="E1757">
        <v>0</v>
      </c>
      <c r="F1757">
        <v>0.75</v>
      </c>
      <c r="G1757">
        <v>3.4149169921875E-2</v>
      </c>
      <c r="H1757">
        <v>0</v>
      </c>
      <c r="I1757">
        <v>0</v>
      </c>
      <c r="J1757">
        <v>30</v>
      </c>
    </row>
    <row r="1758" spans="1:10" x14ac:dyDescent="0.25">
      <c r="A1758" t="s">
        <v>22</v>
      </c>
      <c r="B1758" t="s">
        <v>19</v>
      </c>
      <c r="C1758" t="s">
        <v>18</v>
      </c>
      <c r="D1758" t="s">
        <v>16</v>
      </c>
      <c r="E1758">
        <v>0</v>
      </c>
      <c r="F1758">
        <v>0.75</v>
      </c>
      <c r="G1758">
        <v>4.0915489196777302E-2</v>
      </c>
      <c r="H1758">
        <v>0</v>
      </c>
      <c r="I1758">
        <v>0</v>
      </c>
      <c r="J1758">
        <v>30</v>
      </c>
    </row>
    <row r="1759" spans="1:10" x14ac:dyDescent="0.25">
      <c r="A1759" t="s">
        <v>22</v>
      </c>
      <c r="B1759" t="s">
        <v>19</v>
      </c>
      <c r="C1759" t="s">
        <v>18</v>
      </c>
      <c r="D1759" t="s">
        <v>16</v>
      </c>
      <c r="E1759">
        <v>0</v>
      </c>
      <c r="F1759">
        <v>0.75</v>
      </c>
      <c r="G1759">
        <v>3.4149169921875E-2</v>
      </c>
      <c r="H1759">
        <v>0</v>
      </c>
      <c r="I1759">
        <v>0</v>
      </c>
      <c r="J1759">
        <v>30</v>
      </c>
    </row>
    <row r="1760" spans="1:10" x14ac:dyDescent="0.25">
      <c r="A1760" t="s">
        <v>22</v>
      </c>
      <c r="B1760" t="s">
        <v>19</v>
      </c>
      <c r="C1760" t="s">
        <v>18</v>
      </c>
      <c r="D1760" t="s">
        <v>16</v>
      </c>
      <c r="E1760">
        <v>0</v>
      </c>
      <c r="F1760">
        <v>0.75</v>
      </c>
      <c r="G1760">
        <v>4.0915489196777302E-2</v>
      </c>
      <c r="H1760">
        <v>0</v>
      </c>
      <c r="I1760">
        <v>0</v>
      </c>
      <c r="J1760">
        <v>30</v>
      </c>
    </row>
    <row r="1761" spans="1:10" x14ac:dyDescent="0.25">
      <c r="A1761" t="s">
        <v>22</v>
      </c>
      <c r="B1761" t="s">
        <v>19</v>
      </c>
      <c r="C1761" t="s">
        <v>18</v>
      </c>
      <c r="D1761" t="s">
        <v>16</v>
      </c>
      <c r="E1761">
        <v>0</v>
      </c>
      <c r="F1761">
        <v>0.75</v>
      </c>
      <c r="G1761">
        <v>4.7373533248901298E-2</v>
      </c>
      <c r="H1761">
        <v>0</v>
      </c>
      <c r="I1761">
        <v>0</v>
      </c>
      <c r="J1761">
        <v>30</v>
      </c>
    </row>
    <row r="1762" spans="1:10" x14ac:dyDescent="0.25">
      <c r="A1762" t="s">
        <v>22</v>
      </c>
      <c r="B1762" t="s">
        <v>19</v>
      </c>
      <c r="C1762" t="s">
        <v>18</v>
      </c>
      <c r="D1762" t="s">
        <v>16</v>
      </c>
      <c r="E1762">
        <v>0</v>
      </c>
      <c r="F1762">
        <v>0.75</v>
      </c>
      <c r="G1762">
        <v>3.06770801544189E-2</v>
      </c>
      <c r="H1762">
        <v>0</v>
      </c>
      <c r="I1762">
        <v>0</v>
      </c>
      <c r="J1762">
        <v>30</v>
      </c>
    </row>
    <row r="1763" spans="1:10" x14ac:dyDescent="0.25">
      <c r="A1763" t="s">
        <v>22</v>
      </c>
      <c r="B1763" t="s">
        <v>19</v>
      </c>
      <c r="C1763" t="s">
        <v>18</v>
      </c>
      <c r="D1763" t="s">
        <v>16</v>
      </c>
      <c r="E1763">
        <v>0</v>
      </c>
      <c r="F1763">
        <v>0.75</v>
      </c>
      <c r="G1763">
        <v>4.4057607650756801E-2</v>
      </c>
      <c r="H1763">
        <v>0</v>
      </c>
      <c r="I1763">
        <v>0</v>
      </c>
      <c r="J1763">
        <v>30</v>
      </c>
    </row>
    <row r="1764" spans="1:10" x14ac:dyDescent="0.25">
      <c r="A1764" t="s">
        <v>22</v>
      </c>
      <c r="B1764" t="s">
        <v>19</v>
      </c>
      <c r="C1764" t="s">
        <v>18</v>
      </c>
      <c r="D1764" t="s">
        <v>16</v>
      </c>
      <c r="E1764">
        <v>0</v>
      </c>
      <c r="F1764">
        <v>0.75</v>
      </c>
      <c r="G1764">
        <v>4.4057607650756801E-2</v>
      </c>
      <c r="H1764">
        <v>0</v>
      </c>
      <c r="I1764">
        <v>0</v>
      </c>
      <c r="J1764">
        <v>30</v>
      </c>
    </row>
    <row r="1765" spans="1:10" x14ac:dyDescent="0.25">
      <c r="A1765" t="s">
        <v>22</v>
      </c>
      <c r="B1765" t="s">
        <v>19</v>
      </c>
      <c r="C1765" t="s">
        <v>18</v>
      </c>
      <c r="D1765" t="s">
        <v>16</v>
      </c>
      <c r="E1765">
        <v>0</v>
      </c>
      <c r="F1765">
        <v>0.75</v>
      </c>
      <c r="G1765">
        <v>4.0915489196777302E-2</v>
      </c>
      <c r="H1765">
        <v>0</v>
      </c>
      <c r="I1765">
        <v>0</v>
      </c>
      <c r="J1765">
        <v>30</v>
      </c>
    </row>
    <row r="1766" spans="1:10" x14ac:dyDescent="0.25">
      <c r="A1766" t="s">
        <v>22</v>
      </c>
      <c r="B1766" t="s">
        <v>19</v>
      </c>
      <c r="C1766" t="s">
        <v>18</v>
      </c>
      <c r="D1766" t="s">
        <v>16</v>
      </c>
      <c r="E1766">
        <v>0</v>
      </c>
      <c r="F1766">
        <v>0.75</v>
      </c>
      <c r="G1766">
        <v>4.4057607650756801E-2</v>
      </c>
      <c r="H1766">
        <v>0</v>
      </c>
      <c r="I1766">
        <v>0</v>
      </c>
      <c r="J1766">
        <v>30</v>
      </c>
    </row>
    <row r="1767" spans="1:10" x14ac:dyDescent="0.25">
      <c r="A1767" t="s">
        <v>22</v>
      </c>
      <c r="B1767" t="s">
        <v>19</v>
      </c>
      <c r="C1767" t="s">
        <v>18</v>
      </c>
      <c r="D1767" t="s">
        <v>16</v>
      </c>
      <c r="E1767">
        <v>0</v>
      </c>
      <c r="F1767">
        <v>0.75</v>
      </c>
      <c r="G1767">
        <v>4.0915489196777302E-2</v>
      </c>
      <c r="H1767">
        <v>0</v>
      </c>
      <c r="I1767">
        <v>0</v>
      </c>
      <c r="J1767">
        <v>30</v>
      </c>
    </row>
    <row r="1768" spans="1:10" x14ac:dyDescent="0.25">
      <c r="A1768" t="s">
        <v>22</v>
      </c>
      <c r="B1768" t="s">
        <v>19</v>
      </c>
      <c r="C1768" t="s">
        <v>18</v>
      </c>
      <c r="D1768" t="s">
        <v>16</v>
      </c>
      <c r="E1768">
        <v>0</v>
      </c>
      <c r="F1768">
        <v>0.75</v>
      </c>
      <c r="G1768">
        <v>4.4057607650756801E-2</v>
      </c>
      <c r="H1768">
        <v>0</v>
      </c>
      <c r="I1768">
        <v>0</v>
      </c>
      <c r="J1768">
        <v>30</v>
      </c>
    </row>
    <row r="1769" spans="1:10" x14ac:dyDescent="0.25">
      <c r="A1769" t="s">
        <v>22</v>
      </c>
      <c r="B1769" t="s">
        <v>19</v>
      </c>
      <c r="C1769" t="s">
        <v>18</v>
      </c>
      <c r="D1769" t="s">
        <v>16</v>
      </c>
      <c r="E1769">
        <v>0</v>
      </c>
      <c r="F1769">
        <v>0.75</v>
      </c>
      <c r="G1769">
        <v>4.4057607650756801E-2</v>
      </c>
      <c r="H1769">
        <v>0</v>
      </c>
      <c r="I1769">
        <v>0</v>
      </c>
      <c r="J1769">
        <v>30</v>
      </c>
    </row>
    <row r="1770" spans="1:10" x14ac:dyDescent="0.25">
      <c r="A1770" t="s">
        <v>22</v>
      </c>
      <c r="B1770" t="s">
        <v>19</v>
      </c>
      <c r="C1770" t="s">
        <v>18</v>
      </c>
      <c r="D1770" t="s">
        <v>16</v>
      </c>
      <c r="E1770">
        <v>0</v>
      </c>
      <c r="F1770">
        <v>0.75</v>
      </c>
      <c r="G1770">
        <v>4.4057607650756801E-2</v>
      </c>
      <c r="H1770">
        <v>0</v>
      </c>
      <c r="I1770">
        <v>0</v>
      </c>
      <c r="J1770">
        <v>30</v>
      </c>
    </row>
    <row r="1771" spans="1:10" x14ac:dyDescent="0.25">
      <c r="A1771" t="s">
        <v>22</v>
      </c>
      <c r="B1771" t="s">
        <v>19</v>
      </c>
      <c r="C1771" t="s">
        <v>18</v>
      </c>
      <c r="D1771" t="s">
        <v>16</v>
      </c>
      <c r="E1771">
        <v>0</v>
      </c>
      <c r="F1771">
        <v>0.75</v>
      </c>
      <c r="G1771">
        <v>4.0915489196777302E-2</v>
      </c>
      <c r="H1771">
        <v>0</v>
      </c>
      <c r="I1771">
        <v>0</v>
      </c>
      <c r="J1771">
        <v>30</v>
      </c>
    </row>
    <row r="1772" spans="1:10" x14ac:dyDescent="0.25">
      <c r="A1772" t="s">
        <v>22</v>
      </c>
      <c r="B1772" t="s">
        <v>19</v>
      </c>
      <c r="C1772" t="s">
        <v>18</v>
      </c>
      <c r="D1772" t="s">
        <v>17</v>
      </c>
      <c r="E1772">
        <v>0</v>
      </c>
      <c r="F1772">
        <v>0.75</v>
      </c>
      <c r="G1772">
        <v>0.249378442764282</v>
      </c>
      <c r="H1772">
        <v>1</v>
      </c>
      <c r="I1772">
        <v>3</v>
      </c>
      <c r="J1772">
        <v>30</v>
      </c>
    </row>
    <row r="1773" spans="1:10" x14ac:dyDescent="0.25">
      <c r="A1773" t="s">
        <v>22</v>
      </c>
      <c r="B1773" t="s">
        <v>19</v>
      </c>
      <c r="C1773" t="s">
        <v>18</v>
      </c>
      <c r="D1773" t="s">
        <v>17</v>
      </c>
      <c r="E1773">
        <v>0</v>
      </c>
      <c r="F1773">
        <v>0.75</v>
      </c>
      <c r="G1773">
        <v>0.31334900856018</v>
      </c>
      <c r="H1773">
        <v>0</v>
      </c>
      <c r="I1773">
        <v>0</v>
      </c>
      <c r="J1773">
        <v>30</v>
      </c>
    </row>
    <row r="1774" spans="1:10" x14ac:dyDescent="0.25">
      <c r="A1774" t="s">
        <v>22</v>
      </c>
      <c r="B1774" t="s">
        <v>19</v>
      </c>
      <c r="C1774" t="s">
        <v>18</v>
      </c>
      <c r="D1774" t="s">
        <v>17</v>
      </c>
      <c r="E1774">
        <v>0</v>
      </c>
      <c r="F1774">
        <v>0.75</v>
      </c>
      <c r="G1774">
        <v>0.361079931259155</v>
      </c>
      <c r="H1774">
        <v>0</v>
      </c>
      <c r="I1774">
        <v>0</v>
      </c>
      <c r="J1774">
        <v>30</v>
      </c>
    </row>
    <row r="1775" spans="1:10" x14ac:dyDescent="0.25">
      <c r="A1775" t="s">
        <v>22</v>
      </c>
      <c r="B1775" t="s">
        <v>19</v>
      </c>
      <c r="C1775" t="s">
        <v>18</v>
      </c>
      <c r="D1775" t="s">
        <v>17</v>
      </c>
      <c r="E1775">
        <v>0</v>
      </c>
      <c r="F1775">
        <v>0.75</v>
      </c>
      <c r="G1775">
        <v>0.36132788658142001</v>
      </c>
      <c r="H1775">
        <v>0</v>
      </c>
      <c r="I1775">
        <v>0</v>
      </c>
      <c r="J1775">
        <v>30</v>
      </c>
    </row>
    <row r="1776" spans="1:10" x14ac:dyDescent="0.25">
      <c r="A1776" t="s">
        <v>22</v>
      </c>
      <c r="B1776" t="s">
        <v>19</v>
      </c>
      <c r="C1776" t="s">
        <v>18</v>
      </c>
      <c r="D1776" t="s">
        <v>17</v>
      </c>
      <c r="E1776">
        <v>0</v>
      </c>
      <c r="F1776">
        <v>0.75</v>
      </c>
      <c r="G1776">
        <v>0.37157893180847101</v>
      </c>
      <c r="H1776">
        <v>0</v>
      </c>
      <c r="I1776">
        <v>0</v>
      </c>
      <c r="J1776">
        <v>30</v>
      </c>
    </row>
    <row r="1777" spans="1:10" x14ac:dyDescent="0.25">
      <c r="A1777" t="s">
        <v>22</v>
      </c>
      <c r="B1777" t="s">
        <v>19</v>
      </c>
      <c r="C1777" t="s">
        <v>18</v>
      </c>
      <c r="D1777" t="s">
        <v>17</v>
      </c>
      <c r="E1777">
        <v>0</v>
      </c>
      <c r="F1777">
        <v>0.75</v>
      </c>
      <c r="G1777">
        <v>0.42284297943115201</v>
      </c>
      <c r="H1777">
        <v>0</v>
      </c>
      <c r="I1777">
        <v>0</v>
      </c>
      <c r="J1777">
        <v>30</v>
      </c>
    </row>
    <row r="1778" spans="1:10" x14ac:dyDescent="0.25">
      <c r="A1778" t="s">
        <v>22</v>
      </c>
      <c r="B1778" t="s">
        <v>19</v>
      </c>
      <c r="C1778" t="s">
        <v>18</v>
      </c>
      <c r="D1778" t="s">
        <v>17</v>
      </c>
      <c r="E1778">
        <v>0</v>
      </c>
      <c r="F1778">
        <v>0.75</v>
      </c>
      <c r="G1778">
        <v>0.45421624183654702</v>
      </c>
      <c r="H1778">
        <v>1</v>
      </c>
      <c r="I1778">
        <v>3</v>
      </c>
      <c r="J1778">
        <v>30</v>
      </c>
    </row>
    <row r="1779" spans="1:10" x14ac:dyDescent="0.25">
      <c r="A1779" t="s">
        <v>22</v>
      </c>
      <c r="B1779" t="s">
        <v>19</v>
      </c>
      <c r="C1779" t="s">
        <v>18</v>
      </c>
      <c r="D1779" t="s">
        <v>17</v>
      </c>
      <c r="E1779">
        <v>0</v>
      </c>
      <c r="F1779">
        <v>0.75</v>
      </c>
      <c r="G1779">
        <v>0.55259251594543402</v>
      </c>
      <c r="H1779">
        <v>0</v>
      </c>
      <c r="I1779">
        <v>0</v>
      </c>
      <c r="J1779">
        <v>30</v>
      </c>
    </row>
    <row r="1780" spans="1:10" x14ac:dyDescent="0.25">
      <c r="A1780" t="s">
        <v>22</v>
      </c>
      <c r="B1780" t="s">
        <v>19</v>
      </c>
      <c r="C1780" t="s">
        <v>18</v>
      </c>
      <c r="D1780" t="s">
        <v>17</v>
      </c>
      <c r="E1780">
        <v>0</v>
      </c>
      <c r="F1780">
        <v>0.75</v>
      </c>
      <c r="G1780">
        <v>0.58827948570251398</v>
      </c>
      <c r="H1780">
        <v>1</v>
      </c>
      <c r="I1780">
        <v>3</v>
      </c>
      <c r="J1780">
        <v>30</v>
      </c>
    </row>
    <row r="1781" spans="1:10" x14ac:dyDescent="0.25">
      <c r="A1781" t="s">
        <v>22</v>
      </c>
      <c r="B1781" t="s">
        <v>19</v>
      </c>
      <c r="C1781" t="s">
        <v>18</v>
      </c>
      <c r="D1781" t="s">
        <v>17</v>
      </c>
      <c r="E1781">
        <v>0</v>
      </c>
      <c r="F1781">
        <v>0.75</v>
      </c>
      <c r="G1781">
        <v>0.60884737968444802</v>
      </c>
      <c r="H1781">
        <v>1</v>
      </c>
      <c r="I1781">
        <v>3</v>
      </c>
      <c r="J1781">
        <v>30</v>
      </c>
    </row>
    <row r="1782" spans="1:10" x14ac:dyDescent="0.25">
      <c r="A1782" t="s">
        <v>22</v>
      </c>
      <c r="B1782" t="s">
        <v>19</v>
      </c>
      <c r="C1782" t="s">
        <v>18</v>
      </c>
      <c r="D1782" t="s">
        <v>17</v>
      </c>
      <c r="E1782">
        <v>0</v>
      </c>
      <c r="F1782">
        <v>0.75</v>
      </c>
      <c r="G1782">
        <v>0.70147085189819303</v>
      </c>
      <c r="H1782">
        <v>1</v>
      </c>
      <c r="I1782">
        <v>3</v>
      </c>
      <c r="J1782">
        <v>30</v>
      </c>
    </row>
    <row r="1783" spans="1:10" x14ac:dyDescent="0.25">
      <c r="A1783" t="s">
        <v>22</v>
      </c>
      <c r="B1783" t="s">
        <v>19</v>
      </c>
      <c r="C1783" t="s">
        <v>18</v>
      </c>
      <c r="D1783" t="s">
        <v>17</v>
      </c>
      <c r="E1783">
        <v>0</v>
      </c>
      <c r="F1783">
        <v>0.75</v>
      </c>
      <c r="G1783">
        <v>0.69627451896667403</v>
      </c>
      <c r="H1783">
        <v>0</v>
      </c>
      <c r="I1783">
        <v>0</v>
      </c>
      <c r="J1783">
        <v>30</v>
      </c>
    </row>
    <row r="1784" spans="1:10" x14ac:dyDescent="0.25">
      <c r="A1784" t="s">
        <v>22</v>
      </c>
      <c r="B1784" t="s">
        <v>19</v>
      </c>
      <c r="C1784" t="s">
        <v>18</v>
      </c>
      <c r="D1784" t="s">
        <v>17</v>
      </c>
      <c r="E1784">
        <v>0</v>
      </c>
      <c r="F1784">
        <v>0.75</v>
      </c>
      <c r="G1784">
        <v>0.75759410858154297</v>
      </c>
      <c r="H1784">
        <v>1</v>
      </c>
      <c r="I1784">
        <v>4</v>
      </c>
      <c r="J1784">
        <v>30</v>
      </c>
    </row>
    <row r="1785" spans="1:10" x14ac:dyDescent="0.25">
      <c r="A1785" t="s">
        <v>22</v>
      </c>
      <c r="B1785" t="s">
        <v>19</v>
      </c>
      <c r="C1785" t="s">
        <v>18</v>
      </c>
      <c r="D1785" t="s">
        <v>17</v>
      </c>
      <c r="E1785">
        <v>0</v>
      </c>
      <c r="F1785">
        <v>0.75</v>
      </c>
      <c r="G1785">
        <v>0.76316475868225098</v>
      </c>
      <c r="H1785">
        <v>0</v>
      </c>
      <c r="I1785">
        <v>0</v>
      </c>
      <c r="J1785">
        <v>30</v>
      </c>
    </row>
    <row r="1786" spans="1:10" x14ac:dyDescent="0.25">
      <c r="A1786" t="s">
        <v>22</v>
      </c>
      <c r="B1786" t="s">
        <v>19</v>
      </c>
      <c r="C1786" t="s">
        <v>18</v>
      </c>
      <c r="D1786" t="s">
        <v>17</v>
      </c>
      <c r="E1786">
        <v>0</v>
      </c>
      <c r="F1786">
        <v>0.75</v>
      </c>
      <c r="G1786">
        <v>0.78349351882934504</v>
      </c>
      <c r="H1786">
        <v>1</v>
      </c>
      <c r="I1786">
        <v>3</v>
      </c>
      <c r="J1786">
        <v>30</v>
      </c>
    </row>
    <row r="1787" spans="1:10" x14ac:dyDescent="0.25">
      <c r="A1787" t="s">
        <v>22</v>
      </c>
      <c r="B1787" t="s">
        <v>19</v>
      </c>
      <c r="C1787" t="s">
        <v>18</v>
      </c>
      <c r="D1787" t="s">
        <v>17</v>
      </c>
      <c r="E1787">
        <v>0</v>
      </c>
      <c r="F1787">
        <v>0.75</v>
      </c>
      <c r="G1787">
        <v>0.77829909324645996</v>
      </c>
      <c r="H1787">
        <v>1</v>
      </c>
      <c r="I1787">
        <v>3</v>
      </c>
      <c r="J1787">
        <v>30</v>
      </c>
    </row>
    <row r="1788" spans="1:10" x14ac:dyDescent="0.25">
      <c r="A1788" t="s">
        <v>22</v>
      </c>
      <c r="B1788" t="s">
        <v>19</v>
      </c>
      <c r="C1788" t="s">
        <v>18</v>
      </c>
      <c r="D1788" t="s">
        <v>17</v>
      </c>
      <c r="E1788">
        <v>0</v>
      </c>
      <c r="F1788">
        <v>0.75</v>
      </c>
      <c r="G1788">
        <v>0.955203056335449</v>
      </c>
      <c r="H1788">
        <v>1</v>
      </c>
      <c r="I1788">
        <v>3</v>
      </c>
      <c r="J1788">
        <v>30</v>
      </c>
    </row>
    <row r="1789" spans="1:10" x14ac:dyDescent="0.25">
      <c r="A1789" t="s">
        <v>22</v>
      </c>
      <c r="B1789" t="s">
        <v>19</v>
      </c>
      <c r="C1789" t="s">
        <v>18</v>
      </c>
      <c r="D1789" t="s">
        <v>17</v>
      </c>
      <c r="E1789">
        <v>0</v>
      </c>
      <c r="F1789">
        <v>0.75</v>
      </c>
      <c r="G1789">
        <v>0.99093294143676702</v>
      </c>
      <c r="H1789">
        <v>1</v>
      </c>
      <c r="I1789">
        <v>3</v>
      </c>
      <c r="J1789">
        <v>30</v>
      </c>
    </row>
    <row r="1790" spans="1:10" x14ac:dyDescent="0.25">
      <c r="A1790" t="s">
        <v>22</v>
      </c>
      <c r="B1790" t="s">
        <v>19</v>
      </c>
      <c r="C1790" t="s">
        <v>18</v>
      </c>
      <c r="D1790" t="s">
        <v>17</v>
      </c>
      <c r="E1790">
        <v>0</v>
      </c>
      <c r="F1790">
        <v>0.75</v>
      </c>
      <c r="G1790">
        <v>1.07242560386657</v>
      </c>
      <c r="H1790">
        <v>1</v>
      </c>
      <c r="I1790">
        <v>5</v>
      </c>
      <c r="J1790">
        <v>30</v>
      </c>
    </row>
    <row r="1791" spans="1:10" x14ac:dyDescent="0.25">
      <c r="A1791" t="s">
        <v>22</v>
      </c>
      <c r="B1791" t="s">
        <v>19</v>
      </c>
      <c r="C1791" t="s">
        <v>18</v>
      </c>
      <c r="D1791" t="s">
        <v>17</v>
      </c>
      <c r="E1791">
        <v>0</v>
      </c>
      <c r="F1791">
        <v>0.75</v>
      </c>
      <c r="G1791">
        <v>1.3661973476409901</v>
      </c>
      <c r="H1791">
        <v>2</v>
      </c>
      <c r="I1791">
        <v>6</v>
      </c>
      <c r="J1791">
        <v>30</v>
      </c>
    </row>
    <row r="1792" spans="1:10" x14ac:dyDescent="0.25">
      <c r="A1792" t="s">
        <v>22</v>
      </c>
      <c r="B1792" t="s">
        <v>19</v>
      </c>
      <c r="C1792" t="s">
        <v>18</v>
      </c>
      <c r="D1792" t="s">
        <v>17</v>
      </c>
      <c r="E1792">
        <v>0.10294117647058799</v>
      </c>
      <c r="F1792">
        <v>0.75659406727647005</v>
      </c>
      <c r="G1792">
        <v>1.7897400856018</v>
      </c>
      <c r="H1792">
        <v>11</v>
      </c>
      <c r="I1792">
        <v>18</v>
      </c>
      <c r="J1792">
        <v>30</v>
      </c>
    </row>
    <row r="1793" spans="1:10" x14ac:dyDescent="0.25">
      <c r="A1793" t="s">
        <v>22</v>
      </c>
      <c r="B1793" t="s">
        <v>19</v>
      </c>
      <c r="C1793" t="s">
        <v>18</v>
      </c>
      <c r="D1793" t="s">
        <v>17</v>
      </c>
      <c r="E1793">
        <v>0.10294117647058799</v>
      </c>
      <c r="F1793">
        <v>0.74438476636176398</v>
      </c>
      <c r="G1793">
        <v>1.9130487442016599</v>
      </c>
      <c r="H1793">
        <v>13</v>
      </c>
      <c r="I1793">
        <v>20</v>
      </c>
      <c r="J1793">
        <v>30</v>
      </c>
    </row>
    <row r="1794" spans="1:10" x14ac:dyDescent="0.25">
      <c r="A1794" t="s">
        <v>22</v>
      </c>
      <c r="B1794" t="s">
        <v>19</v>
      </c>
      <c r="C1794" t="s">
        <v>18</v>
      </c>
      <c r="D1794" t="s">
        <v>17</v>
      </c>
      <c r="E1794">
        <v>8.8235294117646995E-2</v>
      </c>
      <c r="F1794">
        <v>0.75670759730735204</v>
      </c>
      <c r="G1794">
        <v>2.0341947078704798</v>
      </c>
      <c r="H1794">
        <v>12</v>
      </c>
      <c r="I1794">
        <v>22</v>
      </c>
      <c r="J1794">
        <v>30</v>
      </c>
    </row>
    <row r="1795" spans="1:10" x14ac:dyDescent="0.25">
      <c r="A1795" t="s">
        <v>22</v>
      </c>
      <c r="B1795" t="s">
        <v>19</v>
      </c>
      <c r="C1795" t="s">
        <v>18</v>
      </c>
      <c r="D1795" t="s">
        <v>17</v>
      </c>
      <c r="E1795">
        <v>4.4117647058823498E-2</v>
      </c>
      <c r="F1795">
        <v>0.73932126103529405</v>
      </c>
      <c r="G1795">
        <v>2.1187841892242401</v>
      </c>
      <c r="H1795">
        <v>13</v>
      </c>
      <c r="I1795">
        <v>23</v>
      </c>
      <c r="J1795">
        <v>30</v>
      </c>
    </row>
    <row r="1796" spans="1:10" x14ac:dyDescent="0.25">
      <c r="A1796" t="s">
        <v>22</v>
      </c>
      <c r="B1796" t="s">
        <v>19</v>
      </c>
      <c r="C1796" t="s">
        <v>18</v>
      </c>
      <c r="D1796" t="s">
        <v>17</v>
      </c>
      <c r="E1796">
        <v>0.14705882352941099</v>
      </c>
      <c r="F1796">
        <v>0.76852762134999997</v>
      </c>
      <c r="G1796">
        <v>2.1350941658020002</v>
      </c>
      <c r="H1796">
        <v>12</v>
      </c>
      <c r="I1796">
        <v>20</v>
      </c>
      <c r="J1796">
        <v>30</v>
      </c>
    </row>
    <row r="1797" spans="1:10" x14ac:dyDescent="0.25">
      <c r="A1797" t="s">
        <v>22</v>
      </c>
      <c r="B1797" t="s">
        <v>19</v>
      </c>
      <c r="C1797" t="s">
        <v>18</v>
      </c>
      <c r="D1797" t="s">
        <v>17</v>
      </c>
      <c r="E1797">
        <v>0.23529411764705799</v>
      </c>
      <c r="F1797">
        <v>0.77786084946470502</v>
      </c>
      <c r="G1797">
        <v>2.5909452438354399</v>
      </c>
      <c r="H1797">
        <v>27</v>
      </c>
      <c r="I1797">
        <v>38</v>
      </c>
      <c r="J1797">
        <v>30</v>
      </c>
    </row>
    <row r="1798" spans="1:10" x14ac:dyDescent="0.25">
      <c r="A1798" t="s">
        <v>22</v>
      </c>
      <c r="B1798" t="s">
        <v>19</v>
      </c>
      <c r="C1798" t="s">
        <v>18</v>
      </c>
      <c r="D1798" t="s">
        <v>17</v>
      </c>
      <c r="E1798">
        <v>0.60294117647058798</v>
      </c>
      <c r="F1798">
        <v>0.80444874008823497</v>
      </c>
      <c r="G1798">
        <v>3.2994010448455802</v>
      </c>
      <c r="H1798">
        <v>103</v>
      </c>
      <c r="I1798">
        <v>142</v>
      </c>
      <c r="J1798">
        <v>30</v>
      </c>
    </row>
    <row r="1799" spans="1:10" x14ac:dyDescent="0.25">
      <c r="A1799" t="s">
        <v>22</v>
      </c>
      <c r="B1799" t="s">
        <v>19</v>
      </c>
      <c r="C1799" t="s">
        <v>18</v>
      </c>
      <c r="D1799" t="s">
        <v>17</v>
      </c>
      <c r="E1799">
        <v>0.29411764705882298</v>
      </c>
      <c r="F1799">
        <v>0.76616941559852902</v>
      </c>
      <c r="G1799">
        <v>3.3747599124908398</v>
      </c>
      <c r="H1799">
        <v>51</v>
      </c>
      <c r="I1799">
        <v>75</v>
      </c>
      <c r="J1799">
        <v>30</v>
      </c>
    </row>
    <row r="1800" spans="1:10" x14ac:dyDescent="0.25">
      <c r="A1800" t="s">
        <v>22</v>
      </c>
      <c r="B1800" t="s">
        <v>19</v>
      </c>
      <c r="C1800" t="s">
        <v>18</v>
      </c>
      <c r="D1800" t="s">
        <v>17</v>
      </c>
      <c r="E1800">
        <v>0.66176470588235203</v>
      </c>
      <c r="F1800">
        <v>0.81355498332647003</v>
      </c>
      <c r="G1800">
        <v>3.5347666740417401</v>
      </c>
      <c r="H1800">
        <v>90</v>
      </c>
      <c r="I1800">
        <v>132</v>
      </c>
      <c r="J1800">
        <v>30</v>
      </c>
    </row>
    <row r="1801" spans="1:10" x14ac:dyDescent="0.25">
      <c r="A1801" t="s">
        <v>22</v>
      </c>
      <c r="B1801" t="s">
        <v>19</v>
      </c>
      <c r="C1801" t="s">
        <v>18</v>
      </c>
      <c r="D1801" t="s">
        <v>17</v>
      </c>
      <c r="E1801">
        <v>0.76470588235294101</v>
      </c>
      <c r="F1801">
        <v>0.842845628888235</v>
      </c>
      <c r="G1801">
        <v>3.5462231636047301</v>
      </c>
      <c r="H1801">
        <v>78</v>
      </c>
      <c r="I1801">
        <v>110</v>
      </c>
      <c r="J1801">
        <v>30</v>
      </c>
    </row>
    <row r="1802" spans="1:10" x14ac:dyDescent="0.25">
      <c r="A1802" t="s">
        <v>22</v>
      </c>
      <c r="B1802" t="s">
        <v>20</v>
      </c>
      <c r="C1802" t="s">
        <v>12</v>
      </c>
      <c r="D1802" t="s">
        <v>13</v>
      </c>
      <c r="E1802">
        <v>0.10294117647058799</v>
      </c>
      <c r="F1802">
        <v>0.76302989303382296</v>
      </c>
      <c r="G1802">
        <v>13.293407678604099</v>
      </c>
      <c r="H1802">
        <v>12</v>
      </c>
      <c r="I1802">
        <v>16</v>
      </c>
      <c r="J1802">
        <v>30</v>
      </c>
    </row>
    <row r="1803" spans="1:10" x14ac:dyDescent="0.25">
      <c r="A1803" t="s">
        <v>22</v>
      </c>
      <c r="B1803" t="s">
        <v>20</v>
      </c>
      <c r="C1803" t="s">
        <v>12</v>
      </c>
      <c r="D1803" t="s">
        <v>13</v>
      </c>
      <c r="E1803">
        <v>8.8235294117646995E-2</v>
      </c>
      <c r="F1803">
        <v>0.76786467727499996</v>
      </c>
      <c r="G1803">
        <v>14.117502689361499</v>
      </c>
      <c r="H1803">
        <v>10</v>
      </c>
      <c r="I1803">
        <v>15</v>
      </c>
      <c r="J1803">
        <v>30</v>
      </c>
    </row>
    <row r="1804" spans="1:10" x14ac:dyDescent="0.25">
      <c r="A1804" t="s">
        <v>22</v>
      </c>
      <c r="B1804" t="s">
        <v>20</v>
      </c>
      <c r="C1804" t="s">
        <v>12</v>
      </c>
      <c r="D1804" t="s">
        <v>13</v>
      </c>
      <c r="E1804">
        <v>0.10294117647058799</v>
      </c>
      <c r="F1804">
        <v>0.76883127701323495</v>
      </c>
      <c r="G1804">
        <v>14.751303672790501</v>
      </c>
      <c r="H1804">
        <v>10</v>
      </c>
      <c r="I1804">
        <v>14</v>
      </c>
      <c r="J1804">
        <v>30</v>
      </c>
    </row>
    <row r="1805" spans="1:10" x14ac:dyDescent="0.25">
      <c r="A1805" t="s">
        <v>22</v>
      </c>
      <c r="B1805" t="s">
        <v>20</v>
      </c>
      <c r="C1805" t="s">
        <v>12</v>
      </c>
      <c r="D1805" t="s">
        <v>13</v>
      </c>
      <c r="E1805">
        <v>2.94117647058823E-2</v>
      </c>
      <c r="F1805">
        <v>0.74343215657205797</v>
      </c>
      <c r="G1805">
        <v>15.170066833496</v>
      </c>
      <c r="H1805">
        <v>12</v>
      </c>
      <c r="I1805">
        <v>15</v>
      </c>
      <c r="J1805">
        <v>30</v>
      </c>
    </row>
    <row r="1806" spans="1:10" x14ac:dyDescent="0.25">
      <c r="A1806" t="s">
        <v>22</v>
      </c>
      <c r="B1806" t="s">
        <v>20</v>
      </c>
      <c r="C1806" t="s">
        <v>12</v>
      </c>
      <c r="D1806" t="s">
        <v>13</v>
      </c>
      <c r="E1806">
        <v>0.10294117647058799</v>
      </c>
      <c r="F1806">
        <v>0.76551380070882302</v>
      </c>
      <c r="G1806">
        <v>15.192175149917601</v>
      </c>
      <c r="H1806">
        <v>13</v>
      </c>
      <c r="I1806">
        <v>18</v>
      </c>
      <c r="J1806">
        <v>30</v>
      </c>
    </row>
    <row r="1807" spans="1:10" x14ac:dyDescent="0.25">
      <c r="A1807" t="s">
        <v>22</v>
      </c>
      <c r="B1807" t="s">
        <v>20</v>
      </c>
      <c r="C1807" t="s">
        <v>12</v>
      </c>
      <c r="D1807" t="s">
        <v>13</v>
      </c>
      <c r="E1807">
        <v>8.8235294117646995E-2</v>
      </c>
      <c r="F1807">
        <v>0.75796416271176403</v>
      </c>
      <c r="G1807">
        <v>16.243114471435501</v>
      </c>
      <c r="H1807">
        <v>13</v>
      </c>
      <c r="I1807">
        <v>18</v>
      </c>
      <c r="J1807">
        <v>30</v>
      </c>
    </row>
    <row r="1808" spans="1:10" x14ac:dyDescent="0.25">
      <c r="A1808" t="s">
        <v>22</v>
      </c>
      <c r="B1808" t="s">
        <v>20</v>
      </c>
      <c r="C1808" t="s">
        <v>12</v>
      </c>
      <c r="D1808" t="s">
        <v>13</v>
      </c>
      <c r="E1808">
        <v>5.8823529411764698E-2</v>
      </c>
      <c r="F1808">
        <v>0.75442911386323497</v>
      </c>
      <c r="G1808">
        <v>16.752963066101</v>
      </c>
      <c r="H1808">
        <v>12</v>
      </c>
      <c r="I1808">
        <v>18</v>
      </c>
      <c r="J1808">
        <v>30</v>
      </c>
    </row>
    <row r="1809" spans="1:10" x14ac:dyDescent="0.25">
      <c r="A1809" t="s">
        <v>22</v>
      </c>
      <c r="B1809" t="s">
        <v>20</v>
      </c>
      <c r="C1809" t="s">
        <v>12</v>
      </c>
      <c r="D1809" t="s">
        <v>13</v>
      </c>
      <c r="E1809">
        <v>0.66176470588235203</v>
      </c>
      <c r="F1809">
        <v>0.86909121188235305</v>
      </c>
      <c r="G1809">
        <v>17.2045607566833</v>
      </c>
      <c r="H1809">
        <v>23</v>
      </c>
      <c r="I1809">
        <v>30</v>
      </c>
      <c r="J1809">
        <v>30</v>
      </c>
    </row>
    <row r="1810" spans="1:10" x14ac:dyDescent="0.25">
      <c r="A1810" t="s">
        <v>22</v>
      </c>
      <c r="B1810" t="s">
        <v>20</v>
      </c>
      <c r="C1810" t="s">
        <v>12</v>
      </c>
      <c r="D1810" t="s">
        <v>13</v>
      </c>
      <c r="E1810">
        <v>0.79411764705882304</v>
      </c>
      <c r="F1810">
        <v>0.82066589072205798</v>
      </c>
      <c r="G1810">
        <v>17.399597883224398</v>
      </c>
      <c r="H1810">
        <v>30</v>
      </c>
      <c r="I1810">
        <v>42</v>
      </c>
      <c r="J1810">
        <v>30</v>
      </c>
    </row>
    <row r="1811" spans="1:10" x14ac:dyDescent="0.25">
      <c r="A1811" t="s">
        <v>22</v>
      </c>
      <c r="B1811" t="s">
        <v>20</v>
      </c>
      <c r="C1811" t="s">
        <v>12</v>
      </c>
      <c r="D1811" t="s">
        <v>13</v>
      </c>
      <c r="E1811">
        <v>0.11764705882352899</v>
      </c>
      <c r="F1811">
        <v>0.76145302836470496</v>
      </c>
      <c r="G1811">
        <v>17.522505283355699</v>
      </c>
      <c r="H1811">
        <v>12</v>
      </c>
      <c r="I1811">
        <v>20</v>
      </c>
      <c r="J1811">
        <v>30</v>
      </c>
    </row>
    <row r="1812" spans="1:10" x14ac:dyDescent="0.25">
      <c r="A1812" t="s">
        <v>22</v>
      </c>
      <c r="B1812" t="s">
        <v>20</v>
      </c>
      <c r="C1812" t="s">
        <v>12</v>
      </c>
      <c r="D1812" t="s">
        <v>13</v>
      </c>
      <c r="E1812">
        <v>0.10294117647058799</v>
      </c>
      <c r="F1812">
        <v>0.76405009450146999</v>
      </c>
      <c r="G1812">
        <v>17.560033082962001</v>
      </c>
      <c r="H1812">
        <v>12</v>
      </c>
      <c r="I1812">
        <v>19</v>
      </c>
      <c r="J1812">
        <v>30</v>
      </c>
    </row>
    <row r="1813" spans="1:10" x14ac:dyDescent="0.25">
      <c r="A1813" t="s">
        <v>22</v>
      </c>
      <c r="B1813" t="s">
        <v>20</v>
      </c>
      <c r="C1813" t="s">
        <v>12</v>
      </c>
      <c r="D1813" t="s">
        <v>13</v>
      </c>
      <c r="E1813">
        <v>0.67647058823529405</v>
      </c>
      <c r="F1813">
        <v>0.86785626563970497</v>
      </c>
      <c r="G1813">
        <v>17.799059867858801</v>
      </c>
      <c r="H1813">
        <v>23</v>
      </c>
      <c r="I1813">
        <v>29</v>
      </c>
      <c r="J1813">
        <v>30</v>
      </c>
    </row>
    <row r="1814" spans="1:10" x14ac:dyDescent="0.25">
      <c r="A1814" t="s">
        <v>22</v>
      </c>
      <c r="B1814" t="s">
        <v>20</v>
      </c>
      <c r="C1814" t="s">
        <v>12</v>
      </c>
      <c r="D1814" t="s">
        <v>13</v>
      </c>
      <c r="E1814">
        <v>0.79411764705882304</v>
      </c>
      <c r="F1814">
        <v>0.83546526619411698</v>
      </c>
      <c r="G1814">
        <v>17.870735883712701</v>
      </c>
      <c r="H1814">
        <v>28</v>
      </c>
      <c r="I1814">
        <v>33</v>
      </c>
      <c r="J1814">
        <v>30</v>
      </c>
    </row>
    <row r="1815" spans="1:10" x14ac:dyDescent="0.25">
      <c r="A1815" t="s">
        <v>22</v>
      </c>
      <c r="B1815" t="s">
        <v>20</v>
      </c>
      <c r="C1815" t="s">
        <v>12</v>
      </c>
      <c r="D1815" t="s">
        <v>13</v>
      </c>
      <c r="E1815">
        <v>0.80882352941176405</v>
      </c>
      <c r="F1815">
        <v>0.83816633336764701</v>
      </c>
      <c r="G1815">
        <v>17.984087228775</v>
      </c>
      <c r="H1815">
        <v>30</v>
      </c>
      <c r="I1815">
        <v>42</v>
      </c>
      <c r="J1815">
        <v>30</v>
      </c>
    </row>
    <row r="1816" spans="1:10" x14ac:dyDescent="0.25">
      <c r="A1816" t="s">
        <v>22</v>
      </c>
      <c r="B1816" t="s">
        <v>20</v>
      </c>
      <c r="C1816" t="s">
        <v>12</v>
      </c>
      <c r="D1816" t="s">
        <v>13</v>
      </c>
      <c r="E1816">
        <v>0.61764705882352899</v>
      </c>
      <c r="F1816">
        <v>0.78665501538823501</v>
      </c>
      <c r="G1816">
        <v>18.465090513229299</v>
      </c>
      <c r="H1816">
        <v>25</v>
      </c>
      <c r="I1816">
        <v>26</v>
      </c>
      <c r="J1816">
        <v>30</v>
      </c>
    </row>
    <row r="1817" spans="1:10" x14ac:dyDescent="0.25">
      <c r="A1817" t="s">
        <v>22</v>
      </c>
      <c r="B1817" t="s">
        <v>20</v>
      </c>
      <c r="C1817" t="s">
        <v>12</v>
      </c>
      <c r="D1817" t="s">
        <v>13</v>
      </c>
      <c r="E1817">
        <v>0.80882352941176405</v>
      </c>
      <c r="F1817">
        <v>0.85876171965441095</v>
      </c>
      <c r="G1817">
        <v>18.568982839584301</v>
      </c>
      <c r="H1817">
        <v>28</v>
      </c>
      <c r="I1817">
        <v>37</v>
      </c>
      <c r="J1817">
        <v>30</v>
      </c>
    </row>
    <row r="1818" spans="1:10" x14ac:dyDescent="0.25">
      <c r="A1818" t="s">
        <v>22</v>
      </c>
      <c r="B1818" t="s">
        <v>20</v>
      </c>
      <c r="C1818" t="s">
        <v>12</v>
      </c>
      <c r="D1818" t="s">
        <v>13</v>
      </c>
      <c r="E1818">
        <v>0.79411764705882304</v>
      </c>
      <c r="F1818">
        <v>0.84882205873235295</v>
      </c>
      <c r="G1818">
        <v>19.704034805297798</v>
      </c>
      <c r="H1818">
        <v>32</v>
      </c>
      <c r="I1818">
        <v>42</v>
      </c>
      <c r="J1818">
        <v>30</v>
      </c>
    </row>
    <row r="1819" spans="1:10" x14ac:dyDescent="0.25">
      <c r="A1819" t="s">
        <v>22</v>
      </c>
      <c r="B1819" t="s">
        <v>20</v>
      </c>
      <c r="C1819" t="s">
        <v>12</v>
      </c>
      <c r="D1819" t="s">
        <v>13</v>
      </c>
      <c r="E1819">
        <v>0.77941176470588203</v>
      </c>
      <c r="F1819">
        <v>0.82982687721764703</v>
      </c>
      <c r="G1819">
        <v>19.728169679641699</v>
      </c>
      <c r="H1819">
        <v>34</v>
      </c>
      <c r="I1819">
        <v>42</v>
      </c>
      <c r="J1819">
        <v>30</v>
      </c>
    </row>
    <row r="1820" spans="1:10" x14ac:dyDescent="0.25">
      <c r="A1820" t="s">
        <v>22</v>
      </c>
      <c r="B1820" t="s">
        <v>20</v>
      </c>
      <c r="C1820" t="s">
        <v>12</v>
      </c>
      <c r="D1820" t="s">
        <v>13</v>
      </c>
      <c r="E1820">
        <v>0.88235294117647001</v>
      </c>
      <c r="F1820">
        <v>0.90257022882941096</v>
      </c>
      <c r="G1820">
        <v>19.7660105228424</v>
      </c>
      <c r="H1820">
        <v>33</v>
      </c>
      <c r="I1820">
        <v>42</v>
      </c>
      <c r="J1820">
        <v>30</v>
      </c>
    </row>
    <row r="1821" spans="1:10" x14ac:dyDescent="0.25">
      <c r="A1821" t="s">
        <v>22</v>
      </c>
      <c r="B1821" t="s">
        <v>20</v>
      </c>
      <c r="C1821" t="s">
        <v>12</v>
      </c>
      <c r="D1821" t="s">
        <v>13</v>
      </c>
      <c r="E1821">
        <v>0.83823529411764697</v>
      </c>
      <c r="F1821">
        <v>0.884450409589705</v>
      </c>
      <c r="G1821">
        <v>19.786469459533599</v>
      </c>
      <c r="H1821">
        <v>34</v>
      </c>
      <c r="I1821">
        <v>41</v>
      </c>
      <c r="J1821">
        <v>30</v>
      </c>
    </row>
    <row r="1822" spans="1:10" x14ac:dyDescent="0.25">
      <c r="A1822" t="s">
        <v>22</v>
      </c>
      <c r="B1822" t="s">
        <v>20</v>
      </c>
      <c r="C1822" t="s">
        <v>12</v>
      </c>
      <c r="D1822" t="s">
        <v>13</v>
      </c>
      <c r="E1822">
        <v>0.80882352941176405</v>
      </c>
      <c r="F1822">
        <v>0.85246708852205799</v>
      </c>
      <c r="G1822">
        <v>19.943668603896999</v>
      </c>
      <c r="H1822">
        <v>33</v>
      </c>
      <c r="I1822">
        <v>43</v>
      </c>
      <c r="J1822">
        <v>30</v>
      </c>
    </row>
    <row r="1823" spans="1:10" x14ac:dyDescent="0.25">
      <c r="A1823" t="s">
        <v>22</v>
      </c>
      <c r="B1823" t="s">
        <v>20</v>
      </c>
      <c r="C1823" t="s">
        <v>12</v>
      </c>
      <c r="D1823" t="s">
        <v>13</v>
      </c>
      <c r="E1823">
        <v>0.72058823529411697</v>
      </c>
      <c r="F1823">
        <v>0.78052388032352904</v>
      </c>
      <c r="G1823">
        <v>20.099836826324399</v>
      </c>
      <c r="H1823">
        <v>30</v>
      </c>
      <c r="I1823">
        <v>39</v>
      </c>
      <c r="J1823">
        <v>30</v>
      </c>
    </row>
    <row r="1824" spans="1:10" x14ac:dyDescent="0.25">
      <c r="A1824" t="s">
        <v>22</v>
      </c>
      <c r="B1824" t="s">
        <v>20</v>
      </c>
      <c r="C1824" t="s">
        <v>12</v>
      </c>
      <c r="D1824" t="s">
        <v>13</v>
      </c>
      <c r="E1824">
        <v>0.77941176470588203</v>
      </c>
      <c r="F1824">
        <v>0.84021898225146996</v>
      </c>
      <c r="G1824">
        <v>20.1893103122711</v>
      </c>
      <c r="H1824">
        <v>29</v>
      </c>
      <c r="I1824">
        <v>38</v>
      </c>
      <c r="J1824">
        <v>30</v>
      </c>
    </row>
    <row r="1825" spans="1:10" x14ac:dyDescent="0.25">
      <c r="A1825" t="s">
        <v>22</v>
      </c>
      <c r="B1825" t="s">
        <v>20</v>
      </c>
      <c r="C1825" t="s">
        <v>12</v>
      </c>
      <c r="D1825" t="s">
        <v>13</v>
      </c>
      <c r="E1825">
        <v>0.83823529411764697</v>
      </c>
      <c r="F1825">
        <v>0.85080665808235201</v>
      </c>
      <c r="G1825">
        <v>20.230203151702799</v>
      </c>
      <c r="H1825">
        <v>31</v>
      </c>
      <c r="I1825">
        <v>44</v>
      </c>
      <c r="J1825">
        <v>30</v>
      </c>
    </row>
    <row r="1826" spans="1:10" x14ac:dyDescent="0.25">
      <c r="A1826" t="s">
        <v>22</v>
      </c>
      <c r="B1826" t="s">
        <v>20</v>
      </c>
      <c r="C1826" t="s">
        <v>12</v>
      </c>
      <c r="D1826" t="s">
        <v>13</v>
      </c>
      <c r="E1826">
        <v>0.82352941176470495</v>
      </c>
      <c r="F1826">
        <v>0.86847068385000004</v>
      </c>
      <c r="G1826">
        <v>20.411305904388399</v>
      </c>
      <c r="H1826">
        <v>30</v>
      </c>
      <c r="I1826">
        <v>33</v>
      </c>
      <c r="J1826">
        <v>30</v>
      </c>
    </row>
    <row r="1827" spans="1:10" x14ac:dyDescent="0.25">
      <c r="A1827" t="s">
        <v>22</v>
      </c>
      <c r="B1827" t="s">
        <v>20</v>
      </c>
      <c r="C1827" t="s">
        <v>12</v>
      </c>
      <c r="D1827" t="s">
        <v>13</v>
      </c>
      <c r="E1827">
        <v>0.85294117647058798</v>
      </c>
      <c r="F1827">
        <v>0.87780133307205799</v>
      </c>
      <c r="G1827">
        <v>20.427191734313901</v>
      </c>
      <c r="H1827">
        <v>38</v>
      </c>
      <c r="I1827">
        <v>51</v>
      </c>
      <c r="J1827">
        <v>30</v>
      </c>
    </row>
    <row r="1828" spans="1:10" x14ac:dyDescent="0.25">
      <c r="A1828" t="s">
        <v>22</v>
      </c>
      <c r="B1828" t="s">
        <v>20</v>
      </c>
      <c r="C1828" t="s">
        <v>12</v>
      </c>
      <c r="D1828" t="s">
        <v>13</v>
      </c>
      <c r="E1828">
        <v>0.77941176470588203</v>
      </c>
      <c r="F1828">
        <v>0.81570451118676401</v>
      </c>
      <c r="G1828">
        <v>20.455676078796301</v>
      </c>
      <c r="H1828">
        <v>31</v>
      </c>
      <c r="I1828">
        <v>41</v>
      </c>
      <c r="J1828">
        <v>30</v>
      </c>
    </row>
    <row r="1829" spans="1:10" x14ac:dyDescent="0.25">
      <c r="A1829" t="s">
        <v>22</v>
      </c>
      <c r="B1829" t="s">
        <v>20</v>
      </c>
      <c r="C1829" t="s">
        <v>12</v>
      </c>
      <c r="D1829" t="s">
        <v>13</v>
      </c>
      <c r="E1829">
        <v>0.86764705882352899</v>
      </c>
      <c r="F1829">
        <v>0.89420341388823499</v>
      </c>
      <c r="G1829">
        <v>20.500903844833299</v>
      </c>
      <c r="H1829">
        <v>32</v>
      </c>
      <c r="I1829">
        <v>38</v>
      </c>
      <c r="J1829">
        <v>30</v>
      </c>
    </row>
    <row r="1830" spans="1:10" x14ac:dyDescent="0.25">
      <c r="A1830" t="s">
        <v>22</v>
      </c>
      <c r="B1830" t="s">
        <v>20</v>
      </c>
      <c r="C1830" t="s">
        <v>12</v>
      </c>
      <c r="D1830" t="s">
        <v>13</v>
      </c>
      <c r="E1830">
        <v>0.80882352941176405</v>
      </c>
      <c r="F1830">
        <v>0.836375849397059</v>
      </c>
      <c r="G1830">
        <v>20.530204534530601</v>
      </c>
      <c r="H1830">
        <v>28</v>
      </c>
      <c r="I1830">
        <v>42</v>
      </c>
      <c r="J1830">
        <v>30</v>
      </c>
    </row>
    <row r="1831" spans="1:10" x14ac:dyDescent="0.25">
      <c r="A1831" t="s">
        <v>22</v>
      </c>
      <c r="B1831" t="s">
        <v>20</v>
      </c>
      <c r="C1831" t="s">
        <v>12</v>
      </c>
      <c r="D1831" t="s">
        <v>13</v>
      </c>
      <c r="E1831">
        <v>0.83823529411764697</v>
      </c>
      <c r="F1831">
        <v>0.85761056692058801</v>
      </c>
      <c r="G1831">
        <v>20.7968747615814</v>
      </c>
      <c r="H1831">
        <v>33</v>
      </c>
      <c r="I1831">
        <v>44</v>
      </c>
      <c r="J1831">
        <v>30</v>
      </c>
    </row>
    <row r="1832" spans="1:10" x14ac:dyDescent="0.25">
      <c r="A1832" t="s">
        <v>22</v>
      </c>
      <c r="B1832" t="s">
        <v>20</v>
      </c>
      <c r="C1832" t="s">
        <v>12</v>
      </c>
      <c r="D1832" t="s">
        <v>14</v>
      </c>
      <c r="E1832">
        <v>0.69117647058823495</v>
      </c>
      <c r="F1832">
        <v>0.74221397854558802</v>
      </c>
      <c r="G1832">
        <v>19.174299955367999</v>
      </c>
      <c r="H1832">
        <v>52</v>
      </c>
      <c r="I1832">
        <v>51</v>
      </c>
      <c r="J1832">
        <v>30</v>
      </c>
    </row>
    <row r="1833" spans="1:10" x14ac:dyDescent="0.25">
      <c r="A1833" t="s">
        <v>22</v>
      </c>
      <c r="B1833" t="s">
        <v>20</v>
      </c>
      <c r="C1833" t="s">
        <v>12</v>
      </c>
      <c r="D1833" t="s">
        <v>14</v>
      </c>
      <c r="E1833">
        <v>0.73529411764705799</v>
      </c>
      <c r="F1833">
        <v>0.75571200202647004</v>
      </c>
      <c r="G1833">
        <v>19.7271726131439</v>
      </c>
      <c r="H1833">
        <v>76</v>
      </c>
      <c r="I1833">
        <v>73</v>
      </c>
      <c r="J1833">
        <v>30</v>
      </c>
    </row>
    <row r="1834" spans="1:10" x14ac:dyDescent="0.25">
      <c r="A1834" t="s">
        <v>22</v>
      </c>
      <c r="B1834" t="s">
        <v>20</v>
      </c>
      <c r="C1834" t="s">
        <v>12</v>
      </c>
      <c r="D1834" t="s">
        <v>14</v>
      </c>
      <c r="E1834">
        <v>0.70588235294117596</v>
      </c>
      <c r="F1834">
        <v>0.73594758511470504</v>
      </c>
      <c r="G1834">
        <v>20.764713525771999</v>
      </c>
      <c r="H1834">
        <v>75</v>
      </c>
      <c r="I1834">
        <v>72</v>
      </c>
      <c r="J1834">
        <v>30</v>
      </c>
    </row>
    <row r="1835" spans="1:10" x14ac:dyDescent="0.25">
      <c r="A1835" t="s">
        <v>22</v>
      </c>
      <c r="B1835" t="s">
        <v>20</v>
      </c>
      <c r="C1835" t="s">
        <v>12</v>
      </c>
      <c r="D1835" t="s">
        <v>14</v>
      </c>
      <c r="E1835">
        <v>0.70588235294117596</v>
      </c>
      <c r="F1835">
        <v>0.73476281540882304</v>
      </c>
      <c r="G1835">
        <v>20.792070388793899</v>
      </c>
      <c r="H1835">
        <v>73</v>
      </c>
      <c r="I1835">
        <v>71</v>
      </c>
      <c r="J1835">
        <v>30</v>
      </c>
    </row>
    <row r="1836" spans="1:10" x14ac:dyDescent="0.25">
      <c r="A1836" t="s">
        <v>22</v>
      </c>
      <c r="B1836" t="s">
        <v>20</v>
      </c>
      <c r="C1836" t="s">
        <v>12</v>
      </c>
      <c r="D1836" t="s">
        <v>14</v>
      </c>
      <c r="E1836">
        <v>0.79411764705882304</v>
      </c>
      <c r="F1836">
        <v>0.84019834184705799</v>
      </c>
      <c r="G1836">
        <v>21.041252851486199</v>
      </c>
      <c r="H1836">
        <v>58</v>
      </c>
      <c r="I1836">
        <v>57</v>
      </c>
      <c r="J1836">
        <v>30</v>
      </c>
    </row>
    <row r="1837" spans="1:10" x14ac:dyDescent="0.25">
      <c r="A1837" t="s">
        <v>22</v>
      </c>
      <c r="B1837" t="s">
        <v>20</v>
      </c>
      <c r="C1837" t="s">
        <v>12</v>
      </c>
      <c r="D1837" t="s">
        <v>14</v>
      </c>
      <c r="E1837">
        <v>0.67647058823529405</v>
      </c>
      <c r="F1837">
        <v>0.74490356456323503</v>
      </c>
      <c r="G1837">
        <v>21.579682111740102</v>
      </c>
      <c r="H1837">
        <v>52</v>
      </c>
      <c r="I1837">
        <v>50</v>
      </c>
      <c r="J1837">
        <v>30</v>
      </c>
    </row>
    <row r="1838" spans="1:10" x14ac:dyDescent="0.25">
      <c r="A1838" t="s">
        <v>22</v>
      </c>
      <c r="B1838" t="s">
        <v>20</v>
      </c>
      <c r="C1838" t="s">
        <v>12</v>
      </c>
      <c r="D1838" t="s">
        <v>14</v>
      </c>
      <c r="E1838">
        <v>0.69117647058823495</v>
      </c>
      <c r="F1838">
        <v>0.74622503910735305</v>
      </c>
      <c r="G1838">
        <v>21.636911153793299</v>
      </c>
      <c r="H1838">
        <v>52</v>
      </c>
      <c r="I1838">
        <v>50</v>
      </c>
      <c r="J1838">
        <v>30</v>
      </c>
    </row>
    <row r="1839" spans="1:10" x14ac:dyDescent="0.25">
      <c r="A1839" t="s">
        <v>22</v>
      </c>
      <c r="B1839" t="s">
        <v>20</v>
      </c>
      <c r="C1839" t="s">
        <v>12</v>
      </c>
      <c r="D1839" t="s">
        <v>14</v>
      </c>
      <c r="E1839">
        <v>0.67647058823529405</v>
      </c>
      <c r="F1839">
        <v>0.72961465405146997</v>
      </c>
      <c r="G1839">
        <v>21.8249704837799</v>
      </c>
      <c r="H1839">
        <v>50</v>
      </c>
      <c r="I1839">
        <v>48</v>
      </c>
      <c r="J1839">
        <v>30</v>
      </c>
    </row>
    <row r="1840" spans="1:10" x14ac:dyDescent="0.25">
      <c r="A1840" t="s">
        <v>22</v>
      </c>
      <c r="B1840" t="s">
        <v>20</v>
      </c>
      <c r="C1840" t="s">
        <v>12</v>
      </c>
      <c r="D1840" t="s">
        <v>14</v>
      </c>
      <c r="E1840">
        <v>0.76470588235294101</v>
      </c>
      <c r="F1840">
        <v>0.79072415673529395</v>
      </c>
      <c r="G1840">
        <v>22.205438137054401</v>
      </c>
      <c r="H1840">
        <v>58</v>
      </c>
      <c r="I1840">
        <v>56</v>
      </c>
      <c r="J1840">
        <v>30</v>
      </c>
    </row>
    <row r="1841" spans="1:10" x14ac:dyDescent="0.25">
      <c r="A1841" t="s">
        <v>22</v>
      </c>
      <c r="B1841" t="s">
        <v>20</v>
      </c>
      <c r="C1841" t="s">
        <v>12</v>
      </c>
      <c r="D1841" t="s">
        <v>14</v>
      </c>
      <c r="E1841">
        <v>0.70588235294117596</v>
      </c>
      <c r="F1841">
        <v>0.72874885981617599</v>
      </c>
      <c r="G1841">
        <v>22.261343955993599</v>
      </c>
      <c r="H1841">
        <v>73</v>
      </c>
      <c r="I1841">
        <v>71</v>
      </c>
      <c r="J1841">
        <v>30</v>
      </c>
    </row>
    <row r="1842" spans="1:10" x14ac:dyDescent="0.25">
      <c r="A1842" t="s">
        <v>22</v>
      </c>
      <c r="B1842" t="s">
        <v>20</v>
      </c>
      <c r="C1842" t="s">
        <v>12</v>
      </c>
      <c r="D1842" t="s">
        <v>14</v>
      </c>
      <c r="E1842">
        <v>0.66176470588235203</v>
      </c>
      <c r="F1842">
        <v>0.70331827044852901</v>
      </c>
      <c r="G1842">
        <v>22.353362321853599</v>
      </c>
      <c r="H1842">
        <v>69</v>
      </c>
      <c r="I1842">
        <v>66</v>
      </c>
      <c r="J1842">
        <v>30</v>
      </c>
    </row>
    <row r="1843" spans="1:10" x14ac:dyDescent="0.25">
      <c r="A1843" t="s">
        <v>22</v>
      </c>
      <c r="B1843" t="s">
        <v>20</v>
      </c>
      <c r="C1843" t="s">
        <v>12</v>
      </c>
      <c r="D1843" t="s">
        <v>14</v>
      </c>
      <c r="E1843">
        <v>0.75</v>
      </c>
      <c r="F1843">
        <v>0.78193224496764702</v>
      </c>
      <c r="G1843">
        <v>22.462707996368401</v>
      </c>
      <c r="H1843">
        <v>73</v>
      </c>
      <c r="I1843">
        <v>70</v>
      </c>
      <c r="J1843">
        <v>30</v>
      </c>
    </row>
    <row r="1844" spans="1:10" x14ac:dyDescent="0.25">
      <c r="A1844" t="s">
        <v>22</v>
      </c>
      <c r="B1844" t="s">
        <v>20</v>
      </c>
      <c r="C1844" t="s">
        <v>12</v>
      </c>
      <c r="D1844" t="s">
        <v>14</v>
      </c>
      <c r="E1844">
        <v>0.77941176470588203</v>
      </c>
      <c r="F1844">
        <v>0.80768224580000003</v>
      </c>
      <c r="G1844">
        <v>22.609371423721299</v>
      </c>
      <c r="H1844">
        <v>58</v>
      </c>
      <c r="I1844">
        <v>56</v>
      </c>
      <c r="J1844">
        <v>30</v>
      </c>
    </row>
    <row r="1845" spans="1:10" x14ac:dyDescent="0.25">
      <c r="A1845" t="s">
        <v>22</v>
      </c>
      <c r="B1845" t="s">
        <v>20</v>
      </c>
      <c r="C1845" t="s">
        <v>12</v>
      </c>
      <c r="D1845" t="s">
        <v>14</v>
      </c>
      <c r="E1845">
        <v>0.77941176470588203</v>
      </c>
      <c r="F1845">
        <v>0.80408149728823497</v>
      </c>
      <c r="G1845">
        <v>22.7614905834198</v>
      </c>
      <c r="H1845">
        <v>63</v>
      </c>
      <c r="I1845">
        <v>62</v>
      </c>
      <c r="J1845">
        <v>30</v>
      </c>
    </row>
    <row r="1846" spans="1:10" x14ac:dyDescent="0.25">
      <c r="A1846" t="s">
        <v>22</v>
      </c>
      <c r="B1846" t="s">
        <v>20</v>
      </c>
      <c r="C1846" t="s">
        <v>12</v>
      </c>
      <c r="D1846" t="s">
        <v>14</v>
      </c>
      <c r="E1846">
        <v>0.75</v>
      </c>
      <c r="F1846">
        <v>0.78158982008970601</v>
      </c>
      <c r="G1846">
        <v>22.877862691879201</v>
      </c>
      <c r="H1846">
        <v>45</v>
      </c>
      <c r="I1846">
        <v>44</v>
      </c>
      <c r="J1846">
        <v>30</v>
      </c>
    </row>
    <row r="1847" spans="1:10" x14ac:dyDescent="0.25">
      <c r="A1847" t="s">
        <v>22</v>
      </c>
      <c r="B1847" t="s">
        <v>20</v>
      </c>
      <c r="C1847" t="s">
        <v>12</v>
      </c>
      <c r="D1847" t="s">
        <v>14</v>
      </c>
      <c r="E1847">
        <v>0.73529411764705799</v>
      </c>
      <c r="F1847">
        <v>0.78319589419705804</v>
      </c>
      <c r="G1847">
        <v>22.925609588623001</v>
      </c>
      <c r="H1847">
        <v>77</v>
      </c>
      <c r="I1847">
        <v>74</v>
      </c>
      <c r="J1847">
        <v>30</v>
      </c>
    </row>
    <row r="1848" spans="1:10" x14ac:dyDescent="0.25">
      <c r="A1848" t="s">
        <v>22</v>
      </c>
      <c r="B1848" t="s">
        <v>20</v>
      </c>
      <c r="C1848" t="s">
        <v>12</v>
      </c>
      <c r="D1848" t="s">
        <v>14</v>
      </c>
      <c r="E1848">
        <v>0.77941176470588203</v>
      </c>
      <c r="F1848">
        <v>0.80151464662941097</v>
      </c>
      <c r="G1848">
        <v>22.938971996307298</v>
      </c>
      <c r="H1848">
        <v>79</v>
      </c>
      <c r="I1848">
        <v>76</v>
      </c>
      <c r="J1848">
        <v>30</v>
      </c>
    </row>
    <row r="1849" spans="1:10" x14ac:dyDescent="0.25">
      <c r="A1849" t="s">
        <v>22</v>
      </c>
      <c r="B1849" t="s">
        <v>20</v>
      </c>
      <c r="C1849" t="s">
        <v>12</v>
      </c>
      <c r="D1849" t="s">
        <v>14</v>
      </c>
      <c r="E1849">
        <v>0.72058823529411697</v>
      </c>
      <c r="F1849">
        <v>0.75449212347646999</v>
      </c>
      <c r="G1849">
        <v>23.0010471343994</v>
      </c>
      <c r="H1849">
        <v>60</v>
      </c>
      <c r="I1849">
        <v>59</v>
      </c>
      <c r="J1849">
        <v>30</v>
      </c>
    </row>
    <row r="1850" spans="1:10" x14ac:dyDescent="0.25">
      <c r="A1850" t="s">
        <v>22</v>
      </c>
      <c r="B1850" t="s">
        <v>20</v>
      </c>
      <c r="C1850" t="s">
        <v>12</v>
      </c>
      <c r="D1850" t="s">
        <v>14</v>
      </c>
      <c r="E1850">
        <v>0.69117647058823495</v>
      </c>
      <c r="F1850">
        <v>0.72649351690882302</v>
      </c>
      <c r="G1850">
        <v>23.031255722045898</v>
      </c>
      <c r="H1850">
        <v>58</v>
      </c>
      <c r="I1850">
        <v>56</v>
      </c>
      <c r="J1850">
        <v>30</v>
      </c>
    </row>
    <row r="1851" spans="1:10" x14ac:dyDescent="0.25">
      <c r="A1851" t="s">
        <v>22</v>
      </c>
      <c r="B1851" t="s">
        <v>20</v>
      </c>
      <c r="C1851" t="s">
        <v>12</v>
      </c>
      <c r="D1851" t="s">
        <v>14</v>
      </c>
      <c r="E1851">
        <v>0.75</v>
      </c>
      <c r="F1851">
        <v>0.770712386974999</v>
      </c>
      <c r="G1851">
        <v>23.126195192337001</v>
      </c>
      <c r="H1851">
        <v>75</v>
      </c>
      <c r="I1851">
        <v>73</v>
      </c>
      <c r="J1851">
        <v>30</v>
      </c>
    </row>
    <row r="1852" spans="1:10" x14ac:dyDescent="0.25">
      <c r="A1852" t="s">
        <v>22</v>
      </c>
      <c r="B1852" t="s">
        <v>20</v>
      </c>
      <c r="C1852" t="s">
        <v>12</v>
      </c>
      <c r="D1852" t="s">
        <v>14</v>
      </c>
      <c r="E1852">
        <v>0.77941176470588203</v>
      </c>
      <c r="F1852">
        <v>0.79875940996764705</v>
      </c>
      <c r="G1852">
        <v>23.192153692245402</v>
      </c>
      <c r="H1852">
        <v>78</v>
      </c>
      <c r="I1852">
        <v>75</v>
      </c>
      <c r="J1852">
        <v>30</v>
      </c>
    </row>
    <row r="1853" spans="1:10" x14ac:dyDescent="0.25">
      <c r="A1853" t="s">
        <v>22</v>
      </c>
      <c r="B1853" t="s">
        <v>20</v>
      </c>
      <c r="C1853" t="s">
        <v>12</v>
      </c>
      <c r="D1853" t="s">
        <v>14</v>
      </c>
      <c r="E1853">
        <v>0.79411764705882304</v>
      </c>
      <c r="F1853">
        <v>0.81764958146911704</v>
      </c>
      <c r="G1853">
        <v>23.3009400367736</v>
      </c>
      <c r="H1853">
        <v>58</v>
      </c>
      <c r="I1853">
        <v>57</v>
      </c>
      <c r="J1853">
        <v>30</v>
      </c>
    </row>
    <row r="1854" spans="1:10" x14ac:dyDescent="0.25">
      <c r="A1854" t="s">
        <v>22</v>
      </c>
      <c r="B1854" t="s">
        <v>20</v>
      </c>
      <c r="C1854" t="s">
        <v>12</v>
      </c>
      <c r="D1854" t="s">
        <v>14</v>
      </c>
      <c r="E1854">
        <v>0.82352941176470495</v>
      </c>
      <c r="F1854">
        <v>0.84078938847647</v>
      </c>
      <c r="G1854">
        <v>23.298686265945399</v>
      </c>
      <c r="H1854">
        <v>61</v>
      </c>
      <c r="I1854">
        <v>59</v>
      </c>
      <c r="J1854">
        <v>30</v>
      </c>
    </row>
    <row r="1855" spans="1:10" x14ac:dyDescent="0.25">
      <c r="A1855" t="s">
        <v>22</v>
      </c>
      <c r="B1855" t="s">
        <v>20</v>
      </c>
      <c r="C1855" t="s">
        <v>12</v>
      </c>
      <c r="D1855" t="s">
        <v>14</v>
      </c>
      <c r="E1855">
        <v>0.73529411764705799</v>
      </c>
      <c r="F1855">
        <v>0.77640635252941104</v>
      </c>
      <c r="G1855">
        <v>23.295557260513299</v>
      </c>
      <c r="H1855">
        <v>56</v>
      </c>
      <c r="I1855">
        <v>55</v>
      </c>
      <c r="J1855">
        <v>30</v>
      </c>
    </row>
    <row r="1856" spans="1:10" x14ac:dyDescent="0.25">
      <c r="A1856" t="s">
        <v>22</v>
      </c>
      <c r="B1856" t="s">
        <v>20</v>
      </c>
      <c r="C1856" t="s">
        <v>12</v>
      </c>
      <c r="D1856" t="s">
        <v>14</v>
      </c>
      <c r="E1856">
        <v>0.79411764705882304</v>
      </c>
      <c r="F1856">
        <v>0.81339356116470496</v>
      </c>
      <c r="G1856">
        <v>23.428379535674999</v>
      </c>
      <c r="H1856">
        <v>78</v>
      </c>
      <c r="I1856">
        <v>75</v>
      </c>
      <c r="J1856">
        <v>30</v>
      </c>
    </row>
    <row r="1857" spans="1:10" x14ac:dyDescent="0.25">
      <c r="A1857" t="s">
        <v>22</v>
      </c>
      <c r="B1857" t="s">
        <v>20</v>
      </c>
      <c r="C1857" t="s">
        <v>12</v>
      </c>
      <c r="D1857" t="s">
        <v>14</v>
      </c>
      <c r="E1857">
        <v>0.75</v>
      </c>
      <c r="F1857">
        <v>0.78483277917205896</v>
      </c>
      <c r="G1857">
        <v>23.438880681991499</v>
      </c>
      <c r="H1857">
        <v>55</v>
      </c>
      <c r="I1857">
        <v>54</v>
      </c>
      <c r="J1857">
        <v>30</v>
      </c>
    </row>
    <row r="1858" spans="1:10" x14ac:dyDescent="0.25">
      <c r="A1858" t="s">
        <v>22</v>
      </c>
      <c r="B1858" t="s">
        <v>20</v>
      </c>
      <c r="C1858" t="s">
        <v>12</v>
      </c>
      <c r="D1858" t="s">
        <v>14</v>
      </c>
      <c r="E1858">
        <v>0.76470588235294101</v>
      </c>
      <c r="F1858">
        <v>0.78325173640146994</v>
      </c>
      <c r="G1858">
        <v>23.452300548553399</v>
      </c>
      <c r="H1858">
        <v>77</v>
      </c>
      <c r="I1858">
        <v>74</v>
      </c>
      <c r="J1858">
        <v>30</v>
      </c>
    </row>
    <row r="1859" spans="1:10" x14ac:dyDescent="0.25">
      <c r="A1859" t="s">
        <v>22</v>
      </c>
      <c r="B1859" t="s">
        <v>20</v>
      </c>
      <c r="C1859" t="s">
        <v>12</v>
      </c>
      <c r="D1859" t="s">
        <v>14</v>
      </c>
      <c r="E1859">
        <v>0.73529411764705799</v>
      </c>
      <c r="F1859">
        <v>0.75657276582352895</v>
      </c>
      <c r="G1859">
        <v>23.502621650695801</v>
      </c>
      <c r="H1859">
        <v>75</v>
      </c>
      <c r="I1859">
        <v>72</v>
      </c>
      <c r="J1859">
        <v>30</v>
      </c>
    </row>
    <row r="1860" spans="1:10" x14ac:dyDescent="0.25">
      <c r="A1860" t="s">
        <v>22</v>
      </c>
      <c r="B1860" t="s">
        <v>20</v>
      </c>
      <c r="C1860" t="s">
        <v>12</v>
      </c>
      <c r="D1860" t="s">
        <v>14</v>
      </c>
      <c r="E1860">
        <v>0.76470588235294101</v>
      </c>
      <c r="F1860">
        <v>0.79233099382794103</v>
      </c>
      <c r="G1860">
        <v>23.483340740203801</v>
      </c>
      <c r="H1860">
        <v>63</v>
      </c>
      <c r="I1860">
        <v>62</v>
      </c>
      <c r="J1860">
        <v>30</v>
      </c>
    </row>
    <row r="1861" spans="1:10" x14ac:dyDescent="0.25">
      <c r="A1861" t="s">
        <v>22</v>
      </c>
      <c r="B1861" t="s">
        <v>20</v>
      </c>
      <c r="C1861" t="s">
        <v>12</v>
      </c>
      <c r="D1861" t="s">
        <v>14</v>
      </c>
      <c r="E1861">
        <v>0.72058823529411697</v>
      </c>
      <c r="F1861">
        <v>0.76610212390588195</v>
      </c>
      <c r="G1861">
        <v>23.5321669578552</v>
      </c>
      <c r="H1861">
        <v>54</v>
      </c>
      <c r="I1861">
        <v>53</v>
      </c>
      <c r="J1861">
        <v>30</v>
      </c>
    </row>
    <row r="1862" spans="1:10" x14ac:dyDescent="0.25">
      <c r="A1862" t="s">
        <v>22</v>
      </c>
      <c r="B1862" t="s">
        <v>20</v>
      </c>
      <c r="C1862" t="s">
        <v>12</v>
      </c>
      <c r="D1862" t="s">
        <v>15</v>
      </c>
      <c r="E1862">
        <v>0</v>
      </c>
      <c r="F1862">
        <v>0.75</v>
      </c>
      <c r="G1862">
        <v>1.3508484363555899</v>
      </c>
      <c r="H1862">
        <v>0</v>
      </c>
      <c r="I1862">
        <v>0</v>
      </c>
      <c r="J1862">
        <v>30</v>
      </c>
    </row>
    <row r="1863" spans="1:10" x14ac:dyDescent="0.25">
      <c r="A1863" t="s">
        <v>22</v>
      </c>
      <c r="B1863" t="s">
        <v>20</v>
      </c>
      <c r="C1863" t="s">
        <v>12</v>
      </c>
      <c r="D1863" t="s">
        <v>15</v>
      </c>
      <c r="E1863">
        <v>0</v>
      </c>
      <c r="F1863">
        <v>0.75</v>
      </c>
      <c r="G1863">
        <v>1.5099973678588801</v>
      </c>
      <c r="H1863">
        <v>0</v>
      </c>
      <c r="I1863">
        <v>0</v>
      </c>
      <c r="J1863">
        <v>30</v>
      </c>
    </row>
    <row r="1864" spans="1:10" x14ac:dyDescent="0.25">
      <c r="A1864" t="s">
        <v>22</v>
      </c>
      <c r="B1864" t="s">
        <v>20</v>
      </c>
      <c r="C1864" t="s">
        <v>12</v>
      </c>
      <c r="D1864" t="s">
        <v>15</v>
      </c>
      <c r="E1864">
        <v>0</v>
      </c>
      <c r="F1864">
        <v>0.75</v>
      </c>
      <c r="G1864">
        <v>1.61644387245178</v>
      </c>
      <c r="H1864">
        <v>0</v>
      </c>
      <c r="I1864">
        <v>0</v>
      </c>
      <c r="J1864">
        <v>30</v>
      </c>
    </row>
    <row r="1865" spans="1:10" x14ac:dyDescent="0.25">
      <c r="A1865" t="s">
        <v>22</v>
      </c>
      <c r="B1865" t="s">
        <v>20</v>
      </c>
      <c r="C1865" t="s">
        <v>12</v>
      </c>
      <c r="D1865" t="s">
        <v>15</v>
      </c>
      <c r="E1865">
        <v>0</v>
      </c>
      <c r="F1865">
        <v>0.75</v>
      </c>
      <c r="G1865">
        <v>1.7151010036468499</v>
      </c>
      <c r="H1865">
        <v>0</v>
      </c>
      <c r="I1865">
        <v>0</v>
      </c>
      <c r="J1865">
        <v>30</v>
      </c>
    </row>
    <row r="1866" spans="1:10" x14ac:dyDescent="0.25">
      <c r="A1866" t="s">
        <v>22</v>
      </c>
      <c r="B1866" t="s">
        <v>20</v>
      </c>
      <c r="C1866" t="s">
        <v>12</v>
      </c>
      <c r="D1866" t="s">
        <v>15</v>
      </c>
      <c r="E1866">
        <v>0</v>
      </c>
      <c r="F1866">
        <v>0.75</v>
      </c>
      <c r="G1866">
        <v>1.9336524009704501</v>
      </c>
      <c r="H1866">
        <v>0</v>
      </c>
      <c r="I1866">
        <v>0</v>
      </c>
      <c r="J1866">
        <v>30</v>
      </c>
    </row>
    <row r="1867" spans="1:10" x14ac:dyDescent="0.25">
      <c r="A1867" t="s">
        <v>22</v>
      </c>
      <c r="B1867" t="s">
        <v>20</v>
      </c>
      <c r="C1867" t="s">
        <v>12</v>
      </c>
      <c r="D1867" t="s">
        <v>15</v>
      </c>
      <c r="E1867">
        <v>0</v>
      </c>
      <c r="F1867">
        <v>0.75</v>
      </c>
      <c r="G1867">
        <v>1.9311506748199401</v>
      </c>
      <c r="H1867">
        <v>0</v>
      </c>
      <c r="I1867">
        <v>0</v>
      </c>
      <c r="J1867">
        <v>30</v>
      </c>
    </row>
    <row r="1868" spans="1:10" x14ac:dyDescent="0.25">
      <c r="A1868" t="s">
        <v>22</v>
      </c>
      <c r="B1868" t="s">
        <v>20</v>
      </c>
      <c r="C1868" t="s">
        <v>12</v>
      </c>
      <c r="D1868" t="s">
        <v>15</v>
      </c>
      <c r="E1868">
        <v>0</v>
      </c>
      <c r="F1868">
        <v>0.75</v>
      </c>
      <c r="G1868">
        <v>1.95184803009033</v>
      </c>
      <c r="H1868">
        <v>0</v>
      </c>
      <c r="I1868">
        <v>0</v>
      </c>
      <c r="J1868">
        <v>30</v>
      </c>
    </row>
    <row r="1869" spans="1:10" x14ac:dyDescent="0.25">
      <c r="A1869" t="s">
        <v>22</v>
      </c>
      <c r="B1869" t="s">
        <v>20</v>
      </c>
      <c r="C1869" t="s">
        <v>12</v>
      </c>
      <c r="D1869" t="s">
        <v>15</v>
      </c>
      <c r="E1869">
        <v>0</v>
      </c>
      <c r="F1869">
        <v>0.75</v>
      </c>
      <c r="G1869">
        <v>2.0035097599029501</v>
      </c>
      <c r="H1869">
        <v>0</v>
      </c>
      <c r="I1869">
        <v>0</v>
      </c>
      <c r="J1869">
        <v>30</v>
      </c>
    </row>
    <row r="1870" spans="1:10" x14ac:dyDescent="0.25">
      <c r="A1870" t="s">
        <v>22</v>
      </c>
      <c r="B1870" t="s">
        <v>20</v>
      </c>
      <c r="C1870" t="s">
        <v>12</v>
      </c>
      <c r="D1870" t="s">
        <v>15</v>
      </c>
      <c r="E1870">
        <v>0</v>
      </c>
      <c r="F1870">
        <v>0.75</v>
      </c>
      <c r="G1870">
        <v>2.11936330795288</v>
      </c>
      <c r="H1870">
        <v>0</v>
      </c>
      <c r="I1870">
        <v>0</v>
      </c>
      <c r="J1870">
        <v>30</v>
      </c>
    </row>
    <row r="1871" spans="1:10" x14ac:dyDescent="0.25">
      <c r="A1871" t="s">
        <v>22</v>
      </c>
      <c r="B1871" t="s">
        <v>20</v>
      </c>
      <c r="C1871" t="s">
        <v>12</v>
      </c>
      <c r="D1871" t="s">
        <v>15</v>
      </c>
      <c r="E1871">
        <v>0</v>
      </c>
      <c r="F1871">
        <v>0.75</v>
      </c>
      <c r="G1871">
        <v>2.1342141628265301</v>
      </c>
      <c r="H1871">
        <v>0</v>
      </c>
      <c r="I1871">
        <v>0</v>
      </c>
      <c r="J1871">
        <v>30</v>
      </c>
    </row>
    <row r="1872" spans="1:10" x14ac:dyDescent="0.25">
      <c r="A1872" t="s">
        <v>22</v>
      </c>
      <c r="B1872" t="s">
        <v>20</v>
      </c>
      <c r="C1872" t="s">
        <v>12</v>
      </c>
      <c r="D1872" t="s">
        <v>15</v>
      </c>
      <c r="E1872">
        <v>0</v>
      </c>
      <c r="F1872">
        <v>0.75</v>
      </c>
      <c r="G1872">
        <v>2.23493456840515</v>
      </c>
      <c r="H1872">
        <v>0</v>
      </c>
      <c r="I1872">
        <v>0</v>
      </c>
      <c r="J1872">
        <v>30</v>
      </c>
    </row>
    <row r="1873" spans="1:10" x14ac:dyDescent="0.25">
      <c r="A1873" t="s">
        <v>22</v>
      </c>
      <c r="B1873" t="s">
        <v>20</v>
      </c>
      <c r="C1873" t="s">
        <v>12</v>
      </c>
      <c r="D1873" t="s">
        <v>15</v>
      </c>
      <c r="E1873">
        <v>0</v>
      </c>
      <c r="F1873">
        <v>0.75</v>
      </c>
      <c r="G1873">
        <v>2.3002226352691602</v>
      </c>
      <c r="H1873">
        <v>0</v>
      </c>
      <c r="I1873">
        <v>0</v>
      </c>
      <c r="J1873">
        <v>30</v>
      </c>
    </row>
    <row r="1874" spans="1:10" x14ac:dyDescent="0.25">
      <c r="A1874" t="s">
        <v>22</v>
      </c>
      <c r="B1874" t="s">
        <v>20</v>
      </c>
      <c r="C1874" t="s">
        <v>12</v>
      </c>
      <c r="D1874" t="s">
        <v>15</v>
      </c>
      <c r="E1874">
        <v>0</v>
      </c>
      <c r="F1874">
        <v>0.75</v>
      </c>
      <c r="G1874">
        <v>2.3083930015563898</v>
      </c>
      <c r="H1874">
        <v>0</v>
      </c>
      <c r="I1874">
        <v>0</v>
      </c>
      <c r="J1874">
        <v>30</v>
      </c>
    </row>
    <row r="1875" spans="1:10" x14ac:dyDescent="0.25">
      <c r="A1875" t="s">
        <v>22</v>
      </c>
      <c r="B1875" t="s">
        <v>20</v>
      </c>
      <c r="C1875" t="s">
        <v>12</v>
      </c>
      <c r="D1875" t="s">
        <v>15</v>
      </c>
      <c r="E1875">
        <v>0</v>
      </c>
      <c r="F1875">
        <v>0.75</v>
      </c>
      <c r="G1875">
        <v>2.3690037727355899</v>
      </c>
      <c r="H1875">
        <v>0</v>
      </c>
      <c r="I1875">
        <v>0</v>
      </c>
      <c r="J1875">
        <v>30</v>
      </c>
    </row>
    <row r="1876" spans="1:10" x14ac:dyDescent="0.25">
      <c r="A1876" t="s">
        <v>22</v>
      </c>
      <c r="B1876" t="s">
        <v>20</v>
      </c>
      <c r="C1876" t="s">
        <v>12</v>
      </c>
      <c r="D1876" t="s">
        <v>15</v>
      </c>
      <c r="E1876">
        <v>0</v>
      </c>
      <c r="F1876">
        <v>0.75</v>
      </c>
      <c r="G1876">
        <v>2.44637751579284</v>
      </c>
      <c r="H1876">
        <v>0</v>
      </c>
      <c r="I1876">
        <v>0</v>
      </c>
      <c r="J1876">
        <v>30</v>
      </c>
    </row>
    <row r="1877" spans="1:10" x14ac:dyDescent="0.25">
      <c r="A1877" t="s">
        <v>22</v>
      </c>
      <c r="B1877" t="s">
        <v>20</v>
      </c>
      <c r="C1877" t="s">
        <v>12</v>
      </c>
      <c r="D1877" t="s">
        <v>15</v>
      </c>
      <c r="E1877">
        <v>0</v>
      </c>
      <c r="F1877">
        <v>0.75</v>
      </c>
      <c r="G1877">
        <v>2.44637751579284</v>
      </c>
      <c r="H1877">
        <v>0</v>
      </c>
      <c r="I1877">
        <v>0</v>
      </c>
      <c r="J1877">
        <v>30</v>
      </c>
    </row>
    <row r="1878" spans="1:10" x14ac:dyDescent="0.25">
      <c r="A1878" t="s">
        <v>22</v>
      </c>
      <c r="B1878" t="s">
        <v>20</v>
      </c>
      <c r="C1878" t="s">
        <v>12</v>
      </c>
      <c r="D1878" t="s">
        <v>15</v>
      </c>
      <c r="E1878">
        <v>0</v>
      </c>
      <c r="F1878">
        <v>0.75</v>
      </c>
      <c r="G1878">
        <v>2.5337052345275799</v>
      </c>
      <c r="H1878">
        <v>0</v>
      </c>
      <c r="I1878">
        <v>0</v>
      </c>
      <c r="J1878">
        <v>30</v>
      </c>
    </row>
    <row r="1879" spans="1:10" x14ac:dyDescent="0.25">
      <c r="A1879" t="s">
        <v>22</v>
      </c>
      <c r="B1879" t="s">
        <v>20</v>
      </c>
      <c r="C1879" t="s">
        <v>12</v>
      </c>
      <c r="D1879" t="s">
        <v>15</v>
      </c>
      <c r="E1879">
        <v>0</v>
      </c>
      <c r="F1879">
        <v>0.75</v>
      </c>
      <c r="G1879">
        <v>2.5572223663329998</v>
      </c>
      <c r="H1879">
        <v>0</v>
      </c>
      <c r="I1879">
        <v>0</v>
      </c>
      <c r="J1879">
        <v>30</v>
      </c>
    </row>
    <row r="1880" spans="1:10" x14ac:dyDescent="0.25">
      <c r="A1880" t="s">
        <v>22</v>
      </c>
      <c r="B1880" t="s">
        <v>20</v>
      </c>
      <c r="C1880" t="s">
        <v>12</v>
      </c>
      <c r="D1880" t="s">
        <v>15</v>
      </c>
      <c r="E1880">
        <v>0</v>
      </c>
      <c r="F1880">
        <v>0.75</v>
      </c>
      <c r="G1880">
        <v>2.57406425476074</v>
      </c>
      <c r="H1880">
        <v>0</v>
      </c>
      <c r="I1880">
        <v>0</v>
      </c>
      <c r="J1880">
        <v>30</v>
      </c>
    </row>
    <row r="1881" spans="1:10" x14ac:dyDescent="0.25">
      <c r="A1881" t="s">
        <v>22</v>
      </c>
      <c r="B1881" t="s">
        <v>20</v>
      </c>
      <c r="C1881" t="s">
        <v>12</v>
      </c>
      <c r="D1881" t="s">
        <v>15</v>
      </c>
      <c r="E1881">
        <v>0</v>
      </c>
      <c r="F1881">
        <v>0.75</v>
      </c>
      <c r="G1881">
        <v>2.5942246913909899</v>
      </c>
      <c r="H1881">
        <v>0</v>
      </c>
      <c r="I1881">
        <v>0</v>
      </c>
      <c r="J1881">
        <v>30</v>
      </c>
    </row>
    <row r="1882" spans="1:10" x14ac:dyDescent="0.25">
      <c r="A1882" t="s">
        <v>22</v>
      </c>
      <c r="B1882" t="s">
        <v>20</v>
      </c>
      <c r="C1882" t="s">
        <v>12</v>
      </c>
      <c r="D1882" t="s">
        <v>15</v>
      </c>
      <c r="E1882">
        <v>0</v>
      </c>
      <c r="F1882">
        <v>0.75</v>
      </c>
      <c r="G1882">
        <v>2.59948229789733</v>
      </c>
      <c r="H1882">
        <v>0</v>
      </c>
      <c r="I1882">
        <v>0</v>
      </c>
      <c r="J1882">
        <v>30</v>
      </c>
    </row>
    <row r="1883" spans="1:10" x14ac:dyDescent="0.25">
      <c r="A1883" t="s">
        <v>22</v>
      </c>
      <c r="B1883" t="s">
        <v>20</v>
      </c>
      <c r="C1883" t="s">
        <v>12</v>
      </c>
      <c r="D1883" t="s">
        <v>15</v>
      </c>
      <c r="E1883">
        <v>0</v>
      </c>
      <c r="F1883">
        <v>0.75</v>
      </c>
      <c r="G1883">
        <v>2.6098492145538299</v>
      </c>
      <c r="H1883">
        <v>0</v>
      </c>
      <c r="I1883">
        <v>0</v>
      </c>
      <c r="J1883">
        <v>30</v>
      </c>
    </row>
    <row r="1884" spans="1:10" x14ac:dyDescent="0.25">
      <c r="A1884" t="s">
        <v>22</v>
      </c>
      <c r="B1884" t="s">
        <v>20</v>
      </c>
      <c r="C1884" t="s">
        <v>12</v>
      </c>
      <c r="D1884" t="s">
        <v>15</v>
      </c>
      <c r="E1884">
        <v>0</v>
      </c>
      <c r="F1884">
        <v>0.75</v>
      </c>
      <c r="G1884">
        <v>2.6269321441650302</v>
      </c>
      <c r="H1884">
        <v>0</v>
      </c>
      <c r="I1884">
        <v>0</v>
      </c>
      <c r="J1884">
        <v>30</v>
      </c>
    </row>
    <row r="1885" spans="1:10" x14ac:dyDescent="0.25">
      <c r="A1885" t="s">
        <v>22</v>
      </c>
      <c r="B1885" t="s">
        <v>20</v>
      </c>
      <c r="C1885" t="s">
        <v>12</v>
      </c>
      <c r="D1885" t="s">
        <v>15</v>
      </c>
      <c r="E1885">
        <v>0</v>
      </c>
      <c r="F1885">
        <v>0.75</v>
      </c>
      <c r="G1885">
        <v>2.7212276458740199</v>
      </c>
      <c r="H1885">
        <v>0</v>
      </c>
      <c r="I1885">
        <v>0</v>
      </c>
      <c r="J1885">
        <v>30</v>
      </c>
    </row>
    <row r="1886" spans="1:10" x14ac:dyDescent="0.25">
      <c r="A1886" t="s">
        <v>22</v>
      </c>
      <c r="B1886" t="s">
        <v>20</v>
      </c>
      <c r="C1886" t="s">
        <v>12</v>
      </c>
      <c r="D1886" t="s">
        <v>15</v>
      </c>
      <c r="E1886">
        <v>0</v>
      </c>
      <c r="F1886">
        <v>0.75</v>
      </c>
      <c r="G1886">
        <v>2.7843110561370801</v>
      </c>
      <c r="H1886">
        <v>0</v>
      </c>
      <c r="I1886">
        <v>0</v>
      </c>
      <c r="J1886">
        <v>30</v>
      </c>
    </row>
    <row r="1887" spans="1:10" x14ac:dyDescent="0.25">
      <c r="A1887" t="s">
        <v>22</v>
      </c>
      <c r="B1887" t="s">
        <v>20</v>
      </c>
      <c r="C1887" t="s">
        <v>12</v>
      </c>
      <c r="D1887" t="s">
        <v>15</v>
      </c>
      <c r="E1887">
        <v>0</v>
      </c>
      <c r="F1887">
        <v>0.75</v>
      </c>
      <c r="G1887">
        <v>2.8089540004730198</v>
      </c>
      <c r="H1887">
        <v>0</v>
      </c>
      <c r="I1887">
        <v>0</v>
      </c>
      <c r="J1887">
        <v>30</v>
      </c>
    </row>
    <row r="1888" spans="1:10" x14ac:dyDescent="0.25">
      <c r="A1888" t="s">
        <v>22</v>
      </c>
      <c r="B1888" t="s">
        <v>20</v>
      </c>
      <c r="C1888" t="s">
        <v>12</v>
      </c>
      <c r="D1888" t="s">
        <v>15</v>
      </c>
      <c r="E1888">
        <v>0</v>
      </c>
      <c r="F1888">
        <v>0.75</v>
      </c>
      <c r="G1888">
        <v>2.9270048141479399</v>
      </c>
      <c r="H1888">
        <v>1</v>
      </c>
      <c r="I1888">
        <v>3</v>
      </c>
      <c r="J1888">
        <v>30</v>
      </c>
    </row>
    <row r="1889" spans="1:10" x14ac:dyDescent="0.25">
      <c r="A1889" t="s">
        <v>22</v>
      </c>
      <c r="B1889" t="s">
        <v>20</v>
      </c>
      <c r="C1889" t="s">
        <v>12</v>
      </c>
      <c r="D1889" t="s">
        <v>15</v>
      </c>
      <c r="E1889">
        <v>0</v>
      </c>
      <c r="F1889">
        <v>0.75</v>
      </c>
      <c r="G1889">
        <v>3.4515411853790199</v>
      </c>
      <c r="H1889">
        <v>3</v>
      </c>
      <c r="I1889">
        <v>9</v>
      </c>
      <c r="J1889">
        <v>30</v>
      </c>
    </row>
    <row r="1890" spans="1:10" x14ac:dyDescent="0.25">
      <c r="A1890" t="s">
        <v>22</v>
      </c>
      <c r="B1890" t="s">
        <v>20</v>
      </c>
      <c r="C1890" t="s">
        <v>12</v>
      </c>
      <c r="D1890" t="s">
        <v>15</v>
      </c>
      <c r="E1890">
        <v>0</v>
      </c>
      <c r="F1890">
        <v>0.75</v>
      </c>
      <c r="G1890">
        <v>3.6372611522674498</v>
      </c>
      <c r="H1890">
        <v>5</v>
      </c>
      <c r="I1890">
        <v>11</v>
      </c>
      <c r="J1890">
        <v>30</v>
      </c>
    </row>
    <row r="1891" spans="1:10" x14ac:dyDescent="0.25">
      <c r="A1891" t="s">
        <v>22</v>
      </c>
      <c r="B1891" t="s">
        <v>20</v>
      </c>
      <c r="C1891" t="s">
        <v>12</v>
      </c>
      <c r="D1891" t="s">
        <v>15</v>
      </c>
      <c r="E1891">
        <v>0</v>
      </c>
      <c r="F1891">
        <v>0.75</v>
      </c>
      <c r="G1891">
        <v>4.0812747478485099</v>
      </c>
      <c r="H1891">
        <v>9</v>
      </c>
      <c r="I1891">
        <v>22</v>
      </c>
      <c r="J1891">
        <v>30</v>
      </c>
    </row>
    <row r="1892" spans="1:10" x14ac:dyDescent="0.25">
      <c r="A1892" t="s">
        <v>22</v>
      </c>
      <c r="B1892" t="s">
        <v>20</v>
      </c>
      <c r="C1892" t="s">
        <v>12</v>
      </c>
      <c r="D1892" t="s">
        <v>16</v>
      </c>
      <c r="E1892">
        <v>0</v>
      </c>
      <c r="F1892">
        <v>0.75</v>
      </c>
      <c r="G1892">
        <v>0.18711423873901301</v>
      </c>
      <c r="H1892">
        <v>0</v>
      </c>
      <c r="I1892">
        <v>0</v>
      </c>
      <c r="J1892">
        <v>30</v>
      </c>
    </row>
    <row r="1893" spans="1:10" x14ac:dyDescent="0.25">
      <c r="A1893" t="s">
        <v>22</v>
      </c>
      <c r="B1893" t="s">
        <v>20</v>
      </c>
      <c r="C1893" t="s">
        <v>12</v>
      </c>
      <c r="D1893" t="s">
        <v>16</v>
      </c>
      <c r="E1893">
        <v>0</v>
      </c>
      <c r="F1893">
        <v>0.75</v>
      </c>
      <c r="G1893">
        <v>0.24915075302124001</v>
      </c>
      <c r="H1893">
        <v>0</v>
      </c>
      <c r="I1893">
        <v>0</v>
      </c>
      <c r="J1893">
        <v>30</v>
      </c>
    </row>
    <row r="1894" spans="1:10" x14ac:dyDescent="0.25">
      <c r="A1894" t="s">
        <v>22</v>
      </c>
      <c r="B1894" t="s">
        <v>20</v>
      </c>
      <c r="C1894" t="s">
        <v>12</v>
      </c>
      <c r="D1894" t="s">
        <v>16</v>
      </c>
      <c r="E1894">
        <v>0</v>
      </c>
      <c r="F1894">
        <v>0.75</v>
      </c>
      <c r="G1894">
        <v>0.26879072189330999</v>
      </c>
      <c r="H1894">
        <v>0</v>
      </c>
      <c r="I1894">
        <v>0</v>
      </c>
      <c r="J1894">
        <v>30</v>
      </c>
    </row>
    <row r="1895" spans="1:10" x14ac:dyDescent="0.25">
      <c r="A1895" t="s">
        <v>22</v>
      </c>
      <c r="B1895" t="s">
        <v>20</v>
      </c>
      <c r="C1895" t="s">
        <v>12</v>
      </c>
      <c r="D1895" t="s">
        <v>16</v>
      </c>
      <c r="E1895">
        <v>0</v>
      </c>
      <c r="F1895">
        <v>0.75</v>
      </c>
      <c r="G1895">
        <v>0.37673282623290999</v>
      </c>
      <c r="H1895">
        <v>0</v>
      </c>
      <c r="I1895">
        <v>0</v>
      </c>
      <c r="J1895">
        <v>30</v>
      </c>
    </row>
    <row r="1896" spans="1:10" x14ac:dyDescent="0.25">
      <c r="A1896" t="s">
        <v>22</v>
      </c>
      <c r="B1896" t="s">
        <v>20</v>
      </c>
      <c r="C1896" t="s">
        <v>12</v>
      </c>
      <c r="D1896" t="s">
        <v>16</v>
      </c>
      <c r="E1896">
        <v>0</v>
      </c>
      <c r="F1896">
        <v>0.75</v>
      </c>
      <c r="G1896">
        <v>0.396820068359375</v>
      </c>
      <c r="H1896">
        <v>0</v>
      </c>
      <c r="I1896">
        <v>0</v>
      </c>
      <c r="J1896">
        <v>30</v>
      </c>
    </row>
    <row r="1897" spans="1:10" x14ac:dyDescent="0.25">
      <c r="A1897" t="s">
        <v>22</v>
      </c>
      <c r="B1897" t="s">
        <v>20</v>
      </c>
      <c r="C1897" t="s">
        <v>12</v>
      </c>
      <c r="D1897" t="s">
        <v>16</v>
      </c>
      <c r="E1897">
        <v>0</v>
      </c>
      <c r="F1897">
        <v>0.75</v>
      </c>
      <c r="G1897">
        <v>0.405643701553344</v>
      </c>
      <c r="H1897">
        <v>0</v>
      </c>
      <c r="I1897">
        <v>0</v>
      </c>
      <c r="J1897">
        <v>30</v>
      </c>
    </row>
    <row r="1898" spans="1:10" x14ac:dyDescent="0.25">
      <c r="A1898" t="s">
        <v>22</v>
      </c>
      <c r="B1898" t="s">
        <v>20</v>
      </c>
      <c r="C1898" t="s">
        <v>12</v>
      </c>
      <c r="D1898" t="s">
        <v>16</v>
      </c>
      <c r="E1898">
        <v>0</v>
      </c>
      <c r="F1898">
        <v>0.75</v>
      </c>
      <c r="G1898">
        <v>0.39277005195617598</v>
      </c>
      <c r="H1898">
        <v>0</v>
      </c>
      <c r="I1898">
        <v>0</v>
      </c>
      <c r="J1898">
        <v>30</v>
      </c>
    </row>
    <row r="1899" spans="1:10" x14ac:dyDescent="0.25">
      <c r="A1899" t="s">
        <v>22</v>
      </c>
      <c r="B1899" t="s">
        <v>20</v>
      </c>
      <c r="C1899" t="s">
        <v>12</v>
      </c>
      <c r="D1899" t="s">
        <v>16</v>
      </c>
      <c r="E1899">
        <v>0</v>
      </c>
      <c r="F1899">
        <v>0.75</v>
      </c>
      <c r="G1899">
        <v>0.42511487007141102</v>
      </c>
      <c r="H1899">
        <v>0</v>
      </c>
      <c r="I1899">
        <v>0</v>
      </c>
      <c r="J1899">
        <v>30</v>
      </c>
    </row>
    <row r="1900" spans="1:10" x14ac:dyDescent="0.25">
      <c r="A1900" t="s">
        <v>22</v>
      </c>
      <c r="B1900" t="s">
        <v>20</v>
      </c>
      <c r="C1900" t="s">
        <v>12</v>
      </c>
      <c r="D1900" t="s">
        <v>16</v>
      </c>
      <c r="E1900">
        <v>0</v>
      </c>
      <c r="F1900">
        <v>0.75</v>
      </c>
      <c r="G1900">
        <v>0.47336554527282698</v>
      </c>
      <c r="H1900">
        <v>0</v>
      </c>
      <c r="I1900">
        <v>0</v>
      </c>
      <c r="J1900">
        <v>30</v>
      </c>
    </row>
    <row r="1901" spans="1:10" x14ac:dyDescent="0.25">
      <c r="A1901" t="s">
        <v>22</v>
      </c>
      <c r="B1901" t="s">
        <v>20</v>
      </c>
      <c r="C1901" t="s">
        <v>12</v>
      </c>
      <c r="D1901" t="s">
        <v>16</v>
      </c>
      <c r="E1901">
        <v>0</v>
      </c>
      <c r="F1901">
        <v>0.75</v>
      </c>
      <c r="G1901">
        <v>0.48702788352966297</v>
      </c>
      <c r="H1901">
        <v>0</v>
      </c>
      <c r="I1901">
        <v>0</v>
      </c>
      <c r="J1901">
        <v>30</v>
      </c>
    </row>
    <row r="1902" spans="1:10" x14ac:dyDescent="0.25">
      <c r="A1902" t="s">
        <v>22</v>
      </c>
      <c r="B1902" t="s">
        <v>20</v>
      </c>
      <c r="C1902" t="s">
        <v>12</v>
      </c>
      <c r="D1902" t="s">
        <v>16</v>
      </c>
      <c r="E1902">
        <v>0</v>
      </c>
      <c r="F1902">
        <v>0.75</v>
      </c>
      <c r="G1902">
        <v>0.49629306793212802</v>
      </c>
      <c r="H1902">
        <v>0</v>
      </c>
      <c r="I1902">
        <v>0</v>
      </c>
      <c r="J1902">
        <v>30</v>
      </c>
    </row>
    <row r="1903" spans="1:10" x14ac:dyDescent="0.25">
      <c r="A1903" t="s">
        <v>22</v>
      </c>
      <c r="B1903" t="s">
        <v>20</v>
      </c>
      <c r="C1903" t="s">
        <v>12</v>
      </c>
      <c r="D1903" t="s">
        <v>16</v>
      </c>
      <c r="E1903">
        <v>0</v>
      </c>
      <c r="F1903">
        <v>0.75</v>
      </c>
      <c r="G1903">
        <v>0.51079654693603505</v>
      </c>
      <c r="H1903">
        <v>0</v>
      </c>
      <c r="I1903">
        <v>0</v>
      </c>
      <c r="J1903">
        <v>30</v>
      </c>
    </row>
    <row r="1904" spans="1:10" x14ac:dyDescent="0.25">
      <c r="A1904" t="s">
        <v>22</v>
      </c>
      <c r="B1904" t="s">
        <v>20</v>
      </c>
      <c r="C1904" t="s">
        <v>12</v>
      </c>
      <c r="D1904" t="s">
        <v>16</v>
      </c>
      <c r="E1904">
        <v>0</v>
      </c>
      <c r="F1904">
        <v>0.75</v>
      </c>
      <c r="G1904">
        <v>0.50477313995361295</v>
      </c>
      <c r="H1904">
        <v>0</v>
      </c>
      <c r="I1904">
        <v>0</v>
      </c>
      <c r="J1904">
        <v>30</v>
      </c>
    </row>
    <row r="1905" spans="1:10" x14ac:dyDescent="0.25">
      <c r="A1905" t="s">
        <v>22</v>
      </c>
      <c r="B1905" t="s">
        <v>20</v>
      </c>
      <c r="C1905" t="s">
        <v>12</v>
      </c>
      <c r="D1905" t="s">
        <v>16</v>
      </c>
      <c r="E1905">
        <v>0</v>
      </c>
      <c r="F1905">
        <v>0.75</v>
      </c>
      <c r="G1905">
        <v>0.50477313995361295</v>
      </c>
      <c r="H1905">
        <v>0</v>
      </c>
      <c r="I1905">
        <v>0</v>
      </c>
      <c r="J1905">
        <v>30</v>
      </c>
    </row>
    <row r="1906" spans="1:10" x14ac:dyDescent="0.25">
      <c r="A1906" t="s">
        <v>22</v>
      </c>
      <c r="B1906" t="s">
        <v>20</v>
      </c>
      <c r="C1906" t="s">
        <v>12</v>
      </c>
      <c r="D1906" t="s">
        <v>16</v>
      </c>
      <c r="E1906">
        <v>0</v>
      </c>
      <c r="F1906">
        <v>0.75</v>
      </c>
      <c r="G1906">
        <v>0.52654480934143</v>
      </c>
      <c r="H1906">
        <v>0</v>
      </c>
      <c r="I1906">
        <v>0</v>
      </c>
      <c r="J1906">
        <v>30</v>
      </c>
    </row>
    <row r="1907" spans="1:10" x14ac:dyDescent="0.25">
      <c r="A1907" t="s">
        <v>22</v>
      </c>
      <c r="B1907" t="s">
        <v>20</v>
      </c>
      <c r="C1907" t="s">
        <v>12</v>
      </c>
      <c r="D1907" t="s">
        <v>16</v>
      </c>
      <c r="E1907">
        <v>0</v>
      </c>
      <c r="F1907">
        <v>0.75</v>
      </c>
      <c r="G1907">
        <v>0.52953171730041504</v>
      </c>
      <c r="H1907">
        <v>0</v>
      </c>
      <c r="I1907">
        <v>0</v>
      </c>
      <c r="J1907">
        <v>30</v>
      </c>
    </row>
    <row r="1908" spans="1:10" x14ac:dyDescent="0.25">
      <c r="A1908" t="s">
        <v>22</v>
      </c>
      <c r="B1908" t="s">
        <v>20</v>
      </c>
      <c r="C1908" t="s">
        <v>12</v>
      </c>
      <c r="D1908" t="s">
        <v>16</v>
      </c>
      <c r="E1908">
        <v>0</v>
      </c>
      <c r="F1908">
        <v>0.75</v>
      </c>
      <c r="G1908">
        <v>0.55669760704040505</v>
      </c>
      <c r="H1908">
        <v>0</v>
      </c>
      <c r="I1908">
        <v>0</v>
      </c>
      <c r="J1908">
        <v>30</v>
      </c>
    </row>
    <row r="1909" spans="1:10" x14ac:dyDescent="0.25">
      <c r="A1909" t="s">
        <v>22</v>
      </c>
      <c r="B1909" t="s">
        <v>20</v>
      </c>
      <c r="C1909" t="s">
        <v>12</v>
      </c>
      <c r="D1909" t="s">
        <v>16</v>
      </c>
      <c r="E1909">
        <v>0</v>
      </c>
      <c r="F1909">
        <v>0.75</v>
      </c>
      <c r="G1909">
        <v>0.58010458946228005</v>
      </c>
      <c r="H1909">
        <v>0</v>
      </c>
      <c r="I1909">
        <v>0</v>
      </c>
      <c r="J1909">
        <v>30</v>
      </c>
    </row>
    <row r="1910" spans="1:10" x14ac:dyDescent="0.25">
      <c r="A1910" t="s">
        <v>22</v>
      </c>
      <c r="B1910" t="s">
        <v>20</v>
      </c>
      <c r="C1910" t="s">
        <v>12</v>
      </c>
      <c r="D1910" t="s">
        <v>16</v>
      </c>
      <c r="E1910">
        <v>0</v>
      </c>
      <c r="F1910">
        <v>0.75</v>
      </c>
      <c r="G1910">
        <v>0.587374687194824</v>
      </c>
      <c r="H1910">
        <v>0</v>
      </c>
      <c r="I1910">
        <v>0</v>
      </c>
      <c r="J1910">
        <v>30</v>
      </c>
    </row>
    <row r="1911" spans="1:10" x14ac:dyDescent="0.25">
      <c r="A1911" t="s">
        <v>22</v>
      </c>
      <c r="B1911" t="s">
        <v>20</v>
      </c>
      <c r="C1911" t="s">
        <v>12</v>
      </c>
      <c r="D1911" t="s">
        <v>16</v>
      </c>
      <c r="E1911">
        <v>0</v>
      </c>
      <c r="F1911">
        <v>0.75</v>
      </c>
      <c r="G1911">
        <v>0.58010458946228005</v>
      </c>
      <c r="H1911">
        <v>0</v>
      </c>
      <c r="I1911">
        <v>0</v>
      </c>
      <c r="J1911">
        <v>30</v>
      </c>
    </row>
    <row r="1912" spans="1:10" x14ac:dyDescent="0.25">
      <c r="A1912" t="s">
        <v>22</v>
      </c>
      <c r="B1912" t="s">
        <v>20</v>
      </c>
      <c r="C1912" t="s">
        <v>12</v>
      </c>
      <c r="D1912" t="s">
        <v>16</v>
      </c>
      <c r="E1912">
        <v>0</v>
      </c>
      <c r="F1912">
        <v>0.75</v>
      </c>
      <c r="G1912">
        <v>0.59761023521423295</v>
      </c>
      <c r="H1912">
        <v>0</v>
      </c>
      <c r="I1912">
        <v>0</v>
      </c>
      <c r="J1912">
        <v>30</v>
      </c>
    </row>
    <row r="1913" spans="1:10" x14ac:dyDescent="0.25">
      <c r="A1913" t="s">
        <v>22</v>
      </c>
      <c r="B1913" t="s">
        <v>20</v>
      </c>
      <c r="C1913" t="s">
        <v>12</v>
      </c>
      <c r="D1913" t="s">
        <v>16</v>
      </c>
      <c r="E1913">
        <v>0</v>
      </c>
      <c r="F1913">
        <v>0.75</v>
      </c>
      <c r="G1913">
        <v>0.60783123970031705</v>
      </c>
      <c r="H1913">
        <v>0</v>
      </c>
      <c r="I1913">
        <v>0</v>
      </c>
      <c r="J1913">
        <v>30</v>
      </c>
    </row>
    <row r="1914" spans="1:10" x14ac:dyDescent="0.25">
      <c r="A1914" t="s">
        <v>22</v>
      </c>
      <c r="B1914" t="s">
        <v>20</v>
      </c>
      <c r="C1914" t="s">
        <v>12</v>
      </c>
      <c r="D1914" t="s">
        <v>16</v>
      </c>
      <c r="E1914">
        <v>0</v>
      </c>
      <c r="F1914">
        <v>0.75</v>
      </c>
      <c r="G1914">
        <v>0.60803079605102495</v>
      </c>
      <c r="H1914">
        <v>0</v>
      </c>
      <c r="I1914">
        <v>0</v>
      </c>
      <c r="J1914">
        <v>30</v>
      </c>
    </row>
    <row r="1915" spans="1:10" x14ac:dyDescent="0.25">
      <c r="A1915" t="s">
        <v>22</v>
      </c>
      <c r="B1915" t="s">
        <v>20</v>
      </c>
      <c r="C1915" t="s">
        <v>12</v>
      </c>
      <c r="D1915" t="s">
        <v>16</v>
      </c>
      <c r="E1915">
        <v>0</v>
      </c>
      <c r="F1915">
        <v>0.75</v>
      </c>
      <c r="G1915">
        <v>0.59761023521423295</v>
      </c>
      <c r="H1915">
        <v>0</v>
      </c>
      <c r="I1915">
        <v>0</v>
      </c>
      <c r="J1915">
        <v>30</v>
      </c>
    </row>
    <row r="1916" spans="1:10" x14ac:dyDescent="0.25">
      <c r="A1916" t="s">
        <v>22</v>
      </c>
      <c r="B1916" t="s">
        <v>20</v>
      </c>
      <c r="C1916" t="s">
        <v>12</v>
      </c>
      <c r="D1916" t="s">
        <v>16</v>
      </c>
      <c r="E1916">
        <v>0</v>
      </c>
      <c r="F1916">
        <v>0.75</v>
      </c>
      <c r="G1916">
        <v>0.60166025161743097</v>
      </c>
      <c r="H1916">
        <v>0</v>
      </c>
      <c r="I1916">
        <v>0</v>
      </c>
      <c r="J1916">
        <v>30</v>
      </c>
    </row>
    <row r="1917" spans="1:10" x14ac:dyDescent="0.25">
      <c r="A1917" t="s">
        <v>22</v>
      </c>
      <c r="B1917" t="s">
        <v>20</v>
      </c>
      <c r="C1917" t="s">
        <v>12</v>
      </c>
      <c r="D1917" t="s">
        <v>16</v>
      </c>
      <c r="E1917">
        <v>0</v>
      </c>
      <c r="F1917">
        <v>0.75</v>
      </c>
      <c r="G1917">
        <v>0.616108417510986</v>
      </c>
      <c r="H1917">
        <v>0</v>
      </c>
      <c r="I1917">
        <v>0</v>
      </c>
      <c r="J1917">
        <v>30</v>
      </c>
    </row>
    <row r="1918" spans="1:10" x14ac:dyDescent="0.25">
      <c r="A1918" t="s">
        <v>22</v>
      </c>
      <c r="B1918" t="s">
        <v>20</v>
      </c>
      <c r="C1918" t="s">
        <v>12</v>
      </c>
      <c r="D1918" t="s">
        <v>16</v>
      </c>
      <c r="E1918">
        <v>0</v>
      </c>
      <c r="F1918">
        <v>0.75</v>
      </c>
      <c r="G1918">
        <v>0.61816072463989202</v>
      </c>
      <c r="H1918">
        <v>0</v>
      </c>
      <c r="I1918">
        <v>0</v>
      </c>
      <c r="J1918">
        <v>30</v>
      </c>
    </row>
    <row r="1919" spans="1:10" x14ac:dyDescent="0.25">
      <c r="A1919" t="s">
        <v>22</v>
      </c>
      <c r="B1919" t="s">
        <v>20</v>
      </c>
      <c r="C1919" t="s">
        <v>12</v>
      </c>
      <c r="D1919" t="s">
        <v>16</v>
      </c>
      <c r="E1919">
        <v>0</v>
      </c>
      <c r="F1919">
        <v>0.75</v>
      </c>
      <c r="G1919">
        <v>0.62838172912597601</v>
      </c>
      <c r="H1919">
        <v>0</v>
      </c>
      <c r="I1919">
        <v>0</v>
      </c>
      <c r="J1919">
        <v>30</v>
      </c>
    </row>
    <row r="1920" spans="1:10" x14ac:dyDescent="0.25">
      <c r="A1920" t="s">
        <v>22</v>
      </c>
      <c r="B1920" t="s">
        <v>20</v>
      </c>
      <c r="C1920" t="s">
        <v>12</v>
      </c>
      <c r="D1920" t="s">
        <v>16</v>
      </c>
      <c r="E1920">
        <v>0</v>
      </c>
      <c r="F1920">
        <v>0.75</v>
      </c>
      <c r="G1920">
        <v>0.62838172912597601</v>
      </c>
      <c r="H1920">
        <v>0</v>
      </c>
      <c r="I1920">
        <v>0</v>
      </c>
      <c r="J1920">
        <v>30</v>
      </c>
    </row>
    <row r="1921" spans="1:10" x14ac:dyDescent="0.25">
      <c r="A1921" t="s">
        <v>22</v>
      </c>
      <c r="B1921" t="s">
        <v>20</v>
      </c>
      <c r="C1921" t="s">
        <v>12</v>
      </c>
      <c r="D1921" t="s">
        <v>16</v>
      </c>
      <c r="E1921">
        <v>0</v>
      </c>
      <c r="F1921">
        <v>0.75</v>
      </c>
      <c r="G1921">
        <v>0.616108417510986</v>
      </c>
      <c r="H1921">
        <v>0</v>
      </c>
      <c r="I1921">
        <v>0</v>
      </c>
      <c r="J1921">
        <v>30</v>
      </c>
    </row>
    <row r="1922" spans="1:10" x14ac:dyDescent="0.25">
      <c r="A1922" t="s">
        <v>22</v>
      </c>
      <c r="B1922" t="s">
        <v>20</v>
      </c>
      <c r="C1922" t="s">
        <v>12</v>
      </c>
      <c r="D1922" t="s">
        <v>17</v>
      </c>
      <c r="E1922">
        <v>0.42647058823529399</v>
      </c>
      <c r="F1922">
        <v>0.76533055587058796</v>
      </c>
      <c r="G1922">
        <v>68.943386793136597</v>
      </c>
      <c r="H1922">
        <v>71</v>
      </c>
      <c r="I1922">
        <v>94</v>
      </c>
      <c r="J1922">
        <v>30</v>
      </c>
    </row>
    <row r="1923" spans="1:10" x14ac:dyDescent="0.25">
      <c r="A1923" t="s">
        <v>22</v>
      </c>
      <c r="B1923" t="s">
        <v>20</v>
      </c>
      <c r="C1923" t="s">
        <v>12</v>
      </c>
      <c r="D1923" t="s">
        <v>17</v>
      </c>
      <c r="E1923">
        <v>0.58823529411764697</v>
      </c>
      <c r="F1923">
        <v>0.79347117647647003</v>
      </c>
      <c r="G1923">
        <v>69.411656379699707</v>
      </c>
      <c r="H1923">
        <v>71</v>
      </c>
      <c r="I1923">
        <v>97</v>
      </c>
      <c r="J1923">
        <v>30</v>
      </c>
    </row>
    <row r="1924" spans="1:10" x14ac:dyDescent="0.25">
      <c r="A1924" t="s">
        <v>22</v>
      </c>
      <c r="B1924" t="s">
        <v>20</v>
      </c>
      <c r="C1924" t="s">
        <v>12</v>
      </c>
      <c r="D1924" t="s">
        <v>17</v>
      </c>
      <c r="E1924">
        <v>0.41176470588235198</v>
      </c>
      <c r="F1924">
        <v>0.756464324122058</v>
      </c>
      <c r="G1924">
        <v>70.4784832000732</v>
      </c>
      <c r="H1924">
        <v>64</v>
      </c>
      <c r="I1924">
        <v>85</v>
      </c>
      <c r="J1924">
        <v>30</v>
      </c>
    </row>
    <row r="1925" spans="1:10" x14ac:dyDescent="0.25">
      <c r="A1925" t="s">
        <v>22</v>
      </c>
      <c r="B1925" t="s">
        <v>20</v>
      </c>
      <c r="C1925" t="s">
        <v>12</v>
      </c>
      <c r="D1925" t="s">
        <v>17</v>
      </c>
      <c r="E1925">
        <v>0.441176470588235</v>
      </c>
      <c r="F1925">
        <v>0.76929042148235205</v>
      </c>
      <c r="G1925">
        <v>70.947645664215003</v>
      </c>
      <c r="H1925">
        <v>68</v>
      </c>
      <c r="I1925">
        <v>91</v>
      </c>
      <c r="J1925">
        <v>30</v>
      </c>
    </row>
    <row r="1926" spans="1:10" x14ac:dyDescent="0.25">
      <c r="A1926" t="s">
        <v>22</v>
      </c>
      <c r="B1926" t="s">
        <v>20</v>
      </c>
      <c r="C1926" t="s">
        <v>12</v>
      </c>
      <c r="D1926" t="s">
        <v>17</v>
      </c>
      <c r="E1926">
        <v>0.48529411764705799</v>
      </c>
      <c r="F1926">
        <v>0.78079306504264701</v>
      </c>
      <c r="G1926">
        <v>74.608089447021399</v>
      </c>
      <c r="H1926">
        <v>63</v>
      </c>
      <c r="I1926">
        <v>83</v>
      </c>
      <c r="J1926">
        <v>30</v>
      </c>
    </row>
    <row r="1927" spans="1:10" x14ac:dyDescent="0.25">
      <c r="A1927" t="s">
        <v>22</v>
      </c>
      <c r="B1927" t="s">
        <v>20</v>
      </c>
      <c r="C1927" t="s">
        <v>12</v>
      </c>
      <c r="D1927" t="s">
        <v>17</v>
      </c>
      <c r="E1927">
        <v>0.39705882352941102</v>
      </c>
      <c r="F1927">
        <v>0.77586352492352895</v>
      </c>
      <c r="G1927">
        <v>74.692012071609497</v>
      </c>
      <c r="H1927">
        <v>69</v>
      </c>
      <c r="I1927">
        <v>90</v>
      </c>
      <c r="J1927">
        <v>30</v>
      </c>
    </row>
    <row r="1928" spans="1:10" x14ac:dyDescent="0.25">
      <c r="A1928" t="s">
        <v>22</v>
      </c>
      <c r="B1928" t="s">
        <v>20</v>
      </c>
      <c r="C1928" t="s">
        <v>12</v>
      </c>
      <c r="D1928" t="s">
        <v>17</v>
      </c>
      <c r="E1928">
        <v>0.58823529411764697</v>
      </c>
      <c r="F1928">
        <v>0.79043306973823502</v>
      </c>
      <c r="G1928">
        <v>76.217222213745103</v>
      </c>
      <c r="H1928">
        <v>57</v>
      </c>
      <c r="I1928">
        <v>74</v>
      </c>
      <c r="J1928">
        <v>30</v>
      </c>
    </row>
    <row r="1929" spans="1:10" x14ac:dyDescent="0.25">
      <c r="A1929" t="s">
        <v>22</v>
      </c>
      <c r="B1929" t="s">
        <v>20</v>
      </c>
      <c r="C1929" t="s">
        <v>12</v>
      </c>
      <c r="D1929" t="s">
        <v>17</v>
      </c>
      <c r="E1929">
        <v>0.47058823529411697</v>
      </c>
      <c r="F1929">
        <v>0.75014685679411697</v>
      </c>
      <c r="G1929">
        <v>77.890220403671194</v>
      </c>
      <c r="H1929">
        <v>107</v>
      </c>
      <c r="I1929">
        <v>139</v>
      </c>
      <c r="J1929">
        <v>30</v>
      </c>
    </row>
    <row r="1930" spans="1:10" x14ac:dyDescent="0.25">
      <c r="A1930" t="s">
        <v>22</v>
      </c>
      <c r="B1930" t="s">
        <v>20</v>
      </c>
      <c r="C1930" t="s">
        <v>12</v>
      </c>
      <c r="D1930" t="s">
        <v>17</v>
      </c>
      <c r="E1930">
        <v>0.54411764705882304</v>
      </c>
      <c r="F1930">
        <v>0.79027246405735296</v>
      </c>
      <c r="G1930">
        <v>78.237402200698796</v>
      </c>
      <c r="H1930">
        <v>76</v>
      </c>
      <c r="I1930">
        <v>98</v>
      </c>
      <c r="J1930">
        <v>30</v>
      </c>
    </row>
    <row r="1931" spans="1:10" x14ac:dyDescent="0.25">
      <c r="A1931" t="s">
        <v>22</v>
      </c>
      <c r="B1931" t="s">
        <v>20</v>
      </c>
      <c r="C1931" t="s">
        <v>12</v>
      </c>
      <c r="D1931" t="s">
        <v>17</v>
      </c>
      <c r="E1931">
        <v>0.441176470588235</v>
      </c>
      <c r="F1931">
        <v>0.74892171480735203</v>
      </c>
      <c r="G1931">
        <v>79.168272256851196</v>
      </c>
      <c r="H1931">
        <v>70</v>
      </c>
      <c r="I1931">
        <v>98</v>
      </c>
      <c r="J1931">
        <v>30</v>
      </c>
    </row>
    <row r="1932" spans="1:10" x14ac:dyDescent="0.25">
      <c r="A1932" t="s">
        <v>22</v>
      </c>
      <c r="B1932" t="s">
        <v>20</v>
      </c>
      <c r="C1932" t="s">
        <v>12</v>
      </c>
      <c r="D1932" t="s">
        <v>17</v>
      </c>
      <c r="E1932">
        <v>0.55882352941176405</v>
      </c>
      <c r="F1932">
        <v>0.80520180079852899</v>
      </c>
      <c r="G1932">
        <v>80.268659591674805</v>
      </c>
      <c r="H1932">
        <v>83</v>
      </c>
      <c r="I1932">
        <v>126</v>
      </c>
      <c r="J1932">
        <v>30</v>
      </c>
    </row>
    <row r="1933" spans="1:10" x14ac:dyDescent="0.25">
      <c r="A1933" t="s">
        <v>22</v>
      </c>
      <c r="B1933" t="s">
        <v>20</v>
      </c>
      <c r="C1933" t="s">
        <v>12</v>
      </c>
      <c r="D1933" t="s">
        <v>17</v>
      </c>
      <c r="E1933">
        <v>0.51470588235294101</v>
      </c>
      <c r="F1933">
        <v>0.77390259344705803</v>
      </c>
      <c r="G1933">
        <v>80.803318262100206</v>
      </c>
      <c r="H1933">
        <v>87</v>
      </c>
      <c r="I1933">
        <v>118</v>
      </c>
      <c r="J1933">
        <v>30</v>
      </c>
    </row>
    <row r="1934" spans="1:10" x14ac:dyDescent="0.25">
      <c r="A1934" t="s">
        <v>22</v>
      </c>
      <c r="B1934" t="s">
        <v>20</v>
      </c>
      <c r="C1934" t="s">
        <v>12</v>
      </c>
      <c r="D1934" t="s">
        <v>17</v>
      </c>
      <c r="E1934">
        <v>0.52941176470588203</v>
      </c>
      <c r="F1934">
        <v>0.75793499094558803</v>
      </c>
      <c r="G1934">
        <v>81.199745178222599</v>
      </c>
      <c r="H1934">
        <v>79</v>
      </c>
      <c r="I1934">
        <v>111</v>
      </c>
      <c r="J1934">
        <v>30</v>
      </c>
    </row>
    <row r="1935" spans="1:10" x14ac:dyDescent="0.25">
      <c r="A1935" t="s">
        <v>22</v>
      </c>
      <c r="B1935" t="s">
        <v>20</v>
      </c>
      <c r="C1935" t="s">
        <v>12</v>
      </c>
      <c r="D1935" t="s">
        <v>17</v>
      </c>
      <c r="E1935">
        <v>0.58823529411764697</v>
      </c>
      <c r="F1935">
        <v>0.76504673359117603</v>
      </c>
      <c r="G1935">
        <v>81.211759805679307</v>
      </c>
      <c r="H1935">
        <v>104</v>
      </c>
      <c r="I1935">
        <v>136</v>
      </c>
      <c r="J1935">
        <v>30</v>
      </c>
    </row>
    <row r="1936" spans="1:10" x14ac:dyDescent="0.25">
      <c r="A1936" t="s">
        <v>22</v>
      </c>
      <c r="B1936" t="s">
        <v>20</v>
      </c>
      <c r="C1936" t="s">
        <v>12</v>
      </c>
      <c r="D1936" t="s">
        <v>17</v>
      </c>
      <c r="E1936">
        <v>0.52941176470588203</v>
      </c>
      <c r="F1936">
        <v>0.76474108607205804</v>
      </c>
      <c r="G1936">
        <v>81.247365951538001</v>
      </c>
      <c r="H1936">
        <v>84</v>
      </c>
      <c r="I1936">
        <v>113</v>
      </c>
      <c r="J1936">
        <v>30</v>
      </c>
    </row>
    <row r="1937" spans="1:10" x14ac:dyDescent="0.25">
      <c r="A1937" t="s">
        <v>22</v>
      </c>
      <c r="B1937" t="s">
        <v>20</v>
      </c>
      <c r="C1937" t="s">
        <v>12</v>
      </c>
      <c r="D1937" t="s">
        <v>17</v>
      </c>
      <c r="E1937">
        <v>0.58823529411764697</v>
      </c>
      <c r="F1937">
        <v>0.80628728199411703</v>
      </c>
      <c r="G1937">
        <v>81.448758602142306</v>
      </c>
      <c r="H1937">
        <v>70</v>
      </c>
      <c r="I1937">
        <v>101</v>
      </c>
      <c r="J1937">
        <v>30</v>
      </c>
    </row>
    <row r="1938" spans="1:10" x14ac:dyDescent="0.25">
      <c r="A1938" t="s">
        <v>22</v>
      </c>
      <c r="B1938" t="s">
        <v>20</v>
      </c>
      <c r="C1938" t="s">
        <v>12</v>
      </c>
      <c r="D1938" t="s">
        <v>17</v>
      </c>
      <c r="E1938">
        <v>0.67647058823529405</v>
      </c>
      <c r="F1938">
        <v>0.79272195243382304</v>
      </c>
      <c r="G1938">
        <v>83.100469589233398</v>
      </c>
      <c r="H1938">
        <v>105</v>
      </c>
      <c r="I1938">
        <v>146</v>
      </c>
      <c r="J1938">
        <v>30</v>
      </c>
    </row>
    <row r="1939" spans="1:10" x14ac:dyDescent="0.25">
      <c r="A1939" t="s">
        <v>22</v>
      </c>
      <c r="B1939" t="s">
        <v>20</v>
      </c>
      <c r="C1939" t="s">
        <v>12</v>
      </c>
      <c r="D1939" t="s">
        <v>17</v>
      </c>
      <c r="E1939">
        <v>0.69117647058823495</v>
      </c>
      <c r="F1939">
        <v>0.80379323718970497</v>
      </c>
      <c r="G1939">
        <v>83.629061222076402</v>
      </c>
      <c r="H1939">
        <v>94</v>
      </c>
      <c r="I1939">
        <v>129</v>
      </c>
      <c r="J1939">
        <v>30</v>
      </c>
    </row>
    <row r="1940" spans="1:10" x14ac:dyDescent="0.25">
      <c r="A1940" t="s">
        <v>22</v>
      </c>
      <c r="B1940" t="s">
        <v>20</v>
      </c>
      <c r="C1940" t="s">
        <v>12</v>
      </c>
      <c r="D1940" t="s">
        <v>17</v>
      </c>
      <c r="E1940">
        <v>0.61764705882352899</v>
      </c>
      <c r="F1940">
        <v>0.78949524283235295</v>
      </c>
      <c r="G1940">
        <v>83.935526847839299</v>
      </c>
      <c r="H1940">
        <v>84</v>
      </c>
      <c r="I1940">
        <v>115</v>
      </c>
      <c r="J1940">
        <v>30</v>
      </c>
    </row>
    <row r="1941" spans="1:10" x14ac:dyDescent="0.25">
      <c r="A1941" t="s">
        <v>22</v>
      </c>
      <c r="B1941" t="s">
        <v>20</v>
      </c>
      <c r="C1941" t="s">
        <v>12</v>
      </c>
      <c r="D1941" t="s">
        <v>17</v>
      </c>
      <c r="E1941">
        <v>0.57352941176470495</v>
      </c>
      <c r="F1941">
        <v>0.77622224850882304</v>
      </c>
      <c r="G1941">
        <v>83.986949443817096</v>
      </c>
      <c r="H1941">
        <v>96</v>
      </c>
      <c r="I1941">
        <v>134</v>
      </c>
      <c r="J1941">
        <v>30</v>
      </c>
    </row>
    <row r="1942" spans="1:10" x14ac:dyDescent="0.25">
      <c r="A1942" t="s">
        <v>22</v>
      </c>
      <c r="B1942" t="s">
        <v>20</v>
      </c>
      <c r="C1942" t="s">
        <v>12</v>
      </c>
      <c r="D1942" t="s">
        <v>17</v>
      </c>
      <c r="E1942">
        <v>0.55882352941176405</v>
      </c>
      <c r="F1942">
        <v>0.78011237716029402</v>
      </c>
      <c r="G1942">
        <v>83.997259378433199</v>
      </c>
      <c r="H1942">
        <v>88</v>
      </c>
      <c r="I1942">
        <v>117</v>
      </c>
      <c r="J1942">
        <v>30</v>
      </c>
    </row>
    <row r="1943" spans="1:10" x14ac:dyDescent="0.25">
      <c r="A1943" t="s">
        <v>22</v>
      </c>
      <c r="B1943" t="s">
        <v>20</v>
      </c>
      <c r="C1943" t="s">
        <v>12</v>
      </c>
      <c r="D1943" t="s">
        <v>17</v>
      </c>
      <c r="E1943">
        <v>0.47058823529411697</v>
      </c>
      <c r="F1943">
        <v>0.74815724917941095</v>
      </c>
      <c r="G1943">
        <v>84.202389717101994</v>
      </c>
      <c r="H1943">
        <v>102</v>
      </c>
      <c r="I1943">
        <v>125</v>
      </c>
      <c r="J1943">
        <v>30</v>
      </c>
    </row>
    <row r="1944" spans="1:10" x14ac:dyDescent="0.25">
      <c r="A1944" t="s">
        <v>22</v>
      </c>
      <c r="B1944" t="s">
        <v>20</v>
      </c>
      <c r="C1944" t="s">
        <v>12</v>
      </c>
      <c r="D1944" t="s">
        <v>17</v>
      </c>
      <c r="E1944">
        <v>0.58823529411764697</v>
      </c>
      <c r="F1944">
        <v>0.78903090456029401</v>
      </c>
      <c r="G1944">
        <v>84.974508762359605</v>
      </c>
      <c r="H1944">
        <v>85</v>
      </c>
      <c r="I1944">
        <v>118</v>
      </c>
      <c r="J1944">
        <v>30</v>
      </c>
    </row>
    <row r="1945" spans="1:10" x14ac:dyDescent="0.25">
      <c r="A1945" t="s">
        <v>22</v>
      </c>
      <c r="B1945" t="s">
        <v>20</v>
      </c>
      <c r="C1945" t="s">
        <v>12</v>
      </c>
      <c r="D1945" t="s">
        <v>17</v>
      </c>
      <c r="E1945">
        <v>0.61764705882352899</v>
      </c>
      <c r="F1945">
        <v>0.80857317798088202</v>
      </c>
      <c r="G1945">
        <v>85.020779132843003</v>
      </c>
      <c r="H1945">
        <v>98</v>
      </c>
      <c r="I1945">
        <v>140</v>
      </c>
      <c r="J1945">
        <v>30</v>
      </c>
    </row>
    <row r="1946" spans="1:10" x14ac:dyDescent="0.25">
      <c r="A1946" t="s">
        <v>22</v>
      </c>
      <c r="B1946" t="s">
        <v>20</v>
      </c>
      <c r="C1946" t="s">
        <v>12</v>
      </c>
      <c r="D1946" t="s">
        <v>17</v>
      </c>
      <c r="E1946">
        <v>0.52941176470588203</v>
      </c>
      <c r="F1946">
        <v>0.76096654648676398</v>
      </c>
      <c r="G1946">
        <v>85.457030773162799</v>
      </c>
      <c r="H1946">
        <v>107</v>
      </c>
      <c r="I1946">
        <v>144</v>
      </c>
      <c r="J1946">
        <v>30</v>
      </c>
    </row>
    <row r="1947" spans="1:10" x14ac:dyDescent="0.25">
      <c r="A1947" t="s">
        <v>22</v>
      </c>
      <c r="B1947" t="s">
        <v>20</v>
      </c>
      <c r="C1947" t="s">
        <v>12</v>
      </c>
      <c r="D1947" t="s">
        <v>17</v>
      </c>
      <c r="E1947">
        <v>0.64705882352941102</v>
      </c>
      <c r="F1947">
        <v>0.81053258841470599</v>
      </c>
      <c r="G1947">
        <v>85.498426675796495</v>
      </c>
      <c r="H1947">
        <v>89</v>
      </c>
      <c r="I1947">
        <v>125</v>
      </c>
      <c r="J1947">
        <v>30</v>
      </c>
    </row>
    <row r="1948" spans="1:10" x14ac:dyDescent="0.25">
      <c r="A1948" t="s">
        <v>22</v>
      </c>
      <c r="B1948" t="s">
        <v>20</v>
      </c>
      <c r="C1948" t="s">
        <v>12</v>
      </c>
      <c r="D1948" t="s">
        <v>17</v>
      </c>
      <c r="E1948">
        <v>0.58823529411764697</v>
      </c>
      <c r="F1948">
        <v>0.79243359820735204</v>
      </c>
      <c r="G1948">
        <v>85.896609306335407</v>
      </c>
      <c r="H1948">
        <v>95</v>
      </c>
      <c r="I1948">
        <v>130</v>
      </c>
      <c r="J1948">
        <v>30</v>
      </c>
    </row>
    <row r="1949" spans="1:10" x14ac:dyDescent="0.25">
      <c r="A1949" t="s">
        <v>22</v>
      </c>
      <c r="B1949" t="s">
        <v>20</v>
      </c>
      <c r="C1949" t="s">
        <v>12</v>
      </c>
      <c r="D1949" t="s">
        <v>17</v>
      </c>
      <c r="E1949">
        <v>0.55882352941176405</v>
      </c>
      <c r="F1949">
        <v>0.777611727358823</v>
      </c>
      <c r="G1949">
        <v>86.202702760696397</v>
      </c>
      <c r="H1949">
        <v>101</v>
      </c>
      <c r="I1949">
        <v>141</v>
      </c>
      <c r="J1949">
        <v>30</v>
      </c>
    </row>
    <row r="1950" spans="1:10" x14ac:dyDescent="0.25">
      <c r="A1950" t="s">
        <v>22</v>
      </c>
      <c r="B1950" t="s">
        <v>20</v>
      </c>
      <c r="C1950" t="s">
        <v>12</v>
      </c>
      <c r="D1950" t="s">
        <v>17</v>
      </c>
      <c r="E1950">
        <v>0.73529411764705799</v>
      </c>
      <c r="F1950">
        <v>0.80097579119705797</v>
      </c>
      <c r="G1950">
        <v>86.3353044986724</v>
      </c>
      <c r="H1950">
        <v>116</v>
      </c>
      <c r="I1950">
        <v>158</v>
      </c>
      <c r="J1950">
        <v>30</v>
      </c>
    </row>
    <row r="1951" spans="1:10" x14ac:dyDescent="0.25">
      <c r="A1951" t="s">
        <v>22</v>
      </c>
      <c r="B1951" t="s">
        <v>20</v>
      </c>
      <c r="C1951" t="s">
        <v>12</v>
      </c>
      <c r="D1951" t="s">
        <v>17</v>
      </c>
      <c r="E1951">
        <v>0.57352941176470495</v>
      </c>
      <c r="F1951">
        <v>0.77708415911617601</v>
      </c>
      <c r="G1951">
        <v>86.357709646224905</v>
      </c>
      <c r="H1951">
        <v>99</v>
      </c>
      <c r="I1951">
        <v>135</v>
      </c>
      <c r="J1951">
        <v>30</v>
      </c>
    </row>
    <row r="1952" spans="1:10" x14ac:dyDescent="0.25">
      <c r="A1952" t="s">
        <v>22</v>
      </c>
      <c r="B1952" t="s">
        <v>20</v>
      </c>
      <c r="C1952" t="s">
        <v>18</v>
      </c>
      <c r="D1952" t="s">
        <v>13</v>
      </c>
      <c r="E1952">
        <v>5.8823529411764698E-2</v>
      </c>
      <c r="F1952">
        <v>0.75346275746323499</v>
      </c>
      <c r="G1952">
        <v>13.732471227645799</v>
      </c>
      <c r="H1952">
        <v>10</v>
      </c>
      <c r="I1952">
        <v>15</v>
      </c>
      <c r="J1952">
        <v>30</v>
      </c>
    </row>
    <row r="1953" spans="1:10" x14ac:dyDescent="0.25">
      <c r="A1953" t="s">
        <v>22</v>
      </c>
      <c r="B1953" t="s">
        <v>20</v>
      </c>
      <c r="C1953" t="s">
        <v>18</v>
      </c>
      <c r="D1953" t="s">
        <v>13</v>
      </c>
      <c r="E1953">
        <v>0.10294117647058799</v>
      </c>
      <c r="F1953">
        <v>0.74844311547794096</v>
      </c>
      <c r="G1953">
        <v>13.748438835144</v>
      </c>
      <c r="H1953">
        <v>11</v>
      </c>
      <c r="I1953">
        <v>16</v>
      </c>
      <c r="J1953">
        <v>30</v>
      </c>
    </row>
    <row r="1954" spans="1:10" x14ac:dyDescent="0.25">
      <c r="A1954" t="s">
        <v>22</v>
      </c>
      <c r="B1954" t="s">
        <v>20</v>
      </c>
      <c r="C1954" t="s">
        <v>18</v>
      </c>
      <c r="D1954" t="s">
        <v>13</v>
      </c>
      <c r="E1954">
        <v>8.8235294117646995E-2</v>
      </c>
      <c r="F1954">
        <v>0.76168003937499995</v>
      </c>
      <c r="G1954">
        <v>15.948780536651601</v>
      </c>
      <c r="H1954">
        <v>11</v>
      </c>
      <c r="I1954">
        <v>15</v>
      </c>
      <c r="J1954">
        <v>30</v>
      </c>
    </row>
    <row r="1955" spans="1:10" x14ac:dyDescent="0.25">
      <c r="A1955" t="s">
        <v>22</v>
      </c>
      <c r="B1955" t="s">
        <v>20</v>
      </c>
      <c r="C1955" t="s">
        <v>18</v>
      </c>
      <c r="D1955" t="s">
        <v>13</v>
      </c>
      <c r="E1955">
        <v>0.13235294117647001</v>
      </c>
      <c r="F1955">
        <v>0.77205798655000002</v>
      </c>
      <c r="G1955">
        <v>16.3296203613281</v>
      </c>
      <c r="H1955">
        <v>10</v>
      </c>
      <c r="I1955">
        <v>17</v>
      </c>
      <c r="J1955">
        <v>30</v>
      </c>
    </row>
    <row r="1956" spans="1:10" x14ac:dyDescent="0.25">
      <c r="A1956" t="s">
        <v>22</v>
      </c>
      <c r="B1956" t="s">
        <v>20</v>
      </c>
      <c r="C1956" t="s">
        <v>18</v>
      </c>
      <c r="D1956" t="s">
        <v>13</v>
      </c>
      <c r="E1956">
        <v>0.77941176470588203</v>
      </c>
      <c r="F1956">
        <v>0.821294732586764</v>
      </c>
      <c r="G1956">
        <v>16.761477470397899</v>
      </c>
      <c r="H1956">
        <v>24</v>
      </c>
      <c r="I1956">
        <v>31</v>
      </c>
      <c r="J1956">
        <v>30</v>
      </c>
    </row>
    <row r="1957" spans="1:10" x14ac:dyDescent="0.25">
      <c r="A1957" t="s">
        <v>22</v>
      </c>
      <c r="B1957" t="s">
        <v>20</v>
      </c>
      <c r="C1957" t="s">
        <v>18</v>
      </c>
      <c r="D1957" t="s">
        <v>13</v>
      </c>
      <c r="E1957">
        <v>5.8823529411764698E-2</v>
      </c>
      <c r="F1957">
        <v>0.75557417598382304</v>
      </c>
      <c r="G1957">
        <v>17.254618406295702</v>
      </c>
      <c r="H1957">
        <v>10</v>
      </c>
      <c r="I1957">
        <v>13</v>
      </c>
      <c r="J1957">
        <v>30</v>
      </c>
    </row>
    <row r="1958" spans="1:10" x14ac:dyDescent="0.25">
      <c r="A1958" t="s">
        <v>22</v>
      </c>
      <c r="B1958" t="s">
        <v>20</v>
      </c>
      <c r="C1958" t="s">
        <v>18</v>
      </c>
      <c r="D1958" t="s">
        <v>13</v>
      </c>
      <c r="E1958">
        <v>0.63235294117647001</v>
      </c>
      <c r="F1958">
        <v>0.84341694333823503</v>
      </c>
      <c r="G1958">
        <v>17.439289808273301</v>
      </c>
      <c r="H1958">
        <v>18</v>
      </c>
      <c r="I1958">
        <v>25</v>
      </c>
      <c r="J1958">
        <v>30</v>
      </c>
    </row>
    <row r="1959" spans="1:10" x14ac:dyDescent="0.25">
      <c r="A1959" t="s">
        <v>22</v>
      </c>
      <c r="B1959" t="s">
        <v>20</v>
      </c>
      <c r="C1959" t="s">
        <v>18</v>
      </c>
      <c r="D1959" t="s">
        <v>13</v>
      </c>
      <c r="E1959">
        <v>0.10294117647058799</v>
      </c>
      <c r="F1959">
        <v>0.76085320551764701</v>
      </c>
      <c r="G1959">
        <v>17.993491172790499</v>
      </c>
      <c r="H1959">
        <v>11</v>
      </c>
      <c r="I1959">
        <v>15</v>
      </c>
      <c r="J1959">
        <v>30</v>
      </c>
    </row>
    <row r="1960" spans="1:10" x14ac:dyDescent="0.25">
      <c r="A1960" t="s">
        <v>22</v>
      </c>
      <c r="B1960" t="s">
        <v>20</v>
      </c>
      <c r="C1960" t="s">
        <v>18</v>
      </c>
      <c r="D1960" t="s">
        <v>13</v>
      </c>
      <c r="E1960">
        <v>0.11764705882352899</v>
      </c>
      <c r="F1960">
        <v>0.758413863594117</v>
      </c>
      <c r="G1960">
        <v>18.1446852684021</v>
      </c>
      <c r="H1960">
        <v>10</v>
      </c>
      <c r="I1960">
        <v>14</v>
      </c>
      <c r="J1960">
        <v>30</v>
      </c>
    </row>
    <row r="1961" spans="1:10" x14ac:dyDescent="0.25">
      <c r="A1961" t="s">
        <v>22</v>
      </c>
      <c r="B1961" t="s">
        <v>20</v>
      </c>
      <c r="C1961" t="s">
        <v>18</v>
      </c>
      <c r="D1961" t="s">
        <v>13</v>
      </c>
      <c r="E1961">
        <v>0.14705882352941099</v>
      </c>
      <c r="F1961">
        <v>0.76154586351911702</v>
      </c>
      <c r="G1961">
        <v>18.255835771560601</v>
      </c>
      <c r="H1961">
        <v>14</v>
      </c>
      <c r="I1961">
        <v>22</v>
      </c>
      <c r="J1961">
        <v>30</v>
      </c>
    </row>
    <row r="1962" spans="1:10" x14ac:dyDescent="0.25">
      <c r="A1962" t="s">
        <v>22</v>
      </c>
      <c r="B1962" t="s">
        <v>20</v>
      </c>
      <c r="C1962" t="s">
        <v>18</v>
      </c>
      <c r="D1962" t="s">
        <v>13</v>
      </c>
      <c r="E1962">
        <v>0.16176470588235201</v>
      </c>
      <c r="F1962">
        <v>0.77565752099264695</v>
      </c>
      <c r="G1962">
        <v>18.322853803634601</v>
      </c>
      <c r="H1962">
        <v>11</v>
      </c>
      <c r="I1962">
        <v>20</v>
      </c>
      <c r="J1962">
        <v>30</v>
      </c>
    </row>
    <row r="1963" spans="1:10" x14ac:dyDescent="0.25">
      <c r="A1963" t="s">
        <v>22</v>
      </c>
      <c r="B1963" t="s">
        <v>20</v>
      </c>
      <c r="C1963" t="s">
        <v>18</v>
      </c>
      <c r="D1963" t="s">
        <v>13</v>
      </c>
      <c r="E1963">
        <v>0.79411764705882304</v>
      </c>
      <c r="F1963">
        <v>0.84620528861911704</v>
      </c>
      <c r="G1963">
        <v>18.929088592529201</v>
      </c>
      <c r="H1963">
        <v>21</v>
      </c>
      <c r="I1963">
        <v>23</v>
      </c>
      <c r="J1963">
        <v>30</v>
      </c>
    </row>
    <row r="1964" spans="1:10" x14ac:dyDescent="0.25">
      <c r="A1964" t="s">
        <v>22</v>
      </c>
      <c r="B1964" t="s">
        <v>20</v>
      </c>
      <c r="C1964" t="s">
        <v>18</v>
      </c>
      <c r="D1964" t="s">
        <v>13</v>
      </c>
      <c r="E1964">
        <v>0.11764705882352899</v>
      </c>
      <c r="F1964">
        <v>0.77509204867646997</v>
      </c>
      <c r="G1964">
        <v>19.1360523700714</v>
      </c>
      <c r="H1964">
        <v>11</v>
      </c>
      <c r="I1964">
        <v>16</v>
      </c>
      <c r="J1964">
        <v>30</v>
      </c>
    </row>
    <row r="1965" spans="1:10" x14ac:dyDescent="0.25">
      <c r="A1965" t="s">
        <v>22</v>
      </c>
      <c r="B1965" t="s">
        <v>20</v>
      </c>
      <c r="C1965" t="s">
        <v>18</v>
      </c>
      <c r="D1965" t="s">
        <v>13</v>
      </c>
      <c r="E1965">
        <v>8.8235294117646995E-2</v>
      </c>
      <c r="F1965">
        <v>0.75557860545294098</v>
      </c>
      <c r="G1965">
        <v>19.162481546401899</v>
      </c>
      <c r="H1965">
        <v>10</v>
      </c>
      <c r="I1965">
        <v>16</v>
      </c>
      <c r="J1965">
        <v>30</v>
      </c>
    </row>
    <row r="1966" spans="1:10" x14ac:dyDescent="0.25">
      <c r="A1966" t="s">
        <v>22</v>
      </c>
      <c r="B1966" t="s">
        <v>20</v>
      </c>
      <c r="C1966" t="s">
        <v>18</v>
      </c>
      <c r="D1966" t="s">
        <v>13</v>
      </c>
      <c r="E1966">
        <v>0.79411764705882304</v>
      </c>
      <c r="F1966">
        <v>0.84605875484852899</v>
      </c>
      <c r="G1966">
        <v>19.199534654617299</v>
      </c>
      <c r="H1966">
        <v>21</v>
      </c>
      <c r="I1966">
        <v>25</v>
      </c>
      <c r="J1966">
        <v>30</v>
      </c>
    </row>
    <row r="1967" spans="1:10" x14ac:dyDescent="0.25">
      <c r="A1967" t="s">
        <v>22</v>
      </c>
      <c r="B1967" t="s">
        <v>20</v>
      </c>
      <c r="C1967" t="s">
        <v>18</v>
      </c>
      <c r="D1967" t="s">
        <v>13</v>
      </c>
      <c r="E1967">
        <v>0.85294117647058798</v>
      </c>
      <c r="F1967">
        <v>0.88716508633676405</v>
      </c>
      <c r="G1967">
        <v>19.326780796051001</v>
      </c>
      <c r="H1967">
        <v>31</v>
      </c>
      <c r="I1967">
        <v>40</v>
      </c>
      <c r="J1967">
        <v>30</v>
      </c>
    </row>
    <row r="1968" spans="1:10" x14ac:dyDescent="0.25">
      <c r="A1968" t="s">
        <v>22</v>
      </c>
      <c r="B1968" t="s">
        <v>20</v>
      </c>
      <c r="C1968" t="s">
        <v>18</v>
      </c>
      <c r="D1968" t="s">
        <v>13</v>
      </c>
      <c r="E1968">
        <v>8.8235294117646995E-2</v>
      </c>
      <c r="F1968">
        <v>0.75907619939705795</v>
      </c>
      <c r="G1968">
        <v>19.5259959697723</v>
      </c>
      <c r="H1968">
        <v>12</v>
      </c>
      <c r="I1968">
        <v>19</v>
      </c>
      <c r="J1968">
        <v>30</v>
      </c>
    </row>
    <row r="1969" spans="1:10" x14ac:dyDescent="0.25">
      <c r="A1969" t="s">
        <v>22</v>
      </c>
      <c r="B1969" t="s">
        <v>20</v>
      </c>
      <c r="C1969" t="s">
        <v>18</v>
      </c>
      <c r="D1969" t="s">
        <v>13</v>
      </c>
      <c r="E1969">
        <v>0.80882352941176405</v>
      </c>
      <c r="F1969">
        <v>0.87060560017647004</v>
      </c>
      <c r="G1969">
        <v>19.619912385940498</v>
      </c>
      <c r="H1969">
        <v>26</v>
      </c>
      <c r="I1969">
        <v>32</v>
      </c>
      <c r="J1969">
        <v>30</v>
      </c>
    </row>
    <row r="1970" spans="1:10" x14ac:dyDescent="0.25">
      <c r="A1970" t="s">
        <v>22</v>
      </c>
      <c r="B1970" t="s">
        <v>20</v>
      </c>
      <c r="C1970" t="s">
        <v>18</v>
      </c>
      <c r="D1970" t="s">
        <v>13</v>
      </c>
      <c r="E1970">
        <v>0.89705882352941102</v>
      </c>
      <c r="F1970">
        <v>0.91359086438676396</v>
      </c>
      <c r="G1970">
        <v>20.100594043731601</v>
      </c>
      <c r="H1970">
        <v>20</v>
      </c>
      <c r="I1970">
        <v>23</v>
      </c>
      <c r="J1970">
        <v>30</v>
      </c>
    </row>
    <row r="1971" spans="1:10" x14ac:dyDescent="0.25">
      <c r="A1971" t="s">
        <v>22</v>
      </c>
      <c r="B1971" t="s">
        <v>20</v>
      </c>
      <c r="C1971" t="s">
        <v>18</v>
      </c>
      <c r="D1971" t="s">
        <v>13</v>
      </c>
      <c r="E1971">
        <v>0.83823529411764697</v>
      </c>
      <c r="F1971">
        <v>0.864382357327941</v>
      </c>
      <c r="G1971">
        <v>20.305024385452199</v>
      </c>
      <c r="H1971">
        <v>26</v>
      </c>
      <c r="I1971">
        <v>29</v>
      </c>
      <c r="J1971">
        <v>30</v>
      </c>
    </row>
    <row r="1972" spans="1:10" x14ac:dyDescent="0.25">
      <c r="A1972" t="s">
        <v>22</v>
      </c>
      <c r="B1972" t="s">
        <v>20</v>
      </c>
      <c r="C1972" t="s">
        <v>18</v>
      </c>
      <c r="D1972" t="s">
        <v>13</v>
      </c>
      <c r="E1972">
        <v>0.55882352941176405</v>
      </c>
      <c r="F1972">
        <v>0.82833797637794104</v>
      </c>
      <c r="G1972">
        <v>20.387710332870402</v>
      </c>
      <c r="H1972">
        <v>19</v>
      </c>
      <c r="I1972">
        <v>24</v>
      </c>
      <c r="J1972">
        <v>30</v>
      </c>
    </row>
    <row r="1973" spans="1:10" x14ac:dyDescent="0.25">
      <c r="A1973" t="s">
        <v>22</v>
      </c>
      <c r="B1973" t="s">
        <v>20</v>
      </c>
      <c r="C1973" t="s">
        <v>18</v>
      </c>
      <c r="D1973" t="s">
        <v>13</v>
      </c>
      <c r="E1973">
        <v>0.83823529411764697</v>
      </c>
      <c r="F1973">
        <v>0.88056741668529404</v>
      </c>
      <c r="G1973">
        <v>20.7368049621582</v>
      </c>
      <c r="H1973">
        <v>31</v>
      </c>
      <c r="I1973">
        <v>36</v>
      </c>
      <c r="J1973">
        <v>30</v>
      </c>
    </row>
    <row r="1974" spans="1:10" x14ac:dyDescent="0.25">
      <c r="A1974" t="s">
        <v>22</v>
      </c>
      <c r="B1974" t="s">
        <v>20</v>
      </c>
      <c r="C1974" t="s">
        <v>18</v>
      </c>
      <c r="D1974" t="s">
        <v>13</v>
      </c>
      <c r="E1974">
        <v>0.79411764705882304</v>
      </c>
      <c r="F1974">
        <v>0.85591685296764697</v>
      </c>
      <c r="G1974">
        <v>20.951482295989901</v>
      </c>
      <c r="H1974">
        <v>23</v>
      </c>
      <c r="I1974">
        <v>28</v>
      </c>
      <c r="J1974">
        <v>30</v>
      </c>
    </row>
    <row r="1975" spans="1:10" x14ac:dyDescent="0.25">
      <c r="A1975" t="s">
        <v>22</v>
      </c>
      <c r="B1975" t="s">
        <v>20</v>
      </c>
      <c r="C1975" t="s">
        <v>18</v>
      </c>
      <c r="D1975" t="s">
        <v>13</v>
      </c>
      <c r="E1975">
        <v>0.86764705882352899</v>
      </c>
      <c r="F1975">
        <v>0.897267389198529</v>
      </c>
      <c r="G1975">
        <v>21.044948101043701</v>
      </c>
      <c r="H1975">
        <v>31</v>
      </c>
      <c r="I1975">
        <v>39</v>
      </c>
      <c r="J1975">
        <v>30</v>
      </c>
    </row>
    <row r="1976" spans="1:10" x14ac:dyDescent="0.25">
      <c r="A1976" t="s">
        <v>22</v>
      </c>
      <c r="B1976" t="s">
        <v>20</v>
      </c>
      <c r="C1976" t="s">
        <v>18</v>
      </c>
      <c r="D1976" t="s">
        <v>13</v>
      </c>
      <c r="E1976">
        <v>0.58823529411764697</v>
      </c>
      <c r="F1976">
        <v>0.80899631430294106</v>
      </c>
      <c r="G1976">
        <v>21.319829463958701</v>
      </c>
      <c r="H1976">
        <v>20</v>
      </c>
      <c r="I1976">
        <v>27</v>
      </c>
      <c r="J1976">
        <v>30</v>
      </c>
    </row>
    <row r="1977" spans="1:10" x14ac:dyDescent="0.25">
      <c r="A1977" t="s">
        <v>22</v>
      </c>
      <c r="B1977" t="s">
        <v>20</v>
      </c>
      <c r="C1977" t="s">
        <v>18</v>
      </c>
      <c r="D1977" t="s">
        <v>13</v>
      </c>
      <c r="E1977">
        <v>0.82352941176470495</v>
      </c>
      <c r="F1977">
        <v>0.84729768527941096</v>
      </c>
      <c r="G1977">
        <v>21.373912096023499</v>
      </c>
      <c r="H1977">
        <v>27</v>
      </c>
      <c r="I1977">
        <v>39</v>
      </c>
      <c r="J1977">
        <v>30</v>
      </c>
    </row>
    <row r="1978" spans="1:10" x14ac:dyDescent="0.25">
      <c r="A1978" t="s">
        <v>22</v>
      </c>
      <c r="B1978" t="s">
        <v>20</v>
      </c>
      <c r="C1978" t="s">
        <v>18</v>
      </c>
      <c r="D1978" t="s">
        <v>13</v>
      </c>
      <c r="E1978">
        <v>0.85294117647058798</v>
      </c>
      <c r="F1978">
        <v>0.869687485098529</v>
      </c>
      <c r="G1978">
        <v>21.464351892471299</v>
      </c>
      <c r="H1978">
        <v>25</v>
      </c>
      <c r="I1978">
        <v>34</v>
      </c>
      <c r="J1978">
        <v>30</v>
      </c>
    </row>
    <row r="1979" spans="1:10" x14ac:dyDescent="0.25">
      <c r="A1979" t="s">
        <v>22</v>
      </c>
      <c r="B1979" t="s">
        <v>20</v>
      </c>
      <c r="C1979" t="s">
        <v>18</v>
      </c>
      <c r="D1979" t="s">
        <v>13</v>
      </c>
      <c r="E1979">
        <v>0.75</v>
      </c>
      <c r="F1979">
        <v>0.78628120920294098</v>
      </c>
      <c r="G1979">
        <v>21.505258083343499</v>
      </c>
      <c r="H1979">
        <v>27</v>
      </c>
      <c r="I1979">
        <v>41</v>
      </c>
      <c r="J1979">
        <v>30</v>
      </c>
    </row>
    <row r="1980" spans="1:10" x14ac:dyDescent="0.25">
      <c r="A1980" t="s">
        <v>22</v>
      </c>
      <c r="B1980" t="s">
        <v>20</v>
      </c>
      <c r="C1980" t="s">
        <v>18</v>
      </c>
      <c r="D1980" t="s">
        <v>13</v>
      </c>
      <c r="E1980">
        <v>0.85294117647058798</v>
      </c>
      <c r="F1980">
        <v>0.86645122369558802</v>
      </c>
      <c r="G1980">
        <v>21.535844564437799</v>
      </c>
      <c r="H1980">
        <v>28</v>
      </c>
      <c r="I1980">
        <v>35</v>
      </c>
      <c r="J1980">
        <v>30</v>
      </c>
    </row>
    <row r="1981" spans="1:10" x14ac:dyDescent="0.25">
      <c r="A1981" t="s">
        <v>22</v>
      </c>
      <c r="B1981" t="s">
        <v>20</v>
      </c>
      <c r="C1981" t="s">
        <v>18</v>
      </c>
      <c r="D1981" t="s">
        <v>13</v>
      </c>
      <c r="E1981">
        <v>0.79411764705882304</v>
      </c>
      <c r="F1981">
        <v>0.85658503977941103</v>
      </c>
      <c r="G1981">
        <v>21.556263685226401</v>
      </c>
      <c r="H1981">
        <v>29</v>
      </c>
      <c r="I1981">
        <v>35</v>
      </c>
      <c r="J1981">
        <v>30</v>
      </c>
    </row>
    <row r="1982" spans="1:10" x14ac:dyDescent="0.25">
      <c r="A1982" t="s">
        <v>22</v>
      </c>
      <c r="B1982" t="s">
        <v>20</v>
      </c>
      <c r="C1982" t="s">
        <v>18</v>
      </c>
      <c r="D1982" t="s">
        <v>14</v>
      </c>
      <c r="E1982">
        <v>0.69117647058823495</v>
      </c>
      <c r="F1982">
        <v>0.76236599960588203</v>
      </c>
      <c r="G1982">
        <v>16.8781127929687</v>
      </c>
      <c r="H1982">
        <v>47</v>
      </c>
      <c r="I1982">
        <v>46</v>
      </c>
      <c r="J1982">
        <v>30</v>
      </c>
    </row>
    <row r="1983" spans="1:10" x14ac:dyDescent="0.25">
      <c r="A1983" t="s">
        <v>22</v>
      </c>
      <c r="B1983" t="s">
        <v>20</v>
      </c>
      <c r="C1983" t="s">
        <v>18</v>
      </c>
      <c r="D1983" t="s">
        <v>14</v>
      </c>
      <c r="E1983">
        <v>0.72058823529411697</v>
      </c>
      <c r="F1983">
        <v>0.78581343754117605</v>
      </c>
      <c r="G1983">
        <v>20.555951118469199</v>
      </c>
      <c r="H1983">
        <v>45</v>
      </c>
      <c r="I1983">
        <v>45</v>
      </c>
      <c r="J1983">
        <v>30</v>
      </c>
    </row>
    <row r="1984" spans="1:10" x14ac:dyDescent="0.25">
      <c r="A1984" t="s">
        <v>22</v>
      </c>
      <c r="B1984" t="s">
        <v>20</v>
      </c>
      <c r="C1984" t="s">
        <v>18</v>
      </c>
      <c r="D1984" t="s">
        <v>14</v>
      </c>
      <c r="E1984">
        <v>0.72058823529411697</v>
      </c>
      <c r="F1984">
        <v>0.75865398019705799</v>
      </c>
      <c r="G1984">
        <v>20.906700372695902</v>
      </c>
      <c r="H1984">
        <v>48</v>
      </c>
      <c r="I1984">
        <v>47</v>
      </c>
      <c r="J1984">
        <v>30</v>
      </c>
    </row>
    <row r="1985" spans="1:10" x14ac:dyDescent="0.25">
      <c r="A1985" t="s">
        <v>22</v>
      </c>
      <c r="B1985" t="s">
        <v>20</v>
      </c>
      <c r="C1985" t="s">
        <v>18</v>
      </c>
      <c r="D1985" t="s">
        <v>14</v>
      </c>
      <c r="E1985">
        <v>0.75</v>
      </c>
      <c r="F1985">
        <v>0.79350494018235296</v>
      </c>
      <c r="G1985">
        <v>20.913388490676802</v>
      </c>
      <c r="H1985">
        <v>47</v>
      </c>
      <c r="I1985">
        <v>46</v>
      </c>
      <c r="J1985">
        <v>30</v>
      </c>
    </row>
    <row r="1986" spans="1:10" x14ac:dyDescent="0.25">
      <c r="A1986" t="s">
        <v>22</v>
      </c>
      <c r="B1986" t="s">
        <v>20</v>
      </c>
      <c r="C1986" t="s">
        <v>18</v>
      </c>
      <c r="D1986" t="s">
        <v>14</v>
      </c>
      <c r="E1986">
        <v>0.72058823529411697</v>
      </c>
      <c r="F1986">
        <v>0.78225729771470498</v>
      </c>
      <c r="G1986">
        <v>21.132750988006499</v>
      </c>
      <c r="H1986">
        <v>50</v>
      </c>
      <c r="I1986">
        <v>49</v>
      </c>
      <c r="J1986">
        <v>30</v>
      </c>
    </row>
    <row r="1987" spans="1:10" x14ac:dyDescent="0.25">
      <c r="A1987" t="s">
        <v>22</v>
      </c>
      <c r="B1987" t="s">
        <v>20</v>
      </c>
      <c r="C1987" t="s">
        <v>18</v>
      </c>
      <c r="D1987" t="s">
        <v>14</v>
      </c>
      <c r="E1987">
        <v>0.72058823529411697</v>
      </c>
      <c r="F1987">
        <v>0.77876855697500003</v>
      </c>
      <c r="G1987">
        <v>21.529177427291799</v>
      </c>
      <c r="H1987">
        <v>47</v>
      </c>
      <c r="I1987">
        <v>47</v>
      </c>
      <c r="J1987">
        <v>30</v>
      </c>
    </row>
    <row r="1988" spans="1:10" x14ac:dyDescent="0.25">
      <c r="A1988" t="s">
        <v>22</v>
      </c>
      <c r="B1988" t="s">
        <v>20</v>
      </c>
      <c r="C1988" t="s">
        <v>18</v>
      </c>
      <c r="D1988" t="s">
        <v>14</v>
      </c>
      <c r="E1988">
        <v>0.75</v>
      </c>
      <c r="F1988">
        <v>0.80469460571470597</v>
      </c>
      <c r="G1988">
        <v>21.971961498260399</v>
      </c>
      <c r="H1988">
        <v>46</v>
      </c>
      <c r="I1988">
        <v>45</v>
      </c>
      <c r="J1988">
        <v>30</v>
      </c>
    </row>
    <row r="1989" spans="1:10" x14ac:dyDescent="0.25">
      <c r="A1989" t="s">
        <v>22</v>
      </c>
      <c r="B1989" t="s">
        <v>20</v>
      </c>
      <c r="C1989" t="s">
        <v>18</v>
      </c>
      <c r="D1989" t="s">
        <v>14</v>
      </c>
      <c r="E1989">
        <v>0.80882352941176405</v>
      </c>
      <c r="F1989">
        <v>0.84721432243235295</v>
      </c>
      <c r="G1989">
        <v>22.083451747894198</v>
      </c>
      <c r="H1989">
        <v>55</v>
      </c>
      <c r="I1989">
        <v>54</v>
      </c>
      <c r="J1989">
        <v>30</v>
      </c>
    </row>
    <row r="1990" spans="1:10" x14ac:dyDescent="0.25">
      <c r="A1990" t="s">
        <v>22</v>
      </c>
      <c r="B1990" t="s">
        <v>20</v>
      </c>
      <c r="C1990" t="s">
        <v>18</v>
      </c>
      <c r="D1990" t="s">
        <v>14</v>
      </c>
      <c r="E1990">
        <v>0.64705882352941102</v>
      </c>
      <c r="F1990">
        <v>0.72190166971617598</v>
      </c>
      <c r="G1990">
        <v>22.494811058044402</v>
      </c>
      <c r="H1990">
        <v>44</v>
      </c>
      <c r="I1990">
        <v>44</v>
      </c>
      <c r="J1990">
        <v>30</v>
      </c>
    </row>
    <row r="1991" spans="1:10" x14ac:dyDescent="0.25">
      <c r="A1991" t="s">
        <v>22</v>
      </c>
      <c r="B1991" t="s">
        <v>20</v>
      </c>
      <c r="C1991" t="s">
        <v>18</v>
      </c>
      <c r="D1991" t="s">
        <v>14</v>
      </c>
      <c r="E1991">
        <v>0.76470588235294101</v>
      </c>
      <c r="F1991">
        <v>0.785046391895588</v>
      </c>
      <c r="G1991">
        <v>22.561449766159001</v>
      </c>
      <c r="H1991">
        <v>58</v>
      </c>
      <c r="I1991">
        <v>57</v>
      </c>
      <c r="J1991">
        <v>30</v>
      </c>
    </row>
    <row r="1992" spans="1:10" x14ac:dyDescent="0.25">
      <c r="A1992" t="s">
        <v>22</v>
      </c>
      <c r="B1992" t="s">
        <v>20</v>
      </c>
      <c r="C1992" t="s">
        <v>18</v>
      </c>
      <c r="D1992" t="s">
        <v>14</v>
      </c>
      <c r="E1992">
        <v>0.69117647058823495</v>
      </c>
      <c r="F1992">
        <v>0.76251225080441098</v>
      </c>
      <c r="G1992">
        <v>22.597360372543299</v>
      </c>
      <c r="H1992">
        <v>44</v>
      </c>
      <c r="I1992">
        <v>43</v>
      </c>
      <c r="J1992">
        <v>30</v>
      </c>
    </row>
    <row r="1993" spans="1:10" x14ac:dyDescent="0.25">
      <c r="A1993" t="s">
        <v>22</v>
      </c>
      <c r="B1993" t="s">
        <v>20</v>
      </c>
      <c r="C1993" t="s">
        <v>18</v>
      </c>
      <c r="D1993" t="s">
        <v>14</v>
      </c>
      <c r="E1993">
        <v>0.72058823529411697</v>
      </c>
      <c r="F1993">
        <v>0.788472324961764</v>
      </c>
      <c r="G1993">
        <v>22.940843105316102</v>
      </c>
      <c r="H1993">
        <v>46</v>
      </c>
      <c r="I1993">
        <v>45</v>
      </c>
      <c r="J1993">
        <v>30</v>
      </c>
    </row>
    <row r="1994" spans="1:10" x14ac:dyDescent="0.25">
      <c r="A1994" t="s">
        <v>22</v>
      </c>
      <c r="B1994" t="s">
        <v>20</v>
      </c>
      <c r="C1994" t="s">
        <v>18</v>
      </c>
      <c r="D1994" t="s">
        <v>14</v>
      </c>
      <c r="E1994">
        <v>0.70588235294117596</v>
      </c>
      <c r="F1994">
        <v>0.74841040926029401</v>
      </c>
      <c r="G1994">
        <v>22.961235761642399</v>
      </c>
      <c r="H1994">
        <v>70</v>
      </c>
      <c r="I1994">
        <v>69</v>
      </c>
      <c r="J1994">
        <v>30</v>
      </c>
    </row>
    <row r="1995" spans="1:10" x14ac:dyDescent="0.25">
      <c r="A1995" t="s">
        <v>22</v>
      </c>
      <c r="B1995" t="s">
        <v>20</v>
      </c>
      <c r="C1995" t="s">
        <v>18</v>
      </c>
      <c r="D1995" t="s">
        <v>14</v>
      </c>
      <c r="E1995">
        <v>0.69117647058823495</v>
      </c>
      <c r="F1995">
        <v>0.77895548398529402</v>
      </c>
      <c r="G1995">
        <v>23.012450695037799</v>
      </c>
      <c r="H1995">
        <v>45</v>
      </c>
      <c r="I1995">
        <v>45</v>
      </c>
      <c r="J1995">
        <v>30</v>
      </c>
    </row>
    <row r="1996" spans="1:10" x14ac:dyDescent="0.25">
      <c r="A1996" t="s">
        <v>22</v>
      </c>
      <c r="B1996" t="s">
        <v>20</v>
      </c>
      <c r="C1996" t="s">
        <v>18</v>
      </c>
      <c r="D1996" t="s">
        <v>14</v>
      </c>
      <c r="E1996">
        <v>0.86764705882352899</v>
      </c>
      <c r="F1996">
        <v>0.89120949014999995</v>
      </c>
      <c r="G1996">
        <v>23.211945295333798</v>
      </c>
      <c r="H1996">
        <v>61</v>
      </c>
      <c r="I1996">
        <v>60</v>
      </c>
      <c r="J1996">
        <v>30</v>
      </c>
    </row>
    <row r="1997" spans="1:10" x14ac:dyDescent="0.25">
      <c r="A1997" t="s">
        <v>22</v>
      </c>
      <c r="B1997" t="s">
        <v>20</v>
      </c>
      <c r="C1997" t="s">
        <v>18</v>
      </c>
      <c r="D1997" t="s">
        <v>14</v>
      </c>
      <c r="E1997">
        <v>0.72058823529411697</v>
      </c>
      <c r="F1997">
        <v>0.77978618220735196</v>
      </c>
      <c r="G1997">
        <v>23.255018234252901</v>
      </c>
      <c r="H1997">
        <v>44</v>
      </c>
      <c r="I1997">
        <v>44</v>
      </c>
      <c r="J1997">
        <v>30</v>
      </c>
    </row>
    <row r="1998" spans="1:10" x14ac:dyDescent="0.25">
      <c r="A1998" t="s">
        <v>22</v>
      </c>
      <c r="B1998" t="s">
        <v>20</v>
      </c>
      <c r="C1998" t="s">
        <v>18</v>
      </c>
      <c r="D1998" t="s">
        <v>14</v>
      </c>
      <c r="E1998">
        <v>0.73529411764705799</v>
      </c>
      <c r="F1998">
        <v>0.76797575932352902</v>
      </c>
      <c r="G1998">
        <v>23.273385524749699</v>
      </c>
      <c r="H1998">
        <v>70</v>
      </c>
      <c r="I1998">
        <v>69</v>
      </c>
      <c r="J1998">
        <v>30</v>
      </c>
    </row>
    <row r="1999" spans="1:10" x14ac:dyDescent="0.25">
      <c r="A1999" t="s">
        <v>22</v>
      </c>
      <c r="B1999" t="s">
        <v>20</v>
      </c>
      <c r="C1999" t="s">
        <v>18</v>
      </c>
      <c r="D1999" t="s">
        <v>14</v>
      </c>
      <c r="E1999">
        <v>0.76470588235294101</v>
      </c>
      <c r="F1999">
        <v>0.80199577723382298</v>
      </c>
      <c r="G1999">
        <v>23.273385524749699</v>
      </c>
      <c r="H1999">
        <v>49</v>
      </c>
      <c r="I1999">
        <v>48</v>
      </c>
      <c r="J1999">
        <v>30</v>
      </c>
    </row>
    <row r="2000" spans="1:10" x14ac:dyDescent="0.25">
      <c r="A2000" t="s">
        <v>22</v>
      </c>
      <c r="B2000" t="s">
        <v>20</v>
      </c>
      <c r="C2000" t="s">
        <v>18</v>
      </c>
      <c r="D2000" t="s">
        <v>14</v>
      </c>
      <c r="E2000">
        <v>0.77941176470588203</v>
      </c>
      <c r="F2000">
        <v>0.80265208289558798</v>
      </c>
      <c r="G2000">
        <v>23.3350121974945</v>
      </c>
      <c r="H2000">
        <v>56</v>
      </c>
      <c r="I2000">
        <v>55</v>
      </c>
      <c r="J2000">
        <v>30</v>
      </c>
    </row>
    <row r="2001" spans="1:10" x14ac:dyDescent="0.25">
      <c r="A2001" t="s">
        <v>22</v>
      </c>
      <c r="B2001" t="s">
        <v>20</v>
      </c>
      <c r="C2001" t="s">
        <v>18</v>
      </c>
      <c r="D2001" t="s">
        <v>14</v>
      </c>
      <c r="E2001">
        <v>0.72058823529411697</v>
      </c>
      <c r="F2001">
        <v>0.7623780121</v>
      </c>
      <c r="G2001">
        <v>23.393951654434201</v>
      </c>
      <c r="H2001">
        <v>46</v>
      </c>
      <c r="I2001">
        <v>46</v>
      </c>
      <c r="J2001">
        <v>30</v>
      </c>
    </row>
    <row r="2002" spans="1:10" x14ac:dyDescent="0.25">
      <c r="A2002" t="s">
        <v>22</v>
      </c>
      <c r="B2002" t="s">
        <v>20</v>
      </c>
      <c r="C2002" t="s">
        <v>18</v>
      </c>
      <c r="D2002" t="s">
        <v>14</v>
      </c>
      <c r="E2002">
        <v>0.70588235294117596</v>
      </c>
      <c r="F2002">
        <v>0.78656197956176399</v>
      </c>
      <c r="G2002">
        <v>23.419691801071099</v>
      </c>
      <c r="H2002">
        <v>45</v>
      </c>
      <c r="I2002">
        <v>45</v>
      </c>
      <c r="J2002">
        <v>30</v>
      </c>
    </row>
    <row r="2003" spans="1:10" x14ac:dyDescent="0.25">
      <c r="A2003" t="s">
        <v>22</v>
      </c>
      <c r="B2003" t="s">
        <v>20</v>
      </c>
      <c r="C2003" t="s">
        <v>18</v>
      </c>
      <c r="D2003" t="s">
        <v>14</v>
      </c>
      <c r="E2003">
        <v>0.73529411764705799</v>
      </c>
      <c r="F2003">
        <v>0.76588484463676398</v>
      </c>
      <c r="G2003">
        <v>23.412617444992001</v>
      </c>
      <c r="H2003">
        <v>74</v>
      </c>
      <c r="I2003">
        <v>73</v>
      </c>
      <c r="J2003">
        <v>30</v>
      </c>
    </row>
    <row r="2004" spans="1:10" x14ac:dyDescent="0.25">
      <c r="A2004" t="s">
        <v>22</v>
      </c>
      <c r="B2004" t="s">
        <v>20</v>
      </c>
      <c r="C2004" t="s">
        <v>18</v>
      </c>
      <c r="D2004" t="s">
        <v>14</v>
      </c>
      <c r="E2004">
        <v>0.76470588235294101</v>
      </c>
      <c r="F2004">
        <v>0.79680973944558797</v>
      </c>
      <c r="G2004">
        <v>23.608144044876099</v>
      </c>
      <c r="H2004">
        <v>57</v>
      </c>
      <c r="I2004">
        <v>56</v>
      </c>
      <c r="J2004">
        <v>30</v>
      </c>
    </row>
    <row r="2005" spans="1:10" x14ac:dyDescent="0.25">
      <c r="A2005" t="s">
        <v>22</v>
      </c>
      <c r="B2005" t="s">
        <v>20</v>
      </c>
      <c r="C2005" t="s">
        <v>18</v>
      </c>
      <c r="D2005" t="s">
        <v>14</v>
      </c>
      <c r="E2005">
        <v>0.77941176470588203</v>
      </c>
      <c r="F2005">
        <v>0.80702514214558796</v>
      </c>
      <c r="G2005">
        <v>23.640766859054501</v>
      </c>
      <c r="H2005">
        <v>56</v>
      </c>
      <c r="I2005">
        <v>55</v>
      </c>
      <c r="J2005">
        <v>30</v>
      </c>
    </row>
    <row r="2006" spans="1:10" x14ac:dyDescent="0.25">
      <c r="A2006" t="s">
        <v>22</v>
      </c>
      <c r="B2006" t="s">
        <v>20</v>
      </c>
      <c r="C2006" t="s">
        <v>18</v>
      </c>
      <c r="D2006" t="s">
        <v>14</v>
      </c>
      <c r="E2006">
        <v>0.76470588235294101</v>
      </c>
      <c r="F2006">
        <v>0.80311144419852898</v>
      </c>
      <c r="G2006">
        <v>23.643880367278999</v>
      </c>
      <c r="H2006">
        <v>56</v>
      </c>
      <c r="I2006">
        <v>55</v>
      </c>
      <c r="J2006">
        <v>30</v>
      </c>
    </row>
    <row r="2007" spans="1:10" x14ac:dyDescent="0.25">
      <c r="A2007" t="s">
        <v>22</v>
      </c>
      <c r="B2007" t="s">
        <v>20</v>
      </c>
      <c r="C2007" t="s">
        <v>18</v>
      </c>
      <c r="D2007" t="s">
        <v>14</v>
      </c>
      <c r="E2007">
        <v>0.72058823529411697</v>
      </c>
      <c r="F2007">
        <v>0.755614548219117</v>
      </c>
      <c r="G2007">
        <v>23.915591239929199</v>
      </c>
      <c r="H2007">
        <v>70</v>
      </c>
      <c r="I2007">
        <v>69</v>
      </c>
      <c r="J2007">
        <v>30</v>
      </c>
    </row>
    <row r="2008" spans="1:10" x14ac:dyDescent="0.25">
      <c r="A2008" t="s">
        <v>22</v>
      </c>
      <c r="B2008" t="s">
        <v>20</v>
      </c>
      <c r="C2008" t="s">
        <v>18</v>
      </c>
      <c r="D2008" t="s">
        <v>14</v>
      </c>
      <c r="E2008">
        <v>0.75</v>
      </c>
      <c r="F2008">
        <v>0.77706796295000002</v>
      </c>
      <c r="G2008">
        <v>23.9505438804626</v>
      </c>
      <c r="H2008">
        <v>73</v>
      </c>
      <c r="I2008">
        <v>72</v>
      </c>
      <c r="J2008">
        <v>30</v>
      </c>
    </row>
    <row r="2009" spans="1:10" x14ac:dyDescent="0.25">
      <c r="A2009" t="s">
        <v>22</v>
      </c>
      <c r="B2009" t="s">
        <v>20</v>
      </c>
      <c r="C2009" t="s">
        <v>18</v>
      </c>
      <c r="D2009" t="s">
        <v>14</v>
      </c>
      <c r="E2009">
        <v>0.82352941176470495</v>
      </c>
      <c r="F2009">
        <v>0.85557158873970596</v>
      </c>
      <c r="G2009">
        <v>23.957046031951901</v>
      </c>
      <c r="H2009">
        <v>53</v>
      </c>
      <c r="I2009">
        <v>52</v>
      </c>
      <c r="J2009">
        <v>30</v>
      </c>
    </row>
    <row r="2010" spans="1:10" x14ac:dyDescent="0.25">
      <c r="A2010" t="s">
        <v>22</v>
      </c>
      <c r="B2010" t="s">
        <v>20</v>
      </c>
      <c r="C2010" t="s">
        <v>18</v>
      </c>
      <c r="D2010" t="s">
        <v>14</v>
      </c>
      <c r="E2010">
        <v>0.75</v>
      </c>
      <c r="F2010">
        <v>0.777564057510294</v>
      </c>
      <c r="G2010">
        <v>24.004415512084901</v>
      </c>
      <c r="H2010">
        <v>73</v>
      </c>
      <c r="I2010">
        <v>72</v>
      </c>
      <c r="J2010">
        <v>30</v>
      </c>
    </row>
    <row r="2011" spans="1:10" x14ac:dyDescent="0.25">
      <c r="A2011" t="s">
        <v>22</v>
      </c>
      <c r="B2011" t="s">
        <v>20</v>
      </c>
      <c r="C2011" t="s">
        <v>18</v>
      </c>
      <c r="D2011" t="s">
        <v>14</v>
      </c>
      <c r="E2011">
        <v>0.75</v>
      </c>
      <c r="F2011">
        <v>0.80986730312941102</v>
      </c>
      <c r="G2011">
        <v>24.020290613174399</v>
      </c>
      <c r="H2011">
        <v>43</v>
      </c>
      <c r="I2011">
        <v>42</v>
      </c>
      <c r="J2011">
        <v>30</v>
      </c>
    </row>
    <row r="2012" spans="1:10" x14ac:dyDescent="0.25">
      <c r="A2012" t="s">
        <v>22</v>
      </c>
      <c r="B2012" t="s">
        <v>20</v>
      </c>
      <c r="C2012" t="s">
        <v>18</v>
      </c>
      <c r="D2012" t="s">
        <v>15</v>
      </c>
      <c r="E2012">
        <v>0</v>
      </c>
      <c r="F2012">
        <v>0.75</v>
      </c>
      <c r="G2012">
        <v>1.55022573471069</v>
      </c>
      <c r="H2012">
        <v>0</v>
      </c>
      <c r="I2012">
        <v>0</v>
      </c>
      <c r="J2012">
        <v>30</v>
      </c>
    </row>
    <row r="2013" spans="1:10" x14ac:dyDescent="0.25">
      <c r="A2013" t="s">
        <v>22</v>
      </c>
      <c r="B2013" t="s">
        <v>20</v>
      </c>
      <c r="C2013" t="s">
        <v>18</v>
      </c>
      <c r="D2013" t="s">
        <v>15</v>
      </c>
      <c r="E2013">
        <v>0</v>
      </c>
      <c r="F2013">
        <v>0.75</v>
      </c>
      <c r="G2013">
        <v>1.58636975288391</v>
      </c>
      <c r="H2013">
        <v>0</v>
      </c>
      <c r="I2013">
        <v>0</v>
      </c>
      <c r="J2013">
        <v>30</v>
      </c>
    </row>
    <row r="2014" spans="1:10" x14ac:dyDescent="0.25">
      <c r="A2014" t="s">
        <v>22</v>
      </c>
      <c r="B2014" t="s">
        <v>20</v>
      </c>
      <c r="C2014" t="s">
        <v>18</v>
      </c>
      <c r="D2014" t="s">
        <v>15</v>
      </c>
      <c r="E2014">
        <v>0</v>
      </c>
      <c r="F2014">
        <v>0.75</v>
      </c>
      <c r="G2014">
        <v>1.6662015914916899</v>
      </c>
      <c r="H2014">
        <v>0</v>
      </c>
      <c r="I2014">
        <v>0</v>
      </c>
      <c r="J2014">
        <v>30</v>
      </c>
    </row>
    <row r="2015" spans="1:10" x14ac:dyDescent="0.25">
      <c r="A2015" t="s">
        <v>22</v>
      </c>
      <c r="B2015" t="s">
        <v>20</v>
      </c>
      <c r="C2015" t="s">
        <v>18</v>
      </c>
      <c r="D2015" t="s">
        <v>15</v>
      </c>
      <c r="E2015">
        <v>0</v>
      </c>
      <c r="F2015">
        <v>0.75</v>
      </c>
      <c r="G2015">
        <v>2.25329160690307</v>
      </c>
      <c r="H2015">
        <v>0</v>
      </c>
      <c r="I2015">
        <v>0</v>
      </c>
      <c r="J2015">
        <v>30</v>
      </c>
    </row>
    <row r="2016" spans="1:10" x14ac:dyDescent="0.25">
      <c r="A2016" t="s">
        <v>22</v>
      </c>
      <c r="B2016" t="s">
        <v>20</v>
      </c>
      <c r="C2016" t="s">
        <v>18</v>
      </c>
      <c r="D2016" t="s">
        <v>15</v>
      </c>
      <c r="E2016">
        <v>0</v>
      </c>
      <c r="F2016">
        <v>0.75</v>
      </c>
      <c r="G2016">
        <v>2.2844321727752601</v>
      </c>
      <c r="H2016">
        <v>0</v>
      </c>
      <c r="I2016">
        <v>0</v>
      </c>
      <c r="J2016">
        <v>30</v>
      </c>
    </row>
    <row r="2017" spans="1:10" x14ac:dyDescent="0.25">
      <c r="A2017" t="s">
        <v>22</v>
      </c>
      <c r="B2017" t="s">
        <v>20</v>
      </c>
      <c r="C2017" t="s">
        <v>18</v>
      </c>
      <c r="D2017" t="s">
        <v>15</v>
      </c>
      <c r="E2017">
        <v>0</v>
      </c>
      <c r="F2017">
        <v>0.75</v>
      </c>
      <c r="G2017">
        <v>2.2846100330352699</v>
      </c>
      <c r="H2017">
        <v>0</v>
      </c>
      <c r="I2017">
        <v>0</v>
      </c>
      <c r="J2017">
        <v>30</v>
      </c>
    </row>
    <row r="2018" spans="1:10" x14ac:dyDescent="0.25">
      <c r="A2018" t="s">
        <v>22</v>
      </c>
      <c r="B2018" t="s">
        <v>20</v>
      </c>
      <c r="C2018" t="s">
        <v>18</v>
      </c>
      <c r="D2018" t="s">
        <v>15</v>
      </c>
      <c r="E2018">
        <v>0</v>
      </c>
      <c r="F2018">
        <v>0.75</v>
      </c>
      <c r="G2018">
        <v>2.3296625614166202</v>
      </c>
      <c r="H2018">
        <v>0</v>
      </c>
      <c r="I2018">
        <v>0</v>
      </c>
      <c r="J2018">
        <v>30</v>
      </c>
    </row>
    <row r="2019" spans="1:10" x14ac:dyDescent="0.25">
      <c r="A2019" t="s">
        <v>22</v>
      </c>
      <c r="B2019" t="s">
        <v>20</v>
      </c>
      <c r="C2019" t="s">
        <v>18</v>
      </c>
      <c r="D2019" t="s">
        <v>15</v>
      </c>
      <c r="E2019">
        <v>0</v>
      </c>
      <c r="F2019">
        <v>0.75</v>
      </c>
      <c r="G2019">
        <v>2.3613710403442298</v>
      </c>
      <c r="H2019">
        <v>0</v>
      </c>
      <c r="I2019">
        <v>0</v>
      </c>
      <c r="J2019">
        <v>30</v>
      </c>
    </row>
    <row r="2020" spans="1:10" x14ac:dyDescent="0.25">
      <c r="A2020" t="s">
        <v>22</v>
      </c>
      <c r="B2020" t="s">
        <v>20</v>
      </c>
      <c r="C2020" t="s">
        <v>18</v>
      </c>
      <c r="D2020" t="s">
        <v>15</v>
      </c>
      <c r="E2020">
        <v>0</v>
      </c>
      <c r="F2020">
        <v>0.75</v>
      </c>
      <c r="G2020">
        <v>2.5203309059143</v>
      </c>
      <c r="H2020">
        <v>0</v>
      </c>
      <c r="I2020">
        <v>0</v>
      </c>
      <c r="J2020">
        <v>30</v>
      </c>
    </row>
    <row r="2021" spans="1:10" x14ac:dyDescent="0.25">
      <c r="A2021" t="s">
        <v>22</v>
      </c>
      <c r="B2021" t="s">
        <v>20</v>
      </c>
      <c r="C2021" t="s">
        <v>18</v>
      </c>
      <c r="D2021" t="s">
        <v>15</v>
      </c>
      <c r="E2021">
        <v>0</v>
      </c>
      <c r="F2021">
        <v>0.75</v>
      </c>
      <c r="G2021">
        <v>2.5431261062621999</v>
      </c>
      <c r="H2021">
        <v>0</v>
      </c>
      <c r="I2021">
        <v>0</v>
      </c>
      <c r="J2021">
        <v>30</v>
      </c>
    </row>
    <row r="2022" spans="1:10" x14ac:dyDescent="0.25">
      <c r="A2022" t="s">
        <v>22</v>
      </c>
      <c r="B2022" t="s">
        <v>20</v>
      </c>
      <c r="C2022" t="s">
        <v>18</v>
      </c>
      <c r="D2022" t="s">
        <v>15</v>
      </c>
      <c r="E2022">
        <v>0</v>
      </c>
      <c r="F2022">
        <v>0.75</v>
      </c>
      <c r="G2022">
        <v>2.64692854881286</v>
      </c>
      <c r="H2022">
        <v>0</v>
      </c>
      <c r="I2022">
        <v>0</v>
      </c>
      <c r="J2022">
        <v>30</v>
      </c>
    </row>
    <row r="2023" spans="1:10" x14ac:dyDescent="0.25">
      <c r="A2023" t="s">
        <v>22</v>
      </c>
      <c r="B2023" t="s">
        <v>20</v>
      </c>
      <c r="C2023" t="s">
        <v>18</v>
      </c>
      <c r="D2023" t="s">
        <v>15</v>
      </c>
      <c r="E2023">
        <v>0</v>
      </c>
      <c r="F2023">
        <v>0.75</v>
      </c>
      <c r="G2023">
        <v>2.6948883533477699</v>
      </c>
      <c r="H2023">
        <v>0</v>
      </c>
      <c r="I2023">
        <v>0</v>
      </c>
      <c r="J2023">
        <v>30</v>
      </c>
    </row>
    <row r="2024" spans="1:10" x14ac:dyDescent="0.25">
      <c r="A2024" t="s">
        <v>22</v>
      </c>
      <c r="B2024" t="s">
        <v>20</v>
      </c>
      <c r="C2024" t="s">
        <v>18</v>
      </c>
      <c r="D2024" t="s">
        <v>15</v>
      </c>
      <c r="E2024">
        <v>0</v>
      </c>
      <c r="F2024">
        <v>0.75</v>
      </c>
      <c r="G2024">
        <v>2.7278771400451598</v>
      </c>
      <c r="H2024">
        <v>0</v>
      </c>
      <c r="I2024">
        <v>0</v>
      </c>
      <c r="J2024">
        <v>30</v>
      </c>
    </row>
    <row r="2025" spans="1:10" x14ac:dyDescent="0.25">
      <c r="A2025" t="s">
        <v>22</v>
      </c>
      <c r="B2025" t="s">
        <v>20</v>
      </c>
      <c r="C2025" t="s">
        <v>18</v>
      </c>
      <c r="D2025" t="s">
        <v>15</v>
      </c>
      <c r="E2025">
        <v>0</v>
      </c>
      <c r="F2025">
        <v>0.75</v>
      </c>
      <c r="G2025">
        <v>2.7461562156677202</v>
      </c>
      <c r="H2025">
        <v>0</v>
      </c>
      <c r="I2025">
        <v>0</v>
      </c>
      <c r="J2025">
        <v>30</v>
      </c>
    </row>
    <row r="2026" spans="1:10" x14ac:dyDescent="0.25">
      <c r="A2026" t="s">
        <v>22</v>
      </c>
      <c r="B2026" t="s">
        <v>20</v>
      </c>
      <c r="C2026" t="s">
        <v>18</v>
      </c>
      <c r="D2026" t="s">
        <v>15</v>
      </c>
      <c r="E2026">
        <v>0</v>
      </c>
      <c r="F2026">
        <v>0.75</v>
      </c>
      <c r="G2026">
        <v>2.7572026252746502</v>
      </c>
      <c r="H2026">
        <v>0</v>
      </c>
      <c r="I2026">
        <v>0</v>
      </c>
      <c r="J2026">
        <v>30</v>
      </c>
    </row>
    <row r="2027" spans="1:10" x14ac:dyDescent="0.25">
      <c r="A2027" t="s">
        <v>22</v>
      </c>
      <c r="B2027" t="s">
        <v>20</v>
      </c>
      <c r="C2027" t="s">
        <v>18</v>
      </c>
      <c r="D2027" t="s">
        <v>15</v>
      </c>
      <c r="E2027">
        <v>0</v>
      </c>
      <c r="F2027">
        <v>0.75</v>
      </c>
      <c r="G2027">
        <v>2.7652049064636199</v>
      </c>
      <c r="H2027">
        <v>0</v>
      </c>
      <c r="I2027">
        <v>0</v>
      </c>
      <c r="J2027">
        <v>30</v>
      </c>
    </row>
    <row r="2028" spans="1:10" x14ac:dyDescent="0.25">
      <c r="A2028" t="s">
        <v>22</v>
      </c>
      <c r="B2028" t="s">
        <v>20</v>
      </c>
      <c r="C2028" t="s">
        <v>18</v>
      </c>
      <c r="D2028" t="s">
        <v>15</v>
      </c>
      <c r="E2028">
        <v>0</v>
      </c>
      <c r="F2028">
        <v>0.75</v>
      </c>
      <c r="G2028">
        <v>2.7909476757049498</v>
      </c>
      <c r="H2028">
        <v>0</v>
      </c>
      <c r="I2028">
        <v>0</v>
      </c>
      <c r="J2028">
        <v>30</v>
      </c>
    </row>
    <row r="2029" spans="1:10" x14ac:dyDescent="0.25">
      <c r="A2029" t="s">
        <v>22</v>
      </c>
      <c r="B2029" t="s">
        <v>20</v>
      </c>
      <c r="C2029" t="s">
        <v>18</v>
      </c>
      <c r="D2029" t="s">
        <v>15</v>
      </c>
      <c r="E2029">
        <v>0</v>
      </c>
      <c r="F2029">
        <v>0.75</v>
      </c>
      <c r="G2029">
        <v>2.7767241001129102</v>
      </c>
      <c r="H2029">
        <v>0</v>
      </c>
      <c r="I2029">
        <v>0</v>
      </c>
      <c r="J2029">
        <v>30</v>
      </c>
    </row>
    <row r="2030" spans="1:10" x14ac:dyDescent="0.25">
      <c r="A2030" t="s">
        <v>22</v>
      </c>
      <c r="B2030" t="s">
        <v>20</v>
      </c>
      <c r="C2030" t="s">
        <v>18</v>
      </c>
      <c r="D2030" t="s">
        <v>15</v>
      </c>
      <c r="E2030">
        <v>0</v>
      </c>
      <c r="F2030">
        <v>0.75</v>
      </c>
      <c r="G2030">
        <v>2.9219279289245601</v>
      </c>
      <c r="H2030">
        <v>0</v>
      </c>
      <c r="I2030">
        <v>0</v>
      </c>
      <c r="J2030">
        <v>30</v>
      </c>
    </row>
    <row r="2031" spans="1:10" x14ac:dyDescent="0.25">
      <c r="A2031" t="s">
        <v>22</v>
      </c>
      <c r="B2031" t="s">
        <v>20</v>
      </c>
      <c r="C2031" t="s">
        <v>18</v>
      </c>
      <c r="D2031" t="s">
        <v>15</v>
      </c>
      <c r="E2031">
        <v>0</v>
      </c>
      <c r="F2031">
        <v>0.75</v>
      </c>
      <c r="G2031">
        <v>2.93065881729125</v>
      </c>
      <c r="H2031">
        <v>0</v>
      </c>
      <c r="I2031">
        <v>0</v>
      </c>
      <c r="J2031">
        <v>30</v>
      </c>
    </row>
    <row r="2032" spans="1:10" x14ac:dyDescent="0.25">
      <c r="A2032" t="s">
        <v>22</v>
      </c>
      <c r="B2032" t="s">
        <v>20</v>
      </c>
      <c r="C2032" t="s">
        <v>18</v>
      </c>
      <c r="D2032" t="s">
        <v>15</v>
      </c>
      <c r="E2032">
        <v>0</v>
      </c>
      <c r="F2032">
        <v>0.75</v>
      </c>
      <c r="G2032">
        <v>3.01253962516784</v>
      </c>
      <c r="H2032">
        <v>0</v>
      </c>
      <c r="I2032">
        <v>0</v>
      </c>
      <c r="J2032">
        <v>30</v>
      </c>
    </row>
    <row r="2033" spans="1:10" x14ac:dyDescent="0.25">
      <c r="A2033" t="s">
        <v>22</v>
      </c>
      <c r="B2033" t="s">
        <v>20</v>
      </c>
      <c r="C2033" t="s">
        <v>18</v>
      </c>
      <c r="D2033" t="s">
        <v>15</v>
      </c>
      <c r="E2033">
        <v>0</v>
      </c>
      <c r="F2033">
        <v>0.75</v>
      </c>
      <c r="G2033">
        <v>3.0674088001251198</v>
      </c>
      <c r="H2033">
        <v>0</v>
      </c>
      <c r="I2033">
        <v>0</v>
      </c>
      <c r="J2033">
        <v>30</v>
      </c>
    </row>
    <row r="2034" spans="1:10" x14ac:dyDescent="0.25">
      <c r="A2034" t="s">
        <v>22</v>
      </c>
      <c r="B2034" t="s">
        <v>20</v>
      </c>
      <c r="C2034" t="s">
        <v>18</v>
      </c>
      <c r="D2034" t="s">
        <v>15</v>
      </c>
      <c r="E2034">
        <v>0</v>
      </c>
      <c r="F2034">
        <v>0.75</v>
      </c>
      <c r="G2034">
        <v>3.2373278141021702</v>
      </c>
      <c r="H2034">
        <v>1</v>
      </c>
      <c r="I2034">
        <v>3</v>
      </c>
      <c r="J2034">
        <v>30</v>
      </c>
    </row>
    <row r="2035" spans="1:10" x14ac:dyDescent="0.25">
      <c r="A2035" t="s">
        <v>22</v>
      </c>
      <c r="B2035" t="s">
        <v>20</v>
      </c>
      <c r="C2035" t="s">
        <v>18</v>
      </c>
      <c r="D2035" t="s">
        <v>15</v>
      </c>
      <c r="E2035">
        <v>0</v>
      </c>
      <c r="F2035">
        <v>0.75</v>
      </c>
      <c r="G2035">
        <v>3.2853016853332502</v>
      </c>
      <c r="H2035">
        <v>1</v>
      </c>
      <c r="I2035">
        <v>3</v>
      </c>
      <c r="J2035">
        <v>30</v>
      </c>
    </row>
    <row r="2036" spans="1:10" x14ac:dyDescent="0.25">
      <c r="A2036" t="s">
        <v>22</v>
      </c>
      <c r="B2036" t="s">
        <v>20</v>
      </c>
      <c r="C2036" t="s">
        <v>18</v>
      </c>
      <c r="D2036" t="s">
        <v>15</v>
      </c>
      <c r="E2036">
        <v>0</v>
      </c>
      <c r="F2036">
        <v>0.75</v>
      </c>
      <c r="G2036">
        <v>3.3834011554718</v>
      </c>
      <c r="H2036">
        <v>1</v>
      </c>
      <c r="I2036">
        <v>3</v>
      </c>
      <c r="J2036">
        <v>30</v>
      </c>
    </row>
    <row r="2037" spans="1:10" x14ac:dyDescent="0.25">
      <c r="A2037" t="s">
        <v>22</v>
      </c>
      <c r="B2037" t="s">
        <v>20</v>
      </c>
      <c r="C2037" t="s">
        <v>18</v>
      </c>
      <c r="D2037" t="s">
        <v>15</v>
      </c>
      <c r="E2037">
        <v>0</v>
      </c>
      <c r="F2037">
        <v>0.75</v>
      </c>
      <c r="G2037">
        <v>3.8984506130218501</v>
      </c>
      <c r="H2037">
        <v>2</v>
      </c>
      <c r="I2037">
        <v>4</v>
      </c>
      <c r="J2037">
        <v>30</v>
      </c>
    </row>
    <row r="2038" spans="1:10" x14ac:dyDescent="0.25">
      <c r="A2038" t="s">
        <v>22</v>
      </c>
      <c r="B2038" t="s">
        <v>20</v>
      </c>
      <c r="C2038" t="s">
        <v>18</v>
      </c>
      <c r="D2038" t="s">
        <v>15</v>
      </c>
      <c r="E2038">
        <v>0</v>
      </c>
      <c r="F2038">
        <v>0.75</v>
      </c>
      <c r="G2038">
        <v>4.6037898063659597</v>
      </c>
      <c r="H2038">
        <v>3</v>
      </c>
      <c r="I2038">
        <v>7</v>
      </c>
      <c r="J2038">
        <v>30</v>
      </c>
    </row>
    <row r="2039" spans="1:10" x14ac:dyDescent="0.25">
      <c r="A2039" t="s">
        <v>22</v>
      </c>
      <c r="B2039" t="s">
        <v>20</v>
      </c>
      <c r="C2039" t="s">
        <v>18</v>
      </c>
      <c r="D2039" t="s">
        <v>15</v>
      </c>
      <c r="E2039">
        <v>0</v>
      </c>
      <c r="F2039">
        <v>0.75</v>
      </c>
      <c r="G2039">
        <v>5.1492111682891801</v>
      </c>
      <c r="H2039">
        <v>6</v>
      </c>
      <c r="I2039">
        <v>16</v>
      </c>
      <c r="J2039">
        <v>30</v>
      </c>
    </row>
    <row r="2040" spans="1:10" x14ac:dyDescent="0.25">
      <c r="A2040" t="s">
        <v>22</v>
      </c>
      <c r="B2040" t="s">
        <v>20</v>
      </c>
      <c r="C2040" t="s">
        <v>18</v>
      </c>
      <c r="D2040" t="s">
        <v>15</v>
      </c>
      <c r="E2040">
        <v>0</v>
      </c>
      <c r="F2040">
        <v>0.75</v>
      </c>
      <c r="G2040">
        <v>5.1799654960632298</v>
      </c>
      <c r="H2040">
        <v>7</v>
      </c>
      <c r="I2040">
        <v>21</v>
      </c>
      <c r="J2040">
        <v>30</v>
      </c>
    </row>
    <row r="2041" spans="1:10" x14ac:dyDescent="0.25">
      <c r="A2041" t="s">
        <v>22</v>
      </c>
      <c r="B2041" t="s">
        <v>20</v>
      </c>
      <c r="C2041" t="s">
        <v>18</v>
      </c>
      <c r="D2041" t="s">
        <v>15</v>
      </c>
      <c r="E2041">
        <v>0</v>
      </c>
      <c r="F2041">
        <v>0.75</v>
      </c>
      <c r="G2041">
        <v>5.1467416286468497</v>
      </c>
      <c r="H2041">
        <v>5</v>
      </c>
      <c r="I2041">
        <v>13</v>
      </c>
      <c r="J2041">
        <v>30</v>
      </c>
    </row>
    <row r="2042" spans="1:10" x14ac:dyDescent="0.25">
      <c r="A2042" t="s">
        <v>22</v>
      </c>
      <c r="B2042" t="s">
        <v>20</v>
      </c>
      <c r="C2042" t="s">
        <v>18</v>
      </c>
      <c r="D2042" t="s">
        <v>16</v>
      </c>
      <c r="E2042">
        <v>0</v>
      </c>
      <c r="F2042">
        <v>0.75</v>
      </c>
      <c r="G2042">
        <v>0.29943418502807601</v>
      </c>
      <c r="H2042">
        <v>0</v>
      </c>
      <c r="I2042">
        <v>0</v>
      </c>
      <c r="J2042">
        <v>30</v>
      </c>
    </row>
    <row r="2043" spans="1:10" x14ac:dyDescent="0.25">
      <c r="A2043" t="s">
        <v>22</v>
      </c>
      <c r="B2043" t="s">
        <v>20</v>
      </c>
      <c r="C2043" t="s">
        <v>18</v>
      </c>
      <c r="D2043" t="s">
        <v>16</v>
      </c>
      <c r="E2043">
        <v>0</v>
      </c>
      <c r="F2043">
        <v>0.75</v>
      </c>
      <c r="G2043">
        <v>0.34798622131347601</v>
      </c>
      <c r="H2043">
        <v>0</v>
      </c>
      <c r="I2043">
        <v>0</v>
      </c>
      <c r="J2043">
        <v>30</v>
      </c>
    </row>
    <row r="2044" spans="1:10" x14ac:dyDescent="0.25">
      <c r="A2044" t="s">
        <v>22</v>
      </c>
      <c r="B2044" t="s">
        <v>20</v>
      </c>
      <c r="C2044" t="s">
        <v>18</v>
      </c>
      <c r="D2044" t="s">
        <v>16</v>
      </c>
      <c r="E2044">
        <v>0</v>
      </c>
      <c r="F2044">
        <v>0.75</v>
      </c>
      <c r="G2044">
        <v>0.35937404632568298</v>
      </c>
      <c r="H2044">
        <v>0</v>
      </c>
      <c r="I2044">
        <v>0</v>
      </c>
      <c r="J2044">
        <v>30</v>
      </c>
    </row>
    <row r="2045" spans="1:10" x14ac:dyDescent="0.25">
      <c r="A2045" t="s">
        <v>22</v>
      </c>
      <c r="B2045" t="s">
        <v>20</v>
      </c>
      <c r="C2045" t="s">
        <v>18</v>
      </c>
      <c r="D2045" t="s">
        <v>16</v>
      </c>
      <c r="E2045">
        <v>0</v>
      </c>
      <c r="F2045">
        <v>0.75</v>
      </c>
      <c r="G2045">
        <v>0.40145850181579501</v>
      </c>
      <c r="H2045">
        <v>0</v>
      </c>
      <c r="I2045">
        <v>0</v>
      </c>
      <c r="J2045">
        <v>30</v>
      </c>
    </row>
    <row r="2046" spans="1:10" x14ac:dyDescent="0.25">
      <c r="A2046" t="s">
        <v>22</v>
      </c>
      <c r="B2046" t="s">
        <v>20</v>
      </c>
      <c r="C2046" t="s">
        <v>18</v>
      </c>
      <c r="D2046" t="s">
        <v>16</v>
      </c>
      <c r="E2046">
        <v>0</v>
      </c>
      <c r="F2046">
        <v>0.75</v>
      </c>
      <c r="G2046">
        <v>0.46528315544128401</v>
      </c>
      <c r="H2046">
        <v>0</v>
      </c>
      <c r="I2046">
        <v>0</v>
      </c>
      <c r="J2046">
        <v>30</v>
      </c>
    </row>
    <row r="2047" spans="1:10" x14ac:dyDescent="0.25">
      <c r="A2047" t="s">
        <v>22</v>
      </c>
      <c r="B2047" t="s">
        <v>20</v>
      </c>
      <c r="C2047" t="s">
        <v>18</v>
      </c>
      <c r="D2047" t="s">
        <v>16</v>
      </c>
      <c r="E2047">
        <v>0</v>
      </c>
      <c r="F2047">
        <v>0.75</v>
      </c>
      <c r="G2047">
        <v>0.522144556045532</v>
      </c>
      <c r="H2047">
        <v>0</v>
      </c>
      <c r="I2047">
        <v>0</v>
      </c>
      <c r="J2047">
        <v>30</v>
      </c>
    </row>
    <row r="2048" spans="1:10" x14ac:dyDescent="0.25">
      <c r="A2048" t="s">
        <v>22</v>
      </c>
      <c r="B2048" t="s">
        <v>20</v>
      </c>
      <c r="C2048" t="s">
        <v>18</v>
      </c>
      <c r="D2048" t="s">
        <v>16</v>
      </c>
      <c r="E2048">
        <v>0</v>
      </c>
      <c r="F2048">
        <v>0.75</v>
      </c>
      <c r="G2048">
        <v>0.55386757850646895</v>
      </c>
      <c r="H2048">
        <v>0</v>
      </c>
      <c r="I2048">
        <v>0</v>
      </c>
      <c r="J2048">
        <v>30</v>
      </c>
    </row>
    <row r="2049" spans="1:10" x14ac:dyDescent="0.25">
      <c r="A2049" t="s">
        <v>22</v>
      </c>
      <c r="B2049" t="s">
        <v>20</v>
      </c>
      <c r="C2049" t="s">
        <v>18</v>
      </c>
      <c r="D2049" t="s">
        <v>16</v>
      </c>
      <c r="E2049">
        <v>0</v>
      </c>
      <c r="F2049">
        <v>0.75</v>
      </c>
      <c r="G2049">
        <v>0.56852006912231401</v>
      </c>
      <c r="H2049">
        <v>0</v>
      </c>
      <c r="I2049">
        <v>0</v>
      </c>
      <c r="J2049">
        <v>30</v>
      </c>
    </row>
    <row r="2050" spans="1:10" x14ac:dyDescent="0.25">
      <c r="A2050" t="s">
        <v>22</v>
      </c>
      <c r="B2050" t="s">
        <v>20</v>
      </c>
      <c r="C2050" t="s">
        <v>18</v>
      </c>
      <c r="D2050" t="s">
        <v>16</v>
      </c>
      <c r="E2050">
        <v>0</v>
      </c>
      <c r="F2050">
        <v>0.75</v>
      </c>
      <c r="G2050">
        <v>0.55388236045837402</v>
      </c>
      <c r="H2050">
        <v>0</v>
      </c>
      <c r="I2050">
        <v>0</v>
      </c>
      <c r="J2050">
        <v>30</v>
      </c>
    </row>
    <row r="2051" spans="1:10" x14ac:dyDescent="0.25">
      <c r="A2051" t="s">
        <v>22</v>
      </c>
      <c r="B2051" t="s">
        <v>20</v>
      </c>
      <c r="C2051" t="s">
        <v>18</v>
      </c>
      <c r="D2051" t="s">
        <v>16</v>
      </c>
      <c r="E2051">
        <v>0</v>
      </c>
      <c r="F2051">
        <v>0.75</v>
      </c>
      <c r="G2051">
        <v>0.59343194961547796</v>
      </c>
      <c r="H2051">
        <v>0</v>
      </c>
      <c r="I2051">
        <v>0</v>
      </c>
      <c r="J2051">
        <v>30</v>
      </c>
    </row>
    <row r="2052" spans="1:10" x14ac:dyDescent="0.25">
      <c r="A2052" t="s">
        <v>22</v>
      </c>
      <c r="B2052" t="s">
        <v>20</v>
      </c>
      <c r="C2052" t="s">
        <v>18</v>
      </c>
      <c r="D2052" t="s">
        <v>16</v>
      </c>
      <c r="E2052">
        <v>0</v>
      </c>
      <c r="F2052">
        <v>0.75</v>
      </c>
      <c r="G2052">
        <v>0.61193704605102495</v>
      </c>
      <c r="H2052">
        <v>0</v>
      </c>
      <c r="I2052">
        <v>0</v>
      </c>
      <c r="J2052">
        <v>30</v>
      </c>
    </row>
    <row r="2053" spans="1:10" x14ac:dyDescent="0.25">
      <c r="A2053" t="s">
        <v>22</v>
      </c>
      <c r="B2053" t="s">
        <v>20</v>
      </c>
      <c r="C2053" t="s">
        <v>18</v>
      </c>
      <c r="D2053" t="s">
        <v>16</v>
      </c>
      <c r="E2053">
        <v>0</v>
      </c>
      <c r="F2053">
        <v>0.75</v>
      </c>
      <c r="G2053">
        <v>0.59087324142455999</v>
      </c>
      <c r="H2053">
        <v>0</v>
      </c>
      <c r="I2053">
        <v>0</v>
      </c>
      <c r="J2053">
        <v>30</v>
      </c>
    </row>
    <row r="2054" spans="1:10" x14ac:dyDescent="0.25">
      <c r="A2054" t="s">
        <v>22</v>
      </c>
      <c r="B2054" t="s">
        <v>20</v>
      </c>
      <c r="C2054" t="s">
        <v>18</v>
      </c>
      <c r="D2054" t="s">
        <v>16</v>
      </c>
      <c r="E2054">
        <v>0</v>
      </c>
      <c r="F2054">
        <v>0.75</v>
      </c>
      <c r="G2054">
        <v>0.62454605102538996</v>
      </c>
      <c r="H2054">
        <v>0</v>
      </c>
      <c r="I2054">
        <v>0</v>
      </c>
      <c r="J2054">
        <v>30</v>
      </c>
    </row>
    <row r="2055" spans="1:10" x14ac:dyDescent="0.25">
      <c r="A2055" t="s">
        <v>22</v>
      </c>
      <c r="B2055" t="s">
        <v>20</v>
      </c>
      <c r="C2055" t="s">
        <v>18</v>
      </c>
      <c r="D2055" t="s">
        <v>16</v>
      </c>
      <c r="E2055">
        <v>0</v>
      </c>
      <c r="F2055">
        <v>0.75</v>
      </c>
      <c r="G2055">
        <v>0.60543775558471602</v>
      </c>
      <c r="H2055">
        <v>0</v>
      </c>
      <c r="I2055">
        <v>0</v>
      </c>
      <c r="J2055">
        <v>30</v>
      </c>
    </row>
    <row r="2056" spans="1:10" x14ac:dyDescent="0.25">
      <c r="A2056" t="s">
        <v>22</v>
      </c>
      <c r="B2056" t="s">
        <v>20</v>
      </c>
      <c r="C2056" t="s">
        <v>18</v>
      </c>
      <c r="D2056" t="s">
        <v>16</v>
      </c>
      <c r="E2056">
        <v>0</v>
      </c>
      <c r="F2056">
        <v>0.75</v>
      </c>
      <c r="G2056">
        <v>0.63458132743835405</v>
      </c>
      <c r="H2056">
        <v>0</v>
      </c>
      <c r="I2056">
        <v>0</v>
      </c>
      <c r="J2056">
        <v>30</v>
      </c>
    </row>
    <row r="2057" spans="1:10" x14ac:dyDescent="0.25">
      <c r="A2057" t="s">
        <v>22</v>
      </c>
      <c r="B2057" t="s">
        <v>20</v>
      </c>
      <c r="C2057" t="s">
        <v>18</v>
      </c>
      <c r="D2057" t="s">
        <v>16</v>
      </c>
      <c r="E2057">
        <v>0</v>
      </c>
      <c r="F2057">
        <v>0.75</v>
      </c>
      <c r="G2057">
        <v>0.652671098709106</v>
      </c>
      <c r="H2057">
        <v>0</v>
      </c>
      <c r="I2057">
        <v>0</v>
      </c>
      <c r="J2057">
        <v>30</v>
      </c>
    </row>
    <row r="2058" spans="1:10" x14ac:dyDescent="0.25">
      <c r="A2058" t="s">
        <v>22</v>
      </c>
      <c r="B2058" t="s">
        <v>20</v>
      </c>
      <c r="C2058" t="s">
        <v>18</v>
      </c>
      <c r="D2058" t="s">
        <v>16</v>
      </c>
      <c r="E2058">
        <v>0</v>
      </c>
      <c r="F2058">
        <v>0.75</v>
      </c>
      <c r="G2058">
        <v>0.65975379943847601</v>
      </c>
      <c r="H2058">
        <v>0</v>
      </c>
      <c r="I2058">
        <v>0</v>
      </c>
      <c r="J2058">
        <v>30</v>
      </c>
    </row>
    <row r="2059" spans="1:10" x14ac:dyDescent="0.25">
      <c r="A2059" t="s">
        <v>22</v>
      </c>
      <c r="B2059" t="s">
        <v>20</v>
      </c>
      <c r="C2059" t="s">
        <v>18</v>
      </c>
      <c r="D2059" t="s">
        <v>16</v>
      </c>
      <c r="E2059">
        <v>0</v>
      </c>
      <c r="F2059">
        <v>0.75</v>
      </c>
      <c r="G2059">
        <v>0.63458132743835405</v>
      </c>
      <c r="H2059">
        <v>0</v>
      </c>
      <c r="I2059">
        <v>0</v>
      </c>
      <c r="J2059">
        <v>30</v>
      </c>
    </row>
    <row r="2060" spans="1:10" x14ac:dyDescent="0.25">
      <c r="A2060" t="s">
        <v>22</v>
      </c>
      <c r="B2060" t="s">
        <v>20</v>
      </c>
      <c r="C2060" t="s">
        <v>18</v>
      </c>
      <c r="D2060" t="s">
        <v>16</v>
      </c>
      <c r="E2060">
        <v>0</v>
      </c>
      <c r="F2060">
        <v>0.75</v>
      </c>
      <c r="G2060">
        <v>0.67704939842224099</v>
      </c>
      <c r="H2060">
        <v>0</v>
      </c>
      <c r="I2060">
        <v>0</v>
      </c>
      <c r="J2060">
        <v>30</v>
      </c>
    </row>
    <row r="2061" spans="1:10" x14ac:dyDescent="0.25">
      <c r="A2061" t="s">
        <v>22</v>
      </c>
      <c r="B2061" t="s">
        <v>20</v>
      </c>
      <c r="C2061" t="s">
        <v>18</v>
      </c>
      <c r="D2061" t="s">
        <v>16</v>
      </c>
      <c r="E2061">
        <v>0</v>
      </c>
      <c r="F2061">
        <v>0.75</v>
      </c>
      <c r="G2061">
        <v>0.68855619430541903</v>
      </c>
      <c r="H2061">
        <v>0</v>
      </c>
      <c r="I2061">
        <v>0</v>
      </c>
      <c r="J2061">
        <v>30</v>
      </c>
    </row>
    <row r="2062" spans="1:10" x14ac:dyDescent="0.25">
      <c r="A2062" t="s">
        <v>22</v>
      </c>
      <c r="B2062" t="s">
        <v>20</v>
      </c>
      <c r="C2062" t="s">
        <v>18</v>
      </c>
      <c r="D2062" t="s">
        <v>16</v>
      </c>
      <c r="E2062">
        <v>0</v>
      </c>
      <c r="F2062">
        <v>0.75</v>
      </c>
      <c r="G2062">
        <v>0.69585728645324696</v>
      </c>
      <c r="H2062">
        <v>0</v>
      </c>
      <c r="I2062">
        <v>0</v>
      </c>
      <c r="J2062">
        <v>30</v>
      </c>
    </row>
    <row r="2063" spans="1:10" x14ac:dyDescent="0.25">
      <c r="A2063" t="s">
        <v>22</v>
      </c>
      <c r="B2063" t="s">
        <v>20</v>
      </c>
      <c r="C2063" t="s">
        <v>18</v>
      </c>
      <c r="D2063" t="s">
        <v>16</v>
      </c>
      <c r="E2063">
        <v>0</v>
      </c>
      <c r="F2063">
        <v>0.75</v>
      </c>
      <c r="G2063">
        <v>0.69077229499816895</v>
      </c>
      <c r="H2063">
        <v>0</v>
      </c>
      <c r="I2063">
        <v>0</v>
      </c>
      <c r="J2063">
        <v>30</v>
      </c>
    </row>
    <row r="2064" spans="1:10" x14ac:dyDescent="0.25">
      <c r="A2064" t="s">
        <v>22</v>
      </c>
      <c r="B2064" t="s">
        <v>20</v>
      </c>
      <c r="C2064" t="s">
        <v>18</v>
      </c>
      <c r="D2064" t="s">
        <v>16</v>
      </c>
      <c r="E2064">
        <v>0</v>
      </c>
      <c r="F2064">
        <v>0.75</v>
      </c>
      <c r="G2064">
        <v>0.70283746719360296</v>
      </c>
      <c r="H2064">
        <v>0</v>
      </c>
      <c r="I2064">
        <v>0</v>
      </c>
      <c r="J2064">
        <v>30</v>
      </c>
    </row>
    <row r="2065" spans="1:10" x14ac:dyDescent="0.25">
      <c r="A2065" t="s">
        <v>22</v>
      </c>
      <c r="B2065" t="s">
        <v>20</v>
      </c>
      <c r="C2065" t="s">
        <v>18</v>
      </c>
      <c r="D2065" t="s">
        <v>16</v>
      </c>
      <c r="E2065">
        <v>0</v>
      </c>
      <c r="F2065">
        <v>0.75</v>
      </c>
      <c r="G2065">
        <v>0.64960741996765103</v>
      </c>
      <c r="H2065">
        <v>0</v>
      </c>
      <c r="I2065">
        <v>0</v>
      </c>
      <c r="J2065">
        <v>30</v>
      </c>
    </row>
    <row r="2066" spans="1:10" x14ac:dyDescent="0.25">
      <c r="A2066" t="s">
        <v>22</v>
      </c>
      <c r="B2066" t="s">
        <v>20</v>
      </c>
      <c r="C2066" t="s">
        <v>18</v>
      </c>
      <c r="D2066" t="s">
        <v>16</v>
      </c>
      <c r="E2066">
        <v>0</v>
      </c>
      <c r="F2066">
        <v>0.75</v>
      </c>
      <c r="G2066">
        <v>0.70934200286865201</v>
      </c>
      <c r="H2066">
        <v>0</v>
      </c>
      <c r="I2066">
        <v>0</v>
      </c>
      <c r="J2066">
        <v>30</v>
      </c>
    </row>
    <row r="2067" spans="1:10" x14ac:dyDescent="0.25">
      <c r="A2067" t="s">
        <v>22</v>
      </c>
      <c r="B2067" t="s">
        <v>20</v>
      </c>
      <c r="C2067" t="s">
        <v>18</v>
      </c>
      <c r="D2067" t="s">
        <v>16</v>
      </c>
      <c r="E2067">
        <v>0</v>
      </c>
      <c r="F2067">
        <v>0.75</v>
      </c>
      <c r="G2067">
        <v>0.70843100547790505</v>
      </c>
      <c r="H2067">
        <v>0</v>
      </c>
      <c r="I2067">
        <v>0</v>
      </c>
      <c r="J2067">
        <v>30</v>
      </c>
    </row>
    <row r="2068" spans="1:10" x14ac:dyDescent="0.25">
      <c r="A2068" t="s">
        <v>22</v>
      </c>
      <c r="B2068" t="s">
        <v>20</v>
      </c>
      <c r="C2068" t="s">
        <v>18</v>
      </c>
      <c r="D2068" t="s">
        <v>16</v>
      </c>
      <c r="E2068">
        <v>0</v>
      </c>
      <c r="F2068">
        <v>0.75</v>
      </c>
      <c r="G2068">
        <v>0.73405647277831998</v>
      </c>
      <c r="H2068">
        <v>0</v>
      </c>
      <c r="I2068">
        <v>0</v>
      </c>
      <c r="J2068">
        <v>30</v>
      </c>
    </row>
    <row r="2069" spans="1:10" x14ac:dyDescent="0.25">
      <c r="A2069" t="s">
        <v>22</v>
      </c>
      <c r="B2069" t="s">
        <v>20</v>
      </c>
      <c r="C2069" t="s">
        <v>18</v>
      </c>
      <c r="D2069" t="s">
        <v>16</v>
      </c>
      <c r="E2069">
        <v>0</v>
      </c>
      <c r="F2069">
        <v>0.75</v>
      </c>
      <c r="G2069">
        <v>0.71852707862854004</v>
      </c>
      <c r="H2069">
        <v>0</v>
      </c>
      <c r="I2069">
        <v>0</v>
      </c>
      <c r="J2069">
        <v>30</v>
      </c>
    </row>
    <row r="2070" spans="1:10" x14ac:dyDescent="0.25">
      <c r="A2070" t="s">
        <v>22</v>
      </c>
      <c r="B2070" t="s">
        <v>20</v>
      </c>
      <c r="C2070" t="s">
        <v>18</v>
      </c>
      <c r="D2070" t="s">
        <v>16</v>
      </c>
      <c r="E2070">
        <v>0</v>
      </c>
      <c r="F2070">
        <v>0.75</v>
      </c>
      <c r="G2070">
        <v>0.70833945274353005</v>
      </c>
      <c r="H2070">
        <v>0</v>
      </c>
      <c r="I2070">
        <v>0</v>
      </c>
      <c r="J2070">
        <v>30</v>
      </c>
    </row>
    <row r="2071" spans="1:10" x14ac:dyDescent="0.25">
      <c r="A2071" t="s">
        <v>22</v>
      </c>
      <c r="B2071" t="s">
        <v>20</v>
      </c>
      <c r="C2071" t="s">
        <v>18</v>
      </c>
      <c r="D2071" t="s">
        <v>16</v>
      </c>
      <c r="E2071">
        <v>0</v>
      </c>
      <c r="F2071">
        <v>0.75</v>
      </c>
      <c r="G2071">
        <v>0.71146368980407704</v>
      </c>
      <c r="H2071">
        <v>0</v>
      </c>
      <c r="I2071">
        <v>0</v>
      </c>
      <c r="J2071">
        <v>30</v>
      </c>
    </row>
    <row r="2072" spans="1:10" x14ac:dyDescent="0.25">
      <c r="A2072" t="s">
        <v>22</v>
      </c>
      <c r="B2072" t="s">
        <v>20</v>
      </c>
      <c r="C2072" t="s">
        <v>18</v>
      </c>
      <c r="D2072" t="s">
        <v>17</v>
      </c>
      <c r="E2072">
        <v>0.45588235294117602</v>
      </c>
      <c r="F2072">
        <v>0.77819500137352904</v>
      </c>
      <c r="G2072">
        <v>62.839532852172802</v>
      </c>
      <c r="H2072">
        <v>53</v>
      </c>
      <c r="I2072">
        <v>71</v>
      </c>
      <c r="J2072">
        <v>30</v>
      </c>
    </row>
    <row r="2073" spans="1:10" x14ac:dyDescent="0.25">
      <c r="A2073" t="s">
        <v>22</v>
      </c>
      <c r="B2073" t="s">
        <v>20</v>
      </c>
      <c r="C2073" t="s">
        <v>18</v>
      </c>
      <c r="D2073" t="s">
        <v>17</v>
      </c>
      <c r="E2073">
        <v>0.45588235294117602</v>
      </c>
      <c r="F2073">
        <v>0.77749715879999903</v>
      </c>
      <c r="G2073">
        <v>63.760859966277998</v>
      </c>
      <c r="H2073">
        <v>56</v>
      </c>
      <c r="I2073">
        <v>76</v>
      </c>
      <c r="J2073">
        <v>30</v>
      </c>
    </row>
    <row r="2074" spans="1:10" x14ac:dyDescent="0.25">
      <c r="A2074" t="s">
        <v>22</v>
      </c>
      <c r="B2074" t="s">
        <v>20</v>
      </c>
      <c r="C2074" t="s">
        <v>18</v>
      </c>
      <c r="D2074" t="s">
        <v>17</v>
      </c>
      <c r="E2074">
        <v>0.45588235294117602</v>
      </c>
      <c r="F2074">
        <v>0.78081171606176403</v>
      </c>
      <c r="G2074">
        <v>71.670575141906696</v>
      </c>
      <c r="H2074">
        <v>54</v>
      </c>
      <c r="I2074">
        <v>72</v>
      </c>
      <c r="J2074">
        <v>30</v>
      </c>
    </row>
    <row r="2075" spans="1:10" x14ac:dyDescent="0.25">
      <c r="A2075" t="s">
        <v>22</v>
      </c>
      <c r="B2075" t="s">
        <v>20</v>
      </c>
      <c r="C2075" t="s">
        <v>18</v>
      </c>
      <c r="D2075" t="s">
        <v>17</v>
      </c>
      <c r="E2075">
        <v>0.54411764705882304</v>
      </c>
      <c r="F2075">
        <v>0.80939633353970497</v>
      </c>
      <c r="G2075">
        <v>75.406656026840196</v>
      </c>
      <c r="H2075">
        <v>68</v>
      </c>
      <c r="I2075">
        <v>91</v>
      </c>
      <c r="J2075">
        <v>30</v>
      </c>
    </row>
    <row r="2076" spans="1:10" x14ac:dyDescent="0.25">
      <c r="A2076" t="s">
        <v>22</v>
      </c>
      <c r="B2076" t="s">
        <v>20</v>
      </c>
      <c r="C2076" t="s">
        <v>18</v>
      </c>
      <c r="D2076" t="s">
        <v>17</v>
      </c>
      <c r="E2076">
        <v>0.54411764705882304</v>
      </c>
      <c r="F2076">
        <v>0.783328269720588</v>
      </c>
      <c r="G2076">
        <v>77.6469469070434</v>
      </c>
      <c r="H2076">
        <v>78</v>
      </c>
      <c r="I2076">
        <v>97</v>
      </c>
      <c r="J2076">
        <v>30</v>
      </c>
    </row>
    <row r="2077" spans="1:10" x14ac:dyDescent="0.25">
      <c r="A2077" t="s">
        <v>22</v>
      </c>
      <c r="B2077" t="s">
        <v>20</v>
      </c>
      <c r="C2077" t="s">
        <v>18</v>
      </c>
      <c r="D2077" t="s">
        <v>17</v>
      </c>
      <c r="E2077">
        <v>0.47058823529411697</v>
      </c>
      <c r="F2077">
        <v>0.75962333005146998</v>
      </c>
      <c r="G2077">
        <v>77.745223999023395</v>
      </c>
      <c r="H2077">
        <v>75</v>
      </c>
      <c r="I2077">
        <v>100</v>
      </c>
      <c r="J2077">
        <v>30</v>
      </c>
    </row>
    <row r="2078" spans="1:10" x14ac:dyDescent="0.25">
      <c r="A2078" t="s">
        <v>22</v>
      </c>
      <c r="B2078" t="s">
        <v>20</v>
      </c>
      <c r="C2078" t="s">
        <v>18</v>
      </c>
      <c r="D2078" t="s">
        <v>17</v>
      </c>
      <c r="E2078">
        <v>0.48529411764705799</v>
      </c>
      <c r="F2078">
        <v>0.76986481101911697</v>
      </c>
      <c r="G2078">
        <v>77.9890971183776</v>
      </c>
      <c r="H2078">
        <v>70</v>
      </c>
      <c r="I2078">
        <v>98</v>
      </c>
      <c r="J2078">
        <v>30</v>
      </c>
    </row>
    <row r="2079" spans="1:10" x14ac:dyDescent="0.25">
      <c r="A2079" t="s">
        <v>22</v>
      </c>
      <c r="B2079" t="s">
        <v>20</v>
      </c>
      <c r="C2079" t="s">
        <v>18</v>
      </c>
      <c r="D2079" t="s">
        <v>17</v>
      </c>
      <c r="E2079">
        <v>0.55882352941176405</v>
      </c>
      <c r="F2079">
        <v>0.78569920237646995</v>
      </c>
      <c r="G2079">
        <v>78.614697217941199</v>
      </c>
      <c r="H2079">
        <v>85</v>
      </c>
      <c r="I2079">
        <v>118</v>
      </c>
      <c r="J2079">
        <v>30</v>
      </c>
    </row>
    <row r="2080" spans="1:10" x14ac:dyDescent="0.25">
      <c r="A2080" t="s">
        <v>22</v>
      </c>
      <c r="B2080" t="s">
        <v>20</v>
      </c>
      <c r="C2080" t="s">
        <v>18</v>
      </c>
      <c r="D2080" t="s">
        <v>17</v>
      </c>
      <c r="E2080">
        <v>0.57352941176470495</v>
      </c>
      <c r="F2080">
        <v>0.79056996100882304</v>
      </c>
      <c r="G2080">
        <v>79.908159255981403</v>
      </c>
      <c r="H2080">
        <v>85</v>
      </c>
      <c r="I2080">
        <v>109</v>
      </c>
      <c r="J2080">
        <v>30</v>
      </c>
    </row>
    <row r="2081" spans="1:10" x14ac:dyDescent="0.25">
      <c r="A2081" t="s">
        <v>22</v>
      </c>
      <c r="B2081" t="s">
        <v>20</v>
      </c>
      <c r="C2081" t="s">
        <v>18</v>
      </c>
      <c r="D2081" t="s">
        <v>17</v>
      </c>
      <c r="E2081">
        <v>0.57352941176470495</v>
      </c>
      <c r="F2081">
        <v>0.79987041061323505</v>
      </c>
      <c r="G2081">
        <v>79.969604969024601</v>
      </c>
      <c r="H2081">
        <v>68</v>
      </c>
      <c r="I2081">
        <v>99</v>
      </c>
      <c r="J2081">
        <v>30</v>
      </c>
    </row>
    <row r="2082" spans="1:10" x14ac:dyDescent="0.25">
      <c r="A2082" t="s">
        <v>22</v>
      </c>
      <c r="B2082" t="s">
        <v>20</v>
      </c>
      <c r="C2082" t="s">
        <v>18</v>
      </c>
      <c r="D2082" t="s">
        <v>17</v>
      </c>
      <c r="E2082">
        <v>0.67647058823529405</v>
      </c>
      <c r="F2082">
        <v>0.79831360307499999</v>
      </c>
      <c r="G2082">
        <v>80.624178886413503</v>
      </c>
      <c r="H2082">
        <v>84</v>
      </c>
      <c r="I2082">
        <v>120</v>
      </c>
      <c r="J2082">
        <v>30</v>
      </c>
    </row>
    <row r="2083" spans="1:10" x14ac:dyDescent="0.25">
      <c r="A2083" t="s">
        <v>22</v>
      </c>
      <c r="B2083" t="s">
        <v>20</v>
      </c>
      <c r="C2083" t="s">
        <v>18</v>
      </c>
      <c r="D2083" t="s">
        <v>17</v>
      </c>
      <c r="E2083">
        <v>0.48529411764705799</v>
      </c>
      <c r="F2083">
        <v>0.77806538969264705</v>
      </c>
      <c r="G2083">
        <v>81.060844898223806</v>
      </c>
      <c r="H2083">
        <v>68</v>
      </c>
      <c r="I2083">
        <v>101</v>
      </c>
      <c r="J2083">
        <v>30</v>
      </c>
    </row>
    <row r="2084" spans="1:10" x14ac:dyDescent="0.25">
      <c r="A2084" t="s">
        <v>22</v>
      </c>
      <c r="B2084" t="s">
        <v>20</v>
      </c>
      <c r="C2084" t="s">
        <v>18</v>
      </c>
      <c r="D2084" t="s">
        <v>17</v>
      </c>
      <c r="E2084">
        <v>0.5</v>
      </c>
      <c r="F2084">
        <v>0.77314221451176401</v>
      </c>
      <c r="G2084">
        <v>81.438257217407198</v>
      </c>
      <c r="H2084">
        <v>67</v>
      </c>
      <c r="I2084">
        <v>93</v>
      </c>
      <c r="J2084">
        <v>30</v>
      </c>
    </row>
    <row r="2085" spans="1:10" x14ac:dyDescent="0.25">
      <c r="A2085" t="s">
        <v>22</v>
      </c>
      <c r="B2085" t="s">
        <v>20</v>
      </c>
      <c r="C2085" t="s">
        <v>18</v>
      </c>
      <c r="D2085" t="s">
        <v>17</v>
      </c>
      <c r="E2085">
        <v>0.55882352941176405</v>
      </c>
      <c r="F2085">
        <v>0.78328193361176401</v>
      </c>
      <c r="G2085">
        <v>81.719038486480699</v>
      </c>
      <c r="H2085">
        <v>76</v>
      </c>
      <c r="I2085">
        <v>106</v>
      </c>
      <c r="J2085">
        <v>30</v>
      </c>
    </row>
    <row r="2086" spans="1:10" x14ac:dyDescent="0.25">
      <c r="A2086" t="s">
        <v>22</v>
      </c>
      <c r="B2086" t="s">
        <v>20</v>
      </c>
      <c r="C2086" t="s">
        <v>18</v>
      </c>
      <c r="D2086" t="s">
        <v>17</v>
      </c>
      <c r="E2086">
        <v>0.55882352941176405</v>
      </c>
      <c r="F2086">
        <v>0.78600553292058795</v>
      </c>
      <c r="G2086">
        <v>82.129888057708698</v>
      </c>
      <c r="H2086">
        <v>72</v>
      </c>
      <c r="I2086">
        <v>98</v>
      </c>
      <c r="J2086">
        <v>30</v>
      </c>
    </row>
    <row r="2087" spans="1:10" x14ac:dyDescent="0.25">
      <c r="A2087" t="s">
        <v>22</v>
      </c>
      <c r="B2087" t="s">
        <v>20</v>
      </c>
      <c r="C2087" t="s">
        <v>18</v>
      </c>
      <c r="D2087" t="s">
        <v>17</v>
      </c>
      <c r="E2087">
        <v>0.57352941176470495</v>
      </c>
      <c r="F2087">
        <v>0.79899040277794098</v>
      </c>
      <c r="G2087">
        <v>82.619759082794104</v>
      </c>
      <c r="H2087">
        <v>81</v>
      </c>
      <c r="I2087">
        <v>109</v>
      </c>
      <c r="J2087">
        <v>30</v>
      </c>
    </row>
    <row r="2088" spans="1:10" x14ac:dyDescent="0.25">
      <c r="A2088" t="s">
        <v>22</v>
      </c>
      <c r="B2088" t="s">
        <v>20</v>
      </c>
      <c r="C2088" t="s">
        <v>18</v>
      </c>
      <c r="D2088" t="s">
        <v>17</v>
      </c>
      <c r="E2088">
        <v>0.39705882352941102</v>
      </c>
      <c r="F2088">
        <v>0.76341461878529404</v>
      </c>
      <c r="G2088">
        <v>83.327963352203298</v>
      </c>
      <c r="H2088">
        <v>76</v>
      </c>
      <c r="I2088">
        <v>100</v>
      </c>
      <c r="J2088">
        <v>30</v>
      </c>
    </row>
    <row r="2089" spans="1:10" x14ac:dyDescent="0.25">
      <c r="A2089" t="s">
        <v>22</v>
      </c>
      <c r="B2089" t="s">
        <v>20</v>
      </c>
      <c r="C2089" t="s">
        <v>18</v>
      </c>
      <c r="D2089" t="s">
        <v>17</v>
      </c>
      <c r="E2089">
        <v>0.57352941176470495</v>
      </c>
      <c r="F2089">
        <v>0.79880491559705802</v>
      </c>
      <c r="G2089">
        <v>83.764594316482501</v>
      </c>
      <c r="H2089">
        <v>78</v>
      </c>
      <c r="I2089">
        <v>109</v>
      </c>
      <c r="J2089">
        <v>30</v>
      </c>
    </row>
    <row r="2090" spans="1:10" x14ac:dyDescent="0.25">
      <c r="A2090" t="s">
        <v>22</v>
      </c>
      <c r="B2090" t="s">
        <v>20</v>
      </c>
      <c r="C2090" t="s">
        <v>18</v>
      </c>
      <c r="D2090" t="s">
        <v>17</v>
      </c>
      <c r="E2090">
        <v>0.58823529411764697</v>
      </c>
      <c r="F2090">
        <v>0.79900854203088201</v>
      </c>
      <c r="G2090">
        <v>83.878552675247093</v>
      </c>
      <c r="H2090">
        <v>81</v>
      </c>
      <c r="I2090">
        <v>117</v>
      </c>
      <c r="J2090">
        <v>30</v>
      </c>
    </row>
    <row r="2091" spans="1:10" x14ac:dyDescent="0.25">
      <c r="A2091" t="s">
        <v>22</v>
      </c>
      <c r="B2091" t="s">
        <v>20</v>
      </c>
      <c r="C2091" t="s">
        <v>18</v>
      </c>
      <c r="D2091" t="s">
        <v>17</v>
      </c>
      <c r="E2091">
        <v>0.69117647058823495</v>
      </c>
      <c r="F2091">
        <v>0.81219214132499995</v>
      </c>
      <c r="G2091">
        <v>84.029589414596501</v>
      </c>
      <c r="H2091">
        <v>81</v>
      </c>
      <c r="I2091">
        <v>113</v>
      </c>
      <c r="J2091">
        <v>30</v>
      </c>
    </row>
    <row r="2092" spans="1:10" x14ac:dyDescent="0.25">
      <c r="A2092" t="s">
        <v>22</v>
      </c>
      <c r="B2092" t="s">
        <v>20</v>
      </c>
      <c r="C2092" t="s">
        <v>18</v>
      </c>
      <c r="D2092" t="s">
        <v>17</v>
      </c>
      <c r="E2092">
        <v>0.55882352941176405</v>
      </c>
      <c r="F2092">
        <v>0.77690454145441101</v>
      </c>
      <c r="G2092">
        <v>84.459704160690293</v>
      </c>
      <c r="H2092">
        <v>72</v>
      </c>
      <c r="I2092">
        <v>97</v>
      </c>
      <c r="J2092">
        <v>30</v>
      </c>
    </row>
    <row r="2093" spans="1:10" x14ac:dyDescent="0.25">
      <c r="A2093" t="s">
        <v>22</v>
      </c>
      <c r="B2093" t="s">
        <v>20</v>
      </c>
      <c r="C2093" t="s">
        <v>18</v>
      </c>
      <c r="D2093" t="s">
        <v>17</v>
      </c>
      <c r="E2093">
        <v>0.66176470588235203</v>
      </c>
      <c r="F2093">
        <v>0.78485143794411705</v>
      </c>
      <c r="G2093">
        <v>84.527237176895099</v>
      </c>
      <c r="H2093">
        <v>101</v>
      </c>
      <c r="I2093">
        <v>138</v>
      </c>
      <c r="J2093">
        <v>30</v>
      </c>
    </row>
    <row r="2094" spans="1:10" x14ac:dyDescent="0.25">
      <c r="A2094" t="s">
        <v>22</v>
      </c>
      <c r="B2094" t="s">
        <v>20</v>
      </c>
      <c r="C2094" t="s">
        <v>18</v>
      </c>
      <c r="D2094" t="s">
        <v>17</v>
      </c>
      <c r="E2094">
        <v>0.57352941176470495</v>
      </c>
      <c r="F2094">
        <v>0.77009494191764705</v>
      </c>
      <c r="G2094">
        <v>85.394832849502507</v>
      </c>
      <c r="H2094">
        <v>100</v>
      </c>
      <c r="I2094">
        <v>129</v>
      </c>
      <c r="J2094">
        <v>30</v>
      </c>
    </row>
    <row r="2095" spans="1:10" x14ac:dyDescent="0.25">
      <c r="A2095" t="s">
        <v>22</v>
      </c>
      <c r="B2095" t="s">
        <v>20</v>
      </c>
      <c r="C2095" t="s">
        <v>18</v>
      </c>
      <c r="D2095" t="s">
        <v>17</v>
      </c>
      <c r="E2095">
        <v>0.57352941176470495</v>
      </c>
      <c r="F2095">
        <v>0.79312454716323499</v>
      </c>
      <c r="G2095">
        <v>85.480140447616506</v>
      </c>
      <c r="H2095">
        <v>80</v>
      </c>
      <c r="I2095">
        <v>108</v>
      </c>
      <c r="J2095">
        <v>30</v>
      </c>
    </row>
    <row r="2096" spans="1:10" x14ac:dyDescent="0.25">
      <c r="A2096" t="s">
        <v>22</v>
      </c>
      <c r="B2096" t="s">
        <v>20</v>
      </c>
      <c r="C2096" t="s">
        <v>18</v>
      </c>
      <c r="D2096" t="s">
        <v>17</v>
      </c>
      <c r="E2096">
        <v>0.57352941176470495</v>
      </c>
      <c r="F2096">
        <v>0.76908985158235299</v>
      </c>
      <c r="G2096">
        <v>85.619036674499498</v>
      </c>
      <c r="H2096">
        <v>89</v>
      </c>
      <c r="I2096">
        <v>117</v>
      </c>
      <c r="J2096">
        <v>30</v>
      </c>
    </row>
    <row r="2097" spans="1:10" x14ac:dyDescent="0.25">
      <c r="A2097" t="s">
        <v>22</v>
      </c>
      <c r="B2097" t="s">
        <v>20</v>
      </c>
      <c r="C2097" t="s">
        <v>18</v>
      </c>
      <c r="D2097" t="s">
        <v>17</v>
      </c>
      <c r="E2097">
        <v>0.58823529411764697</v>
      </c>
      <c r="F2097">
        <v>0.79689264157352901</v>
      </c>
      <c r="G2097">
        <v>85.787034511566105</v>
      </c>
      <c r="H2097">
        <v>89</v>
      </c>
      <c r="I2097">
        <v>121</v>
      </c>
      <c r="J2097">
        <v>30</v>
      </c>
    </row>
    <row r="2098" spans="1:10" x14ac:dyDescent="0.25">
      <c r="A2098" t="s">
        <v>22</v>
      </c>
      <c r="B2098" t="s">
        <v>20</v>
      </c>
      <c r="C2098" t="s">
        <v>18</v>
      </c>
      <c r="D2098" t="s">
        <v>17</v>
      </c>
      <c r="E2098">
        <v>0.54411764705882304</v>
      </c>
      <c r="F2098">
        <v>0.77363015438823501</v>
      </c>
      <c r="G2098">
        <v>86.327067136764498</v>
      </c>
      <c r="H2098">
        <v>90</v>
      </c>
      <c r="I2098">
        <v>121</v>
      </c>
      <c r="J2098">
        <v>30</v>
      </c>
    </row>
    <row r="2099" spans="1:10" x14ac:dyDescent="0.25">
      <c r="A2099" t="s">
        <v>22</v>
      </c>
      <c r="B2099" t="s">
        <v>20</v>
      </c>
      <c r="C2099" t="s">
        <v>18</v>
      </c>
      <c r="D2099" t="s">
        <v>17</v>
      </c>
      <c r="E2099">
        <v>0.66176470588235203</v>
      </c>
      <c r="F2099">
        <v>0.79213233587352905</v>
      </c>
      <c r="G2099">
        <v>86.934691429138098</v>
      </c>
      <c r="H2099">
        <v>101</v>
      </c>
      <c r="I2099">
        <v>141</v>
      </c>
      <c r="J2099">
        <v>30</v>
      </c>
    </row>
    <row r="2100" spans="1:10" x14ac:dyDescent="0.25">
      <c r="A2100" t="s">
        <v>22</v>
      </c>
      <c r="B2100" t="s">
        <v>20</v>
      </c>
      <c r="C2100" t="s">
        <v>18</v>
      </c>
      <c r="D2100" t="s">
        <v>17</v>
      </c>
      <c r="E2100">
        <v>0.61764705882352899</v>
      </c>
      <c r="F2100">
        <v>0.78629715971323499</v>
      </c>
      <c r="G2100">
        <v>87.182311534881507</v>
      </c>
      <c r="H2100">
        <v>96</v>
      </c>
      <c r="I2100">
        <v>122</v>
      </c>
      <c r="J2100">
        <v>30</v>
      </c>
    </row>
    <row r="2101" spans="1:10" x14ac:dyDescent="0.25">
      <c r="A2101" t="s">
        <v>22</v>
      </c>
      <c r="B2101" t="s">
        <v>20</v>
      </c>
      <c r="C2101" t="s">
        <v>18</v>
      </c>
      <c r="D2101" t="s">
        <v>17</v>
      </c>
      <c r="E2101">
        <v>0.64705882352941102</v>
      </c>
      <c r="F2101">
        <v>0.79543750433823501</v>
      </c>
      <c r="G2101">
        <v>87.262153625488196</v>
      </c>
      <c r="H2101">
        <v>102</v>
      </c>
      <c r="I2101">
        <v>143</v>
      </c>
      <c r="J2101">
        <v>30</v>
      </c>
    </row>
    <row r="2102" spans="1:10" x14ac:dyDescent="0.25">
      <c r="A2102" t="s">
        <v>22</v>
      </c>
      <c r="B2102" t="s">
        <v>21</v>
      </c>
      <c r="C2102" t="s">
        <v>12</v>
      </c>
      <c r="D2102" t="s">
        <v>13</v>
      </c>
      <c r="E2102">
        <v>0.75</v>
      </c>
      <c r="F2102">
        <v>0.82272419337500002</v>
      </c>
      <c r="G2102">
        <v>1.7643735408782899</v>
      </c>
      <c r="H2102">
        <v>36</v>
      </c>
      <c r="I2102">
        <v>41</v>
      </c>
      <c r="J2102">
        <v>30</v>
      </c>
    </row>
    <row r="2103" spans="1:10" x14ac:dyDescent="0.25">
      <c r="A2103" t="s">
        <v>22</v>
      </c>
      <c r="B2103" t="s">
        <v>21</v>
      </c>
      <c r="C2103" t="s">
        <v>12</v>
      </c>
      <c r="D2103" t="s">
        <v>13</v>
      </c>
      <c r="E2103">
        <v>0.72058823529411697</v>
      </c>
      <c r="F2103">
        <v>0.80677876061029397</v>
      </c>
      <c r="G2103">
        <v>2.0181310176849299</v>
      </c>
      <c r="H2103">
        <v>38</v>
      </c>
      <c r="I2103">
        <v>46</v>
      </c>
      <c r="J2103">
        <v>30</v>
      </c>
    </row>
    <row r="2104" spans="1:10" x14ac:dyDescent="0.25">
      <c r="A2104" t="s">
        <v>22</v>
      </c>
      <c r="B2104" t="s">
        <v>21</v>
      </c>
      <c r="C2104" t="s">
        <v>12</v>
      </c>
      <c r="D2104" t="s">
        <v>13</v>
      </c>
      <c r="E2104">
        <v>0.79411764705882304</v>
      </c>
      <c r="F2104">
        <v>0.83572068653823495</v>
      </c>
      <c r="G2104">
        <v>2.0739750862121502</v>
      </c>
      <c r="H2104">
        <v>39</v>
      </c>
      <c r="I2104">
        <v>47</v>
      </c>
      <c r="J2104">
        <v>30</v>
      </c>
    </row>
    <row r="2105" spans="1:10" x14ac:dyDescent="0.25">
      <c r="A2105" t="s">
        <v>22</v>
      </c>
      <c r="B2105" t="s">
        <v>21</v>
      </c>
      <c r="C2105" t="s">
        <v>12</v>
      </c>
      <c r="D2105" t="s">
        <v>13</v>
      </c>
      <c r="E2105">
        <v>0.82352941176470495</v>
      </c>
      <c r="F2105">
        <v>0.86600955214264697</v>
      </c>
      <c r="G2105">
        <v>2.66726469993591</v>
      </c>
      <c r="H2105">
        <v>38</v>
      </c>
      <c r="I2105">
        <v>45</v>
      </c>
      <c r="J2105">
        <v>30</v>
      </c>
    </row>
    <row r="2106" spans="1:10" x14ac:dyDescent="0.25">
      <c r="A2106" t="s">
        <v>22</v>
      </c>
      <c r="B2106" t="s">
        <v>21</v>
      </c>
      <c r="C2106" t="s">
        <v>12</v>
      </c>
      <c r="D2106" t="s">
        <v>13</v>
      </c>
      <c r="E2106">
        <v>0.80882352941176405</v>
      </c>
      <c r="F2106">
        <v>0.87217656833235302</v>
      </c>
      <c r="G2106">
        <v>2.81519150733947</v>
      </c>
      <c r="H2106">
        <v>38</v>
      </c>
      <c r="I2106">
        <v>45</v>
      </c>
      <c r="J2106">
        <v>30</v>
      </c>
    </row>
    <row r="2107" spans="1:10" x14ac:dyDescent="0.25">
      <c r="A2107" t="s">
        <v>22</v>
      </c>
      <c r="B2107" t="s">
        <v>21</v>
      </c>
      <c r="C2107" t="s">
        <v>12</v>
      </c>
      <c r="D2107" t="s">
        <v>13</v>
      </c>
      <c r="E2107">
        <v>0.76470588235294101</v>
      </c>
      <c r="F2107">
        <v>0.83477153824411698</v>
      </c>
      <c r="G2107">
        <v>2.9131491184234601</v>
      </c>
      <c r="H2107">
        <v>29</v>
      </c>
      <c r="I2107">
        <v>35</v>
      </c>
      <c r="J2107">
        <v>30</v>
      </c>
    </row>
    <row r="2108" spans="1:10" x14ac:dyDescent="0.25">
      <c r="A2108" t="s">
        <v>22</v>
      </c>
      <c r="B2108" t="s">
        <v>21</v>
      </c>
      <c r="C2108" t="s">
        <v>12</v>
      </c>
      <c r="D2108" t="s">
        <v>13</v>
      </c>
      <c r="E2108">
        <v>0.79411764705882304</v>
      </c>
      <c r="F2108">
        <v>0.86587369345882303</v>
      </c>
      <c r="G2108">
        <v>3.01310110092163</v>
      </c>
      <c r="H2108">
        <v>35</v>
      </c>
      <c r="I2108">
        <v>38</v>
      </c>
      <c r="J2108">
        <v>30</v>
      </c>
    </row>
    <row r="2109" spans="1:10" x14ac:dyDescent="0.25">
      <c r="A2109" t="s">
        <v>22</v>
      </c>
      <c r="B2109" t="s">
        <v>21</v>
      </c>
      <c r="C2109" t="s">
        <v>12</v>
      </c>
      <c r="D2109" t="s">
        <v>13</v>
      </c>
      <c r="E2109">
        <v>0.82352941176470495</v>
      </c>
      <c r="F2109">
        <v>0.87217109885588195</v>
      </c>
      <c r="G2109">
        <v>3.1095328330993599</v>
      </c>
      <c r="H2109">
        <v>40</v>
      </c>
      <c r="I2109">
        <v>52</v>
      </c>
      <c r="J2109">
        <v>30</v>
      </c>
    </row>
    <row r="2110" spans="1:10" x14ac:dyDescent="0.25">
      <c r="A2110" t="s">
        <v>22</v>
      </c>
      <c r="B2110" t="s">
        <v>21</v>
      </c>
      <c r="C2110" t="s">
        <v>12</v>
      </c>
      <c r="D2110" t="s">
        <v>13</v>
      </c>
      <c r="E2110">
        <v>0.85294117647058798</v>
      </c>
      <c r="F2110">
        <v>0.90431979472205803</v>
      </c>
      <c r="G2110">
        <v>3.25043725967407</v>
      </c>
      <c r="H2110">
        <v>43</v>
      </c>
      <c r="I2110">
        <v>54</v>
      </c>
      <c r="J2110">
        <v>30</v>
      </c>
    </row>
    <row r="2111" spans="1:10" x14ac:dyDescent="0.25">
      <c r="A2111" t="s">
        <v>22</v>
      </c>
      <c r="B2111" t="s">
        <v>21</v>
      </c>
      <c r="C2111" t="s">
        <v>12</v>
      </c>
      <c r="D2111" t="s">
        <v>13</v>
      </c>
      <c r="E2111">
        <v>0.82352941176470495</v>
      </c>
      <c r="F2111">
        <v>0.86370212403382296</v>
      </c>
      <c r="G2111">
        <v>3.2736282348632799</v>
      </c>
      <c r="H2111">
        <v>40</v>
      </c>
      <c r="I2111">
        <v>41</v>
      </c>
      <c r="J2111">
        <v>30</v>
      </c>
    </row>
    <row r="2112" spans="1:10" x14ac:dyDescent="0.25">
      <c r="A2112" t="s">
        <v>22</v>
      </c>
      <c r="B2112" t="s">
        <v>21</v>
      </c>
      <c r="C2112" t="s">
        <v>12</v>
      </c>
      <c r="D2112" t="s">
        <v>13</v>
      </c>
      <c r="E2112">
        <v>0.82352941176470495</v>
      </c>
      <c r="F2112">
        <v>0.86790782439117597</v>
      </c>
      <c r="G2112">
        <v>3.40179443359375</v>
      </c>
      <c r="H2112">
        <v>43</v>
      </c>
      <c r="I2112">
        <v>48</v>
      </c>
      <c r="J2112">
        <v>30</v>
      </c>
    </row>
    <row r="2113" spans="1:10" x14ac:dyDescent="0.25">
      <c r="A2113" t="s">
        <v>22</v>
      </c>
      <c r="B2113" t="s">
        <v>21</v>
      </c>
      <c r="C2113" t="s">
        <v>12</v>
      </c>
      <c r="D2113" t="s">
        <v>13</v>
      </c>
      <c r="E2113">
        <v>0.76470588235294101</v>
      </c>
      <c r="F2113">
        <v>0.83701715536323495</v>
      </c>
      <c r="G2113">
        <v>3.4093484878539999</v>
      </c>
      <c r="H2113">
        <v>34</v>
      </c>
      <c r="I2113">
        <v>39</v>
      </c>
      <c r="J2113">
        <v>30</v>
      </c>
    </row>
    <row r="2114" spans="1:10" x14ac:dyDescent="0.25">
      <c r="A2114" t="s">
        <v>22</v>
      </c>
      <c r="B2114" t="s">
        <v>21</v>
      </c>
      <c r="C2114" t="s">
        <v>12</v>
      </c>
      <c r="D2114" t="s">
        <v>13</v>
      </c>
      <c r="E2114">
        <v>0.79411764705882304</v>
      </c>
      <c r="F2114">
        <v>0.87497359114411699</v>
      </c>
      <c r="G2114">
        <v>3.4580037593841499</v>
      </c>
      <c r="H2114">
        <v>39</v>
      </c>
      <c r="I2114">
        <v>47</v>
      </c>
      <c r="J2114">
        <v>30</v>
      </c>
    </row>
    <row r="2115" spans="1:10" x14ac:dyDescent="0.25">
      <c r="A2115" t="s">
        <v>22</v>
      </c>
      <c r="B2115" t="s">
        <v>21</v>
      </c>
      <c r="C2115" t="s">
        <v>12</v>
      </c>
      <c r="D2115" t="s">
        <v>13</v>
      </c>
      <c r="E2115">
        <v>0.77941176470588203</v>
      </c>
      <c r="F2115">
        <v>0.87280147071911696</v>
      </c>
      <c r="G2115">
        <v>3.5170416831970202</v>
      </c>
      <c r="H2115">
        <v>41</v>
      </c>
      <c r="I2115">
        <v>51</v>
      </c>
      <c r="J2115">
        <v>30</v>
      </c>
    </row>
    <row r="2116" spans="1:10" x14ac:dyDescent="0.25">
      <c r="A2116" t="s">
        <v>22</v>
      </c>
      <c r="B2116" t="s">
        <v>21</v>
      </c>
      <c r="C2116" t="s">
        <v>12</v>
      </c>
      <c r="D2116" t="s">
        <v>13</v>
      </c>
      <c r="E2116">
        <v>0.77941176470588203</v>
      </c>
      <c r="F2116">
        <v>0.83821543483235295</v>
      </c>
      <c r="G2116">
        <v>3.62455081939697</v>
      </c>
      <c r="H2116">
        <v>40</v>
      </c>
      <c r="I2116">
        <v>48</v>
      </c>
      <c r="J2116">
        <v>30</v>
      </c>
    </row>
    <row r="2117" spans="1:10" x14ac:dyDescent="0.25">
      <c r="A2117" t="s">
        <v>22</v>
      </c>
      <c r="B2117" t="s">
        <v>21</v>
      </c>
      <c r="C2117" t="s">
        <v>12</v>
      </c>
      <c r="D2117" t="s">
        <v>13</v>
      </c>
      <c r="E2117">
        <v>0.86764705882352899</v>
      </c>
      <c r="F2117">
        <v>0.88835289328235201</v>
      </c>
      <c r="G2117">
        <v>3.6635057926177899</v>
      </c>
      <c r="H2117">
        <v>39</v>
      </c>
      <c r="I2117">
        <v>51</v>
      </c>
      <c r="J2117">
        <v>30</v>
      </c>
    </row>
    <row r="2118" spans="1:10" x14ac:dyDescent="0.25">
      <c r="A2118" t="s">
        <v>22</v>
      </c>
      <c r="B2118" t="s">
        <v>21</v>
      </c>
      <c r="C2118" t="s">
        <v>12</v>
      </c>
      <c r="D2118" t="s">
        <v>13</v>
      </c>
      <c r="E2118">
        <v>0.83823529411764697</v>
      </c>
      <c r="F2118">
        <v>0.87094959873676403</v>
      </c>
      <c r="G2118">
        <v>3.7229976654052699</v>
      </c>
      <c r="H2118">
        <v>40</v>
      </c>
      <c r="I2118">
        <v>54</v>
      </c>
      <c r="J2118">
        <v>30</v>
      </c>
    </row>
    <row r="2119" spans="1:10" x14ac:dyDescent="0.25">
      <c r="A2119" t="s">
        <v>22</v>
      </c>
      <c r="B2119" t="s">
        <v>21</v>
      </c>
      <c r="C2119" t="s">
        <v>12</v>
      </c>
      <c r="D2119" t="s">
        <v>13</v>
      </c>
      <c r="E2119">
        <v>0.77941176470588203</v>
      </c>
      <c r="F2119">
        <v>0.840693804985294</v>
      </c>
      <c r="G2119">
        <v>3.7277135848999001</v>
      </c>
      <c r="H2119">
        <v>41</v>
      </c>
      <c r="I2119">
        <v>46</v>
      </c>
      <c r="J2119">
        <v>30</v>
      </c>
    </row>
    <row r="2120" spans="1:10" x14ac:dyDescent="0.25">
      <c r="A2120" t="s">
        <v>22</v>
      </c>
      <c r="B2120" t="s">
        <v>21</v>
      </c>
      <c r="C2120" t="s">
        <v>12</v>
      </c>
      <c r="D2120" t="s">
        <v>13</v>
      </c>
      <c r="E2120">
        <v>0.82352941176470495</v>
      </c>
      <c r="F2120">
        <v>0.88620790978235298</v>
      </c>
      <c r="G2120">
        <v>3.7356793880462602</v>
      </c>
      <c r="H2120">
        <v>39</v>
      </c>
      <c r="I2120">
        <v>50</v>
      </c>
      <c r="J2120">
        <v>30</v>
      </c>
    </row>
    <row r="2121" spans="1:10" x14ac:dyDescent="0.25">
      <c r="A2121" t="s">
        <v>22</v>
      </c>
      <c r="B2121" t="s">
        <v>21</v>
      </c>
      <c r="C2121" t="s">
        <v>12</v>
      </c>
      <c r="D2121" t="s">
        <v>13</v>
      </c>
      <c r="E2121">
        <v>0.75</v>
      </c>
      <c r="F2121">
        <v>0.817075630557352</v>
      </c>
      <c r="G2121">
        <v>3.72015953063964</v>
      </c>
      <c r="H2121">
        <v>37</v>
      </c>
      <c r="I2121">
        <v>46</v>
      </c>
      <c r="J2121">
        <v>30</v>
      </c>
    </row>
    <row r="2122" spans="1:10" x14ac:dyDescent="0.25">
      <c r="A2122" t="s">
        <v>22</v>
      </c>
      <c r="B2122" t="s">
        <v>21</v>
      </c>
      <c r="C2122" t="s">
        <v>12</v>
      </c>
      <c r="D2122" t="s">
        <v>13</v>
      </c>
      <c r="E2122">
        <v>0.70588235294117596</v>
      </c>
      <c r="F2122">
        <v>0.78097091482499903</v>
      </c>
      <c r="G2122">
        <v>3.73814702033996</v>
      </c>
      <c r="H2122">
        <v>43</v>
      </c>
      <c r="I2122">
        <v>46</v>
      </c>
      <c r="J2122">
        <v>30</v>
      </c>
    </row>
    <row r="2123" spans="1:10" x14ac:dyDescent="0.25">
      <c r="A2123" t="s">
        <v>22</v>
      </c>
      <c r="B2123" t="s">
        <v>21</v>
      </c>
      <c r="C2123" t="s">
        <v>12</v>
      </c>
      <c r="D2123" t="s">
        <v>13</v>
      </c>
      <c r="E2123">
        <v>0.82352941176470495</v>
      </c>
      <c r="F2123">
        <v>0.87267491349558801</v>
      </c>
      <c r="G2123">
        <v>3.7305929660797101</v>
      </c>
      <c r="H2123">
        <v>41</v>
      </c>
      <c r="I2123">
        <v>51</v>
      </c>
      <c r="J2123">
        <v>30</v>
      </c>
    </row>
    <row r="2124" spans="1:10" x14ac:dyDescent="0.25">
      <c r="A2124" t="s">
        <v>22</v>
      </c>
      <c r="B2124" t="s">
        <v>21</v>
      </c>
      <c r="C2124" t="s">
        <v>12</v>
      </c>
      <c r="D2124" t="s">
        <v>13</v>
      </c>
      <c r="E2124">
        <v>0.82352941176470495</v>
      </c>
      <c r="F2124">
        <v>0.891866872198529</v>
      </c>
      <c r="G2124">
        <v>3.76201176643371</v>
      </c>
      <c r="H2124">
        <v>44</v>
      </c>
      <c r="I2124">
        <v>55</v>
      </c>
      <c r="J2124">
        <v>30</v>
      </c>
    </row>
    <row r="2125" spans="1:10" x14ac:dyDescent="0.25">
      <c r="A2125" t="s">
        <v>22</v>
      </c>
      <c r="B2125" t="s">
        <v>21</v>
      </c>
      <c r="C2125" t="s">
        <v>12</v>
      </c>
      <c r="D2125" t="s">
        <v>13</v>
      </c>
      <c r="E2125">
        <v>0.91176470588235203</v>
      </c>
      <c r="F2125">
        <v>0.94246609608088205</v>
      </c>
      <c r="G2125">
        <v>3.7791583538055402</v>
      </c>
      <c r="H2125">
        <v>45</v>
      </c>
      <c r="I2125">
        <v>58</v>
      </c>
      <c r="J2125">
        <v>30</v>
      </c>
    </row>
    <row r="2126" spans="1:10" x14ac:dyDescent="0.25">
      <c r="A2126" t="s">
        <v>22</v>
      </c>
      <c r="B2126" t="s">
        <v>21</v>
      </c>
      <c r="C2126" t="s">
        <v>12</v>
      </c>
      <c r="D2126" t="s">
        <v>13</v>
      </c>
      <c r="E2126">
        <v>0.72058823529411697</v>
      </c>
      <c r="F2126">
        <v>0.797422129848529</v>
      </c>
      <c r="G2126">
        <v>3.7974941730499201</v>
      </c>
      <c r="H2126">
        <v>44</v>
      </c>
      <c r="I2126">
        <v>50</v>
      </c>
      <c r="J2126">
        <v>30</v>
      </c>
    </row>
    <row r="2127" spans="1:10" x14ac:dyDescent="0.25">
      <c r="A2127" t="s">
        <v>22</v>
      </c>
      <c r="B2127" t="s">
        <v>21</v>
      </c>
      <c r="C2127" t="s">
        <v>12</v>
      </c>
      <c r="D2127" t="s">
        <v>13</v>
      </c>
      <c r="E2127">
        <v>0.79411764705882304</v>
      </c>
      <c r="F2127">
        <v>0.83143837848235203</v>
      </c>
      <c r="G2127">
        <v>3.7716042995452801</v>
      </c>
      <c r="H2127">
        <v>30</v>
      </c>
      <c r="I2127">
        <v>37</v>
      </c>
      <c r="J2127">
        <v>30</v>
      </c>
    </row>
    <row r="2128" spans="1:10" x14ac:dyDescent="0.25">
      <c r="A2128" t="s">
        <v>22</v>
      </c>
      <c r="B2128" t="s">
        <v>21</v>
      </c>
      <c r="C2128" t="s">
        <v>12</v>
      </c>
      <c r="D2128" t="s">
        <v>13</v>
      </c>
      <c r="E2128">
        <v>0.79411764705882304</v>
      </c>
      <c r="F2128">
        <v>0.854422265179411</v>
      </c>
      <c r="G2128">
        <v>3.80185747146606</v>
      </c>
      <c r="H2128">
        <v>40</v>
      </c>
      <c r="I2128">
        <v>52</v>
      </c>
      <c r="J2128">
        <v>30</v>
      </c>
    </row>
    <row r="2129" spans="1:10" x14ac:dyDescent="0.25">
      <c r="A2129" t="s">
        <v>22</v>
      </c>
      <c r="B2129" t="s">
        <v>21</v>
      </c>
      <c r="C2129" t="s">
        <v>12</v>
      </c>
      <c r="D2129" t="s">
        <v>13</v>
      </c>
      <c r="E2129">
        <v>0.79411764705882304</v>
      </c>
      <c r="F2129">
        <v>0.84983417266176398</v>
      </c>
      <c r="G2129">
        <v>3.7943034172058101</v>
      </c>
      <c r="H2129">
        <v>38</v>
      </c>
      <c r="I2129">
        <v>48</v>
      </c>
      <c r="J2129">
        <v>30</v>
      </c>
    </row>
    <row r="2130" spans="1:10" x14ac:dyDescent="0.25">
      <c r="A2130" t="s">
        <v>22</v>
      </c>
      <c r="B2130" t="s">
        <v>21</v>
      </c>
      <c r="C2130" t="s">
        <v>12</v>
      </c>
      <c r="D2130" t="s">
        <v>13</v>
      </c>
      <c r="E2130">
        <v>0.79411764705882304</v>
      </c>
      <c r="F2130">
        <v>0.87150723538529395</v>
      </c>
      <c r="G2130">
        <v>3.7912859916686998</v>
      </c>
      <c r="H2130">
        <v>42</v>
      </c>
      <c r="I2130">
        <v>52</v>
      </c>
      <c r="J2130">
        <v>30</v>
      </c>
    </row>
    <row r="2131" spans="1:10" x14ac:dyDescent="0.25">
      <c r="A2131" t="s">
        <v>22</v>
      </c>
      <c r="B2131" t="s">
        <v>21</v>
      </c>
      <c r="C2131" t="s">
        <v>12</v>
      </c>
      <c r="D2131" t="s">
        <v>13</v>
      </c>
      <c r="E2131">
        <v>0.72058823529411697</v>
      </c>
      <c r="F2131">
        <v>0.82058194706323495</v>
      </c>
      <c r="G2131">
        <v>3.8099596500396702</v>
      </c>
      <c r="H2131">
        <v>38</v>
      </c>
      <c r="I2131">
        <v>48</v>
      </c>
      <c r="J2131">
        <v>30</v>
      </c>
    </row>
    <row r="2132" spans="1:10" x14ac:dyDescent="0.25">
      <c r="A2132" t="s">
        <v>22</v>
      </c>
      <c r="B2132" t="s">
        <v>21</v>
      </c>
      <c r="C2132" t="s">
        <v>12</v>
      </c>
      <c r="D2132" t="s">
        <v>14</v>
      </c>
      <c r="E2132">
        <v>0.63235294117647001</v>
      </c>
      <c r="F2132">
        <v>0.81220641541323502</v>
      </c>
      <c r="G2132">
        <v>7.09889793395996</v>
      </c>
      <c r="H2132">
        <v>116</v>
      </c>
      <c r="I2132">
        <v>111</v>
      </c>
      <c r="J2132">
        <v>30</v>
      </c>
    </row>
    <row r="2133" spans="1:10" x14ac:dyDescent="0.25">
      <c r="A2133" t="s">
        <v>22</v>
      </c>
      <c r="B2133" t="s">
        <v>21</v>
      </c>
      <c r="C2133" t="s">
        <v>12</v>
      </c>
      <c r="D2133" t="s">
        <v>14</v>
      </c>
      <c r="E2133">
        <v>0.72058823529411697</v>
      </c>
      <c r="F2133">
        <v>0.83080105384117597</v>
      </c>
      <c r="G2133">
        <v>7.5109698772430402</v>
      </c>
      <c r="H2133">
        <v>112</v>
      </c>
      <c r="I2133">
        <v>108</v>
      </c>
      <c r="J2133">
        <v>30</v>
      </c>
    </row>
    <row r="2134" spans="1:10" x14ac:dyDescent="0.25">
      <c r="A2134" t="s">
        <v>22</v>
      </c>
      <c r="B2134" t="s">
        <v>21</v>
      </c>
      <c r="C2134" t="s">
        <v>12</v>
      </c>
      <c r="D2134" t="s">
        <v>14</v>
      </c>
      <c r="E2134">
        <v>0.5</v>
      </c>
      <c r="F2134">
        <v>0.76450818136176402</v>
      </c>
      <c r="G2134">
        <v>8.1535778045654297</v>
      </c>
      <c r="H2134">
        <v>114</v>
      </c>
      <c r="I2134">
        <v>111</v>
      </c>
      <c r="J2134">
        <v>30</v>
      </c>
    </row>
    <row r="2135" spans="1:10" x14ac:dyDescent="0.25">
      <c r="A2135" t="s">
        <v>22</v>
      </c>
      <c r="B2135" t="s">
        <v>21</v>
      </c>
      <c r="C2135" t="s">
        <v>12</v>
      </c>
      <c r="D2135" t="s">
        <v>14</v>
      </c>
      <c r="E2135">
        <v>0.61764705882352899</v>
      </c>
      <c r="F2135">
        <v>0.81366145774411702</v>
      </c>
      <c r="G2135">
        <v>8.7761907577514595</v>
      </c>
      <c r="H2135">
        <v>121</v>
      </c>
      <c r="I2135">
        <v>117</v>
      </c>
      <c r="J2135">
        <v>30</v>
      </c>
    </row>
    <row r="2136" spans="1:10" x14ac:dyDescent="0.25">
      <c r="A2136" t="s">
        <v>22</v>
      </c>
      <c r="B2136" t="s">
        <v>21</v>
      </c>
      <c r="C2136" t="s">
        <v>12</v>
      </c>
      <c r="D2136" t="s">
        <v>14</v>
      </c>
      <c r="E2136">
        <v>0.63235294117647001</v>
      </c>
      <c r="F2136">
        <v>0.83732648501470597</v>
      </c>
      <c r="G2136">
        <v>9.2854907512664795</v>
      </c>
      <c r="H2136">
        <v>125</v>
      </c>
      <c r="I2136">
        <v>121</v>
      </c>
      <c r="J2136">
        <v>30</v>
      </c>
    </row>
    <row r="2137" spans="1:10" x14ac:dyDescent="0.25">
      <c r="A2137" t="s">
        <v>22</v>
      </c>
      <c r="B2137" t="s">
        <v>21</v>
      </c>
      <c r="C2137" t="s">
        <v>12</v>
      </c>
      <c r="D2137" t="s">
        <v>14</v>
      </c>
      <c r="E2137">
        <v>0.61764705882352899</v>
      </c>
      <c r="F2137">
        <v>0.83217257931764699</v>
      </c>
      <c r="G2137">
        <v>9.6541297435760498</v>
      </c>
      <c r="H2137">
        <v>121</v>
      </c>
      <c r="I2137">
        <v>117</v>
      </c>
      <c r="J2137">
        <v>30</v>
      </c>
    </row>
    <row r="2138" spans="1:10" x14ac:dyDescent="0.25">
      <c r="A2138" t="s">
        <v>22</v>
      </c>
      <c r="B2138" t="s">
        <v>21</v>
      </c>
      <c r="C2138" t="s">
        <v>12</v>
      </c>
      <c r="D2138" t="s">
        <v>14</v>
      </c>
      <c r="E2138">
        <v>0.48529411764705799</v>
      </c>
      <c r="F2138">
        <v>0.78229755850735305</v>
      </c>
      <c r="G2138">
        <v>10.075987339019701</v>
      </c>
      <c r="H2138">
        <v>125</v>
      </c>
      <c r="I2138">
        <v>124</v>
      </c>
      <c r="J2138">
        <v>30</v>
      </c>
    </row>
    <row r="2139" spans="1:10" x14ac:dyDescent="0.25">
      <c r="A2139" t="s">
        <v>22</v>
      </c>
      <c r="B2139" t="s">
        <v>21</v>
      </c>
      <c r="C2139" t="s">
        <v>12</v>
      </c>
      <c r="D2139" t="s">
        <v>14</v>
      </c>
      <c r="E2139">
        <v>0.55882352941176405</v>
      </c>
      <c r="F2139">
        <v>0.77772441751176402</v>
      </c>
      <c r="G2139">
        <v>12.6925361156463</v>
      </c>
      <c r="H2139">
        <v>148</v>
      </c>
      <c r="I2139">
        <v>147</v>
      </c>
      <c r="J2139">
        <v>30</v>
      </c>
    </row>
    <row r="2140" spans="1:10" x14ac:dyDescent="0.25">
      <c r="A2140" t="s">
        <v>22</v>
      </c>
      <c r="B2140" t="s">
        <v>21</v>
      </c>
      <c r="C2140" t="s">
        <v>12</v>
      </c>
      <c r="D2140" t="s">
        <v>14</v>
      </c>
      <c r="E2140">
        <v>0.33823529411764702</v>
      </c>
      <c r="F2140">
        <v>0.78002995419705801</v>
      </c>
      <c r="G2140">
        <v>13.2904894351959</v>
      </c>
      <c r="H2140">
        <v>180</v>
      </c>
      <c r="I2140">
        <v>180</v>
      </c>
      <c r="J2140">
        <v>30</v>
      </c>
    </row>
    <row r="2141" spans="1:10" x14ac:dyDescent="0.25">
      <c r="A2141" t="s">
        <v>22</v>
      </c>
      <c r="B2141" t="s">
        <v>21</v>
      </c>
      <c r="C2141" t="s">
        <v>12</v>
      </c>
      <c r="D2141" t="s">
        <v>14</v>
      </c>
      <c r="E2141">
        <v>0.55882352941176405</v>
      </c>
      <c r="F2141">
        <v>0.78381109068382304</v>
      </c>
      <c r="G2141">
        <v>14.146134614944399</v>
      </c>
      <c r="H2141">
        <v>172</v>
      </c>
      <c r="I2141">
        <v>172</v>
      </c>
      <c r="J2141">
        <v>30</v>
      </c>
    </row>
    <row r="2142" spans="1:10" x14ac:dyDescent="0.25">
      <c r="A2142" t="s">
        <v>22</v>
      </c>
      <c r="B2142" t="s">
        <v>21</v>
      </c>
      <c r="C2142" t="s">
        <v>12</v>
      </c>
      <c r="D2142" t="s">
        <v>14</v>
      </c>
      <c r="E2142">
        <v>0.51470588235294101</v>
      </c>
      <c r="F2142">
        <v>0.80181187097205797</v>
      </c>
      <c r="G2142">
        <v>14.202510833740201</v>
      </c>
      <c r="H2142">
        <v>183</v>
      </c>
      <c r="I2142">
        <v>183</v>
      </c>
      <c r="J2142">
        <v>30</v>
      </c>
    </row>
    <row r="2143" spans="1:10" x14ac:dyDescent="0.25">
      <c r="A2143" t="s">
        <v>22</v>
      </c>
      <c r="B2143" t="s">
        <v>21</v>
      </c>
      <c r="C2143" t="s">
        <v>12</v>
      </c>
      <c r="D2143" t="s">
        <v>14</v>
      </c>
      <c r="E2143">
        <v>0.47058823529411697</v>
      </c>
      <c r="F2143">
        <v>0.75386134901323498</v>
      </c>
      <c r="G2143">
        <v>14.432908296585</v>
      </c>
      <c r="H2143">
        <v>170</v>
      </c>
      <c r="I2143">
        <v>169</v>
      </c>
      <c r="J2143">
        <v>30</v>
      </c>
    </row>
    <row r="2144" spans="1:10" x14ac:dyDescent="0.25">
      <c r="A2144" t="s">
        <v>22</v>
      </c>
      <c r="B2144" t="s">
        <v>21</v>
      </c>
      <c r="C2144" t="s">
        <v>12</v>
      </c>
      <c r="D2144" t="s">
        <v>14</v>
      </c>
      <c r="E2144">
        <v>0.36764705882352899</v>
      </c>
      <c r="F2144">
        <v>0.77548126051176403</v>
      </c>
      <c r="G2144">
        <v>14.792195796966499</v>
      </c>
      <c r="H2144">
        <v>184</v>
      </c>
      <c r="I2144">
        <v>184</v>
      </c>
      <c r="J2144">
        <v>30</v>
      </c>
    </row>
    <row r="2145" spans="1:10" x14ac:dyDescent="0.25">
      <c r="A2145" t="s">
        <v>22</v>
      </c>
      <c r="B2145" t="s">
        <v>21</v>
      </c>
      <c r="C2145" t="s">
        <v>12</v>
      </c>
      <c r="D2145" t="s">
        <v>14</v>
      </c>
      <c r="E2145">
        <v>0.61764705882352899</v>
      </c>
      <c r="F2145">
        <v>0.78344905995441105</v>
      </c>
      <c r="G2145">
        <v>15.256017923355101</v>
      </c>
      <c r="H2145">
        <v>166</v>
      </c>
      <c r="I2145">
        <v>165</v>
      </c>
      <c r="J2145">
        <v>30</v>
      </c>
    </row>
    <row r="2146" spans="1:10" x14ac:dyDescent="0.25">
      <c r="A2146" t="s">
        <v>22</v>
      </c>
      <c r="B2146" t="s">
        <v>21</v>
      </c>
      <c r="C2146" t="s">
        <v>12</v>
      </c>
      <c r="D2146" t="s">
        <v>14</v>
      </c>
      <c r="E2146">
        <v>0.45588235294117602</v>
      </c>
      <c r="F2146">
        <v>0.76576285969117597</v>
      </c>
      <c r="G2146">
        <v>15.332273244857699</v>
      </c>
      <c r="H2146">
        <v>176</v>
      </c>
      <c r="I2146">
        <v>174</v>
      </c>
      <c r="J2146">
        <v>30</v>
      </c>
    </row>
    <row r="2147" spans="1:10" x14ac:dyDescent="0.25">
      <c r="A2147" t="s">
        <v>22</v>
      </c>
      <c r="B2147" t="s">
        <v>21</v>
      </c>
      <c r="C2147" t="s">
        <v>12</v>
      </c>
      <c r="D2147" t="s">
        <v>14</v>
      </c>
      <c r="E2147">
        <v>0.47058823529411697</v>
      </c>
      <c r="F2147">
        <v>0.78693306861176404</v>
      </c>
      <c r="G2147">
        <v>15.375697374343799</v>
      </c>
      <c r="H2147">
        <v>190</v>
      </c>
      <c r="I2147">
        <v>190</v>
      </c>
      <c r="J2147">
        <v>30</v>
      </c>
    </row>
    <row r="2148" spans="1:10" x14ac:dyDescent="0.25">
      <c r="A2148" t="s">
        <v>22</v>
      </c>
      <c r="B2148" t="s">
        <v>21</v>
      </c>
      <c r="C2148" t="s">
        <v>12</v>
      </c>
      <c r="D2148" t="s">
        <v>14</v>
      </c>
      <c r="E2148">
        <v>0.52941176470588203</v>
      </c>
      <c r="F2148">
        <v>0.80452822720588202</v>
      </c>
      <c r="G2148">
        <v>15.447154045104901</v>
      </c>
      <c r="H2148">
        <v>189</v>
      </c>
      <c r="I2148">
        <v>189</v>
      </c>
      <c r="J2148">
        <v>30</v>
      </c>
    </row>
    <row r="2149" spans="1:10" x14ac:dyDescent="0.25">
      <c r="A2149" t="s">
        <v>22</v>
      </c>
      <c r="B2149" t="s">
        <v>21</v>
      </c>
      <c r="C2149" t="s">
        <v>12</v>
      </c>
      <c r="D2149" t="s">
        <v>14</v>
      </c>
      <c r="E2149">
        <v>0.39705882352941102</v>
      </c>
      <c r="F2149">
        <v>0.76709179090882296</v>
      </c>
      <c r="G2149">
        <v>15.499860048294</v>
      </c>
      <c r="H2149">
        <v>186</v>
      </c>
      <c r="I2149">
        <v>184</v>
      </c>
      <c r="J2149">
        <v>30</v>
      </c>
    </row>
    <row r="2150" spans="1:10" x14ac:dyDescent="0.25">
      <c r="A2150" t="s">
        <v>22</v>
      </c>
      <c r="B2150" t="s">
        <v>21</v>
      </c>
      <c r="C2150" t="s">
        <v>12</v>
      </c>
      <c r="D2150" t="s">
        <v>14</v>
      </c>
      <c r="E2150">
        <v>0.60294117647058798</v>
      </c>
      <c r="F2150">
        <v>0.79453284723823503</v>
      </c>
      <c r="G2150">
        <v>15.993929862976</v>
      </c>
      <c r="H2150">
        <v>185</v>
      </c>
      <c r="I2150">
        <v>184</v>
      </c>
      <c r="J2150">
        <v>30</v>
      </c>
    </row>
    <row r="2151" spans="1:10" x14ac:dyDescent="0.25">
      <c r="A2151" t="s">
        <v>22</v>
      </c>
      <c r="B2151" t="s">
        <v>21</v>
      </c>
      <c r="C2151" t="s">
        <v>12</v>
      </c>
      <c r="D2151" t="s">
        <v>14</v>
      </c>
      <c r="E2151">
        <v>0.60294117647058798</v>
      </c>
      <c r="F2151">
        <v>0.80577100225294096</v>
      </c>
      <c r="G2151">
        <v>16.189023733138999</v>
      </c>
      <c r="H2151">
        <v>182</v>
      </c>
      <c r="I2151">
        <v>182</v>
      </c>
      <c r="J2151">
        <v>30</v>
      </c>
    </row>
    <row r="2152" spans="1:10" x14ac:dyDescent="0.25">
      <c r="A2152" t="s">
        <v>22</v>
      </c>
      <c r="B2152" t="s">
        <v>21</v>
      </c>
      <c r="C2152" t="s">
        <v>12</v>
      </c>
      <c r="D2152" t="s">
        <v>14</v>
      </c>
      <c r="E2152">
        <v>0.5</v>
      </c>
      <c r="F2152">
        <v>0.79912637072646997</v>
      </c>
      <c r="G2152">
        <v>16.478463649749699</v>
      </c>
      <c r="H2152">
        <v>194</v>
      </c>
      <c r="I2152">
        <v>194</v>
      </c>
      <c r="J2152">
        <v>30</v>
      </c>
    </row>
    <row r="2153" spans="1:10" x14ac:dyDescent="0.25">
      <c r="A2153" t="s">
        <v>22</v>
      </c>
      <c r="B2153" t="s">
        <v>21</v>
      </c>
      <c r="C2153" t="s">
        <v>12</v>
      </c>
      <c r="D2153" t="s">
        <v>14</v>
      </c>
      <c r="E2153">
        <v>0.58823529411764697</v>
      </c>
      <c r="F2153">
        <v>0.82387928175735303</v>
      </c>
      <c r="G2153">
        <v>16.5545380115509</v>
      </c>
      <c r="H2153">
        <v>190</v>
      </c>
      <c r="I2153">
        <v>190</v>
      </c>
      <c r="J2153">
        <v>30</v>
      </c>
    </row>
    <row r="2154" spans="1:10" x14ac:dyDescent="0.25">
      <c r="A2154" t="s">
        <v>22</v>
      </c>
      <c r="B2154" t="s">
        <v>21</v>
      </c>
      <c r="C2154" t="s">
        <v>12</v>
      </c>
      <c r="D2154" t="s">
        <v>14</v>
      </c>
      <c r="E2154">
        <v>0.55882352941176405</v>
      </c>
      <c r="F2154">
        <v>0.80795923095882305</v>
      </c>
      <c r="G2154">
        <v>16.585556268691999</v>
      </c>
      <c r="H2154">
        <v>184</v>
      </c>
      <c r="I2154">
        <v>184</v>
      </c>
      <c r="J2154">
        <v>30</v>
      </c>
    </row>
    <row r="2155" spans="1:10" x14ac:dyDescent="0.25">
      <c r="A2155" t="s">
        <v>22</v>
      </c>
      <c r="B2155" t="s">
        <v>21</v>
      </c>
      <c r="C2155" t="s">
        <v>12</v>
      </c>
      <c r="D2155" t="s">
        <v>14</v>
      </c>
      <c r="E2155">
        <v>0.57352941176470495</v>
      </c>
      <c r="F2155">
        <v>0.80775819344558797</v>
      </c>
      <c r="G2155">
        <v>16.636900424957201</v>
      </c>
      <c r="H2155">
        <v>203</v>
      </c>
      <c r="I2155">
        <v>203</v>
      </c>
      <c r="J2155">
        <v>30</v>
      </c>
    </row>
    <row r="2156" spans="1:10" x14ac:dyDescent="0.25">
      <c r="A2156" t="s">
        <v>22</v>
      </c>
      <c r="B2156" t="s">
        <v>21</v>
      </c>
      <c r="C2156" t="s">
        <v>12</v>
      </c>
      <c r="D2156" t="s">
        <v>14</v>
      </c>
      <c r="E2156">
        <v>0.69117647058823495</v>
      </c>
      <c r="F2156">
        <v>0.80537068977058801</v>
      </c>
      <c r="G2156">
        <v>16.692944526672299</v>
      </c>
      <c r="H2156">
        <v>175</v>
      </c>
      <c r="I2156">
        <v>174</v>
      </c>
      <c r="J2156">
        <v>30</v>
      </c>
    </row>
    <row r="2157" spans="1:10" x14ac:dyDescent="0.25">
      <c r="A2157" t="s">
        <v>22</v>
      </c>
      <c r="B2157" t="s">
        <v>21</v>
      </c>
      <c r="C2157" t="s">
        <v>12</v>
      </c>
      <c r="D2157" t="s">
        <v>14</v>
      </c>
      <c r="E2157">
        <v>0.51470588235294101</v>
      </c>
      <c r="F2157">
        <v>0.80397062418676402</v>
      </c>
      <c r="G2157">
        <v>16.7916178703308</v>
      </c>
      <c r="H2157">
        <v>193</v>
      </c>
      <c r="I2157">
        <v>193</v>
      </c>
      <c r="J2157">
        <v>30</v>
      </c>
    </row>
    <row r="2158" spans="1:10" x14ac:dyDescent="0.25">
      <c r="A2158" t="s">
        <v>22</v>
      </c>
      <c r="B2158" t="s">
        <v>21</v>
      </c>
      <c r="C2158" t="s">
        <v>12</v>
      </c>
      <c r="D2158" t="s">
        <v>14</v>
      </c>
      <c r="E2158">
        <v>0.42647058823529399</v>
      </c>
      <c r="F2158">
        <v>0.76975530460441099</v>
      </c>
      <c r="G2158">
        <v>16.806911945343</v>
      </c>
      <c r="H2158">
        <v>183</v>
      </c>
      <c r="I2158">
        <v>182</v>
      </c>
      <c r="J2158">
        <v>30</v>
      </c>
    </row>
    <row r="2159" spans="1:10" x14ac:dyDescent="0.25">
      <c r="A2159" t="s">
        <v>22</v>
      </c>
      <c r="B2159" t="s">
        <v>21</v>
      </c>
      <c r="C2159" t="s">
        <v>12</v>
      </c>
      <c r="D2159" t="s">
        <v>14</v>
      </c>
      <c r="E2159">
        <v>0.48529411764705799</v>
      </c>
      <c r="F2159">
        <v>0.78797739628970498</v>
      </c>
      <c r="G2159">
        <v>16.828471183776799</v>
      </c>
      <c r="H2159">
        <v>183</v>
      </c>
      <c r="I2159">
        <v>183</v>
      </c>
      <c r="J2159">
        <v>30</v>
      </c>
    </row>
    <row r="2160" spans="1:10" x14ac:dyDescent="0.25">
      <c r="A2160" t="s">
        <v>22</v>
      </c>
      <c r="B2160" t="s">
        <v>21</v>
      </c>
      <c r="C2160" t="s">
        <v>12</v>
      </c>
      <c r="D2160" t="s">
        <v>14</v>
      </c>
      <c r="E2160">
        <v>0.48529411764705799</v>
      </c>
      <c r="F2160">
        <v>0.81160992652205799</v>
      </c>
      <c r="G2160">
        <v>16.8536069393157</v>
      </c>
      <c r="H2160">
        <v>191</v>
      </c>
      <c r="I2160">
        <v>191</v>
      </c>
      <c r="J2160">
        <v>30</v>
      </c>
    </row>
    <row r="2161" spans="1:10" x14ac:dyDescent="0.25">
      <c r="A2161" t="s">
        <v>22</v>
      </c>
      <c r="B2161" t="s">
        <v>21</v>
      </c>
      <c r="C2161" t="s">
        <v>12</v>
      </c>
      <c r="D2161" t="s">
        <v>14</v>
      </c>
      <c r="E2161">
        <v>0.5</v>
      </c>
      <c r="F2161">
        <v>0.80480311247499903</v>
      </c>
      <c r="G2161">
        <v>16.874029636383</v>
      </c>
      <c r="H2161">
        <v>188</v>
      </c>
      <c r="I2161">
        <v>188</v>
      </c>
      <c r="J2161">
        <v>30</v>
      </c>
    </row>
    <row r="2162" spans="1:10" x14ac:dyDescent="0.25">
      <c r="A2162" t="s">
        <v>22</v>
      </c>
      <c r="B2162" t="s">
        <v>21</v>
      </c>
      <c r="C2162" t="s">
        <v>12</v>
      </c>
      <c r="D2162" t="s">
        <v>15</v>
      </c>
      <c r="E2162">
        <v>0</v>
      </c>
      <c r="F2162">
        <v>0.75</v>
      </c>
      <c r="G2162">
        <v>6.1812162399291902E-2</v>
      </c>
      <c r="H2162">
        <v>0</v>
      </c>
      <c r="I2162">
        <v>0</v>
      </c>
      <c r="J2162">
        <v>30</v>
      </c>
    </row>
    <row r="2163" spans="1:10" x14ac:dyDescent="0.25">
      <c r="A2163" t="s">
        <v>22</v>
      </c>
      <c r="B2163" t="s">
        <v>21</v>
      </c>
      <c r="C2163" t="s">
        <v>12</v>
      </c>
      <c r="D2163" t="s">
        <v>15</v>
      </c>
      <c r="E2163">
        <v>0</v>
      </c>
      <c r="F2163">
        <v>0.75</v>
      </c>
      <c r="G2163">
        <v>5.6294441223144497E-2</v>
      </c>
      <c r="H2163">
        <v>0</v>
      </c>
      <c r="I2163">
        <v>0</v>
      </c>
      <c r="J2163">
        <v>30</v>
      </c>
    </row>
    <row r="2164" spans="1:10" x14ac:dyDescent="0.25">
      <c r="A2164" t="s">
        <v>22</v>
      </c>
      <c r="B2164" t="s">
        <v>21</v>
      </c>
      <c r="C2164" t="s">
        <v>12</v>
      </c>
      <c r="D2164" t="s">
        <v>15</v>
      </c>
      <c r="E2164">
        <v>0</v>
      </c>
      <c r="F2164">
        <v>0.75</v>
      </c>
      <c r="G2164">
        <v>6.3372373580932603E-2</v>
      </c>
      <c r="H2164">
        <v>0</v>
      </c>
      <c r="I2164">
        <v>0</v>
      </c>
      <c r="J2164">
        <v>30</v>
      </c>
    </row>
    <row r="2165" spans="1:10" x14ac:dyDescent="0.25">
      <c r="A2165" t="s">
        <v>22</v>
      </c>
      <c r="B2165" t="s">
        <v>21</v>
      </c>
      <c r="C2165" t="s">
        <v>12</v>
      </c>
      <c r="D2165" t="s">
        <v>15</v>
      </c>
      <c r="E2165">
        <v>0</v>
      </c>
      <c r="F2165">
        <v>0.75</v>
      </c>
      <c r="G2165">
        <v>6.1704397201538003E-2</v>
      </c>
      <c r="H2165">
        <v>0</v>
      </c>
      <c r="I2165">
        <v>0</v>
      </c>
      <c r="J2165">
        <v>30</v>
      </c>
    </row>
    <row r="2166" spans="1:10" x14ac:dyDescent="0.25">
      <c r="A2166" t="s">
        <v>22</v>
      </c>
      <c r="B2166" t="s">
        <v>21</v>
      </c>
      <c r="C2166" t="s">
        <v>12</v>
      </c>
      <c r="D2166" t="s">
        <v>15</v>
      </c>
      <c r="E2166">
        <v>0</v>
      </c>
      <c r="F2166">
        <v>0.75</v>
      </c>
      <c r="G2166">
        <v>6.1704397201538003E-2</v>
      </c>
      <c r="H2166">
        <v>0</v>
      </c>
      <c r="I2166">
        <v>0</v>
      </c>
      <c r="J2166">
        <v>30</v>
      </c>
    </row>
    <row r="2167" spans="1:10" x14ac:dyDescent="0.25">
      <c r="A2167" t="s">
        <v>22</v>
      </c>
      <c r="B2167" t="s">
        <v>21</v>
      </c>
      <c r="C2167" t="s">
        <v>12</v>
      </c>
      <c r="D2167" t="s">
        <v>15</v>
      </c>
      <c r="E2167">
        <v>0</v>
      </c>
      <c r="F2167">
        <v>0.75</v>
      </c>
      <c r="G2167">
        <v>6.1704397201538003E-2</v>
      </c>
      <c r="H2167">
        <v>0</v>
      </c>
      <c r="I2167">
        <v>0</v>
      </c>
      <c r="J2167">
        <v>30</v>
      </c>
    </row>
    <row r="2168" spans="1:10" x14ac:dyDescent="0.25">
      <c r="A2168" t="s">
        <v>22</v>
      </c>
      <c r="B2168" t="s">
        <v>21</v>
      </c>
      <c r="C2168" t="s">
        <v>12</v>
      </c>
      <c r="D2168" t="s">
        <v>15</v>
      </c>
      <c r="E2168">
        <v>0</v>
      </c>
      <c r="F2168">
        <v>0.75</v>
      </c>
      <c r="G2168">
        <v>7.1857452392578097E-2</v>
      </c>
      <c r="H2168">
        <v>0</v>
      </c>
      <c r="I2168">
        <v>0</v>
      </c>
      <c r="J2168">
        <v>30</v>
      </c>
    </row>
    <row r="2169" spans="1:10" x14ac:dyDescent="0.25">
      <c r="A2169" t="s">
        <v>22</v>
      </c>
      <c r="B2169" t="s">
        <v>21</v>
      </c>
      <c r="C2169" t="s">
        <v>12</v>
      </c>
      <c r="D2169" t="s">
        <v>15</v>
      </c>
      <c r="E2169">
        <v>0</v>
      </c>
      <c r="F2169">
        <v>0.75</v>
      </c>
      <c r="G2169">
        <v>7.1982383728027302E-2</v>
      </c>
      <c r="H2169">
        <v>0</v>
      </c>
      <c r="I2169">
        <v>0</v>
      </c>
      <c r="J2169">
        <v>30</v>
      </c>
    </row>
    <row r="2170" spans="1:10" x14ac:dyDescent="0.25">
      <c r="A2170" t="s">
        <v>22</v>
      </c>
      <c r="B2170" t="s">
        <v>21</v>
      </c>
      <c r="C2170" t="s">
        <v>12</v>
      </c>
      <c r="D2170" t="s">
        <v>15</v>
      </c>
      <c r="E2170">
        <v>0</v>
      </c>
      <c r="F2170">
        <v>0.75</v>
      </c>
      <c r="G2170">
        <v>7.4511766433715806E-2</v>
      </c>
      <c r="H2170">
        <v>0</v>
      </c>
      <c r="I2170">
        <v>0</v>
      </c>
      <c r="J2170">
        <v>30</v>
      </c>
    </row>
    <row r="2171" spans="1:10" x14ac:dyDescent="0.25">
      <c r="A2171" t="s">
        <v>22</v>
      </c>
      <c r="B2171" t="s">
        <v>21</v>
      </c>
      <c r="C2171" t="s">
        <v>12</v>
      </c>
      <c r="D2171" t="s">
        <v>15</v>
      </c>
      <c r="E2171">
        <v>0</v>
      </c>
      <c r="F2171">
        <v>0.75</v>
      </c>
      <c r="G2171">
        <v>7.4511766433715806E-2</v>
      </c>
      <c r="H2171">
        <v>0</v>
      </c>
      <c r="I2171">
        <v>0</v>
      </c>
      <c r="J2171">
        <v>30</v>
      </c>
    </row>
    <row r="2172" spans="1:10" x14ac:dyDescent="0.25">
      <c r="A2172" t="s">
        <v>22</v>
      </c>
      <c r="B2172" t="s">
        <v>21</v>
      </c>
      <c r="C2172" t="s">
        <v>12</v>
      </c>
      <c r="D2172" t="s">
        <v>15</v>
      </c>
      <c r="E2172">
        <v>0</v>
      </c>
      <c r="F2172">
        <v>0.75</v>
      </c>
      <c r="G2172">
        <v>7.4511766433715806E-2</v>
      </c>
      <c r="H2172">
        <v>0</v>
      </c>
      <c r="I2172">
        <v>0</v>
      </c>
      <c r="J2172">
        <v>30</v>
      </c>
    </row>
    <row r="2173" spans="1:10" x14ac:dyDescent="0.25">
      <c r="A2173" t="s">
        <v>22</v>
      </c>
      <c r="B2173" t="s">
        <v>21</v>
      </c>
      <c r="C2173" t="s">
        <v>12</v>
      </c>
      <c r="D2173" t="s">
        <v>15</v>
      </c>
      <c r="E2173">
        <v>0</v>
      </c>
      <c r="F2173">
        <v>0.75</v>
      </c>
      <c r="G2173">
        <v>7.4511766433715806E-2</v>
      </c>
      <c r="H2173">
        <v>0</v>
      </c>
      <c r="I2173">
        <v>0</v>
      </c>
      <c r="J2173">
        <v>30</v>
      </c>
    </row>
    <row r="2174" spans="1:10" x14ac:dyDescent="0.25">
      <c r="A2174" t="s">
        <v>22</v>
      </c>
      <c r="B2174" t="s">
        <v>21</v>
      </c>
      <c r="C2174" t="s">
        <v>12</v>
      </c>
      <c r="D2174" t="s">
        <v>15</v>
      </c>
      <c r="E2174">
        <v>0</v>
      </c>
      <c r="F2174">
        <v>0.75</v>
      </c>
      <c r="G2174">
        <v>8.6853504180908203E-2</v>
      </c>
      <c r="H2174">
        <v>0</v>
      </c>
      <c r="I2174">
        <v>0</v>
      </c>
      <c r="J2174">
        <v>30</v>
      </c>
    </row>
    <row r="2175" spans="1:10" x14ac:dyDescent="0.25">
      <c r="A2175" t="s">
        <v>22</v>
      </c>
      <c r="B2175" t="s">
        <v>21</v>
      </c>
      <c r="C2175" t="s">
        <v>12</v>
      </c>
      <c r="D2175" t="s">
        <v>15</v>
      </c>
      <c r="E2175">
        <v>0</v>
      </c>
      <c r="F2175">
        <v>0.75</v>
      </c>
      <c r="G2175">
        <v>8.2093238830566406E-2</v>
      </c>
      <c r="H2175">
        <v>0</v>
      </c>
      <c r="I2175">
        <v>0</v>
      </c>
      <c r="J2175">
        <v>30</v>
      </c>
    </row>
    <row r="2176" spans="1:10" x14ac:dyDescent="0.25">
      <c r="A2176" t="s">
        <v>22</v>
      </c>
      <c r="B2176" t="s">
        <v>21</v>
      </c>
      <c r="C2176" t="s">
        <v>12</v>
      </c>
      <c r="D2176" t="s">
        <v>15</v>
      </c>
      <c r="E2176">
        <v>0</v>
      </c>
      <c r="F2176">
        <v>0.75</v>
      </c>
      <c r="G2176">
        <v>8.2093238830566406E-2</v>
      </c>
      <c r="H2176">
        <v>0</v>
      </c>
      <c r="I2176">
        <v>0</v>
      </c>
      <c r="J2176">
        <v>30</v>
      </c>
    </row>
    <row r="2177" spans="1:10" x14ac:dyDescent="0.25">
      <c r="A2177" t="s">
        <v>22</v>
      </c>
      <c r="B2177" t="s">
        <v>21</v>
      </c>
      <c r="C2177" t="s">
        <v>12</v>
      </c>
      <c r="D2177" t="s">
        <v>15</v>
      </c>
      <c r="E2177">
        <v>0</v>
      </c>
      <c r="F2177">
        <v>0.75</v>
      </c>
      <c r="G2177">
        <v>5.6294441223144497E-2</v>
      </c>
      <c r="H2177">
        <v>0</v>
      </c>
      <c r="I2177">
        <v>0</v>
      </c>
      <c r="J2177">
        <v>30</v>
      </c>
    </row>
    <row r="2178" spans="1:10" x14ac:dyDescent="0.25">
      <c r="A2178" t="s">
        <v>22</v>
      </c>
      <c r="B2178" t="s">
        <v>21</v>
      </c>
      <c r="C2178" t="s">
        <v>12</v>
      </c>
      <c r="D2178" t="s">
        <v>15</v>
      </c>
      <c r="E2178">
        <v>0</v>
      </c>
      <c r="F2178">
        <v>0.75</v>
      </c>
      <c r="G2178">
        <v>7.4511766433715806E-2</v>
      </c>
      <c r="H2178">
        <v>0</v>
      </c>
      <c r="I2178">
        <v>0</v>
      </c>
      <c r="J2178">
        <v>30</v>
      </c>
    </row>
    <row r="2179" spans="1:10" x14ac:dyDescent="0.25">
      <c r="A2179" t="s">
        <v>22</v>
      </c>
      <c r="B2179" t="s">
        <v>21</v>
      </c>
      <c r="C2179" t="s">
        <v>12</v>
      </c>
      <c r="D2179" t="s">
        <v>15</v>
      </c>
      <c r="E2179">
        <v>0</v>
      </c>
      <c r="F2179">
        <v>0.75</v>
      </c>
      <c r="G2179">
        <v>9.2240333557128906E-2</v>
      </c>
      <c r="H2179">
        <v>0</v>
      </c>
      <c r="I2179">
        <v>0</v>
      </c>
      <c r="J2179">
        <v>30</v>
      </c>
    </row>
    <row r="2180" spans="1:10" x14ac:dyDescent="0.25">
      <c r="A2180" t="s">
        <v>22</v>
      </c>
      <c r="B2180" t="s">
        <v>21</v>
      </c>
      <c r="C2180" t="s">
        <v>12</v>
      </c>
      <c r="D2180" t="s">
        <v>15</v>
      </c>
      <c r="E2180">
        <v>0</v>
      </c>
      <c r="F2180">
        <v>0.75</v>
      </c>
      <c r="G2180">
        <v>0.102518320083618</v>
      </c>
      <c r="H2180">
        <v>1</v>
      </c>
      <c r="I2180">
        <v>3</v>
      </c>
      <c r="J2180">
        <v>30</v>
      </c>
    </row>
    <row r="2181" spans="1:10" x14ac:dyDescent="0.25">
      <c r="A2181" t="s">
        <v>22</v>
      </c>
      <c r="B2181" t="s">
        <v>21</v>
      </c>
      <c r="C2181" t="s">
        <v>12</v>
      </c>
      <c r="D2181" t="s">
        <v>15</v>
      </c>
      <c r="E2181">
        <v>0</v>
      </c>
      <c r="F2181">
        <v>0.75</v>
      </c>
      <c r="G2181">
        <v>6.3372373580932603E-2</v>
      </c>
      <c r="H2181">
        <v>0</v>
      </c>
      <c r="I2181">
        <v>0</v>
      </c>
      <c r="J2181">
        <v>30</v>
      </c>
    </row>
    <row r="2182" spans="1:10" x14ac:dyDescent="0.25">
      <c r="A2182" t="s">
        <v>22</v>
      </c>
      <c r="B2182" t="s">
        <v>21</v>
      </c>
      <c r="C2182" t="s">
        <v>12</v>
      </c>
      <c r="D2182" t="s">
        <v>15</v>
      </c>
      <c r="E2182">
        <v>0</v>
      </c>
      <c r="F2182">
        <v>0.75</v>
      </c>
      <c r="G2182">
        <v>7.12323188781738E-2</v>
      </c>
      <c r="H2182">
        <v>0</v>
      </c>
      <c r="I2182">
        <v>0</v>
      </c>
      <c r="J2182">
        <v>30</v>
      </c>
    </row>
    <row r="2183" spans="1:10" x14ac:dyDescent="0.25">
      <c r="A2183" t="s">
        <v>22</v>
      </c>
      <c r="B2183" t="s">
        <v>21</v>
      </c>
      <c r="C2183" t="s">
        <v>12</v>
      </c>
      <c r="D2183" t="s">
        <v>15</v>
      </c>
      <c r="E2183">
        <v>0</v>
      </c>
      <c r="F2183">
        <v>0.75</v>
      </c>
      <c r="G2183">
        <v>0.111447095870971</v>
      </c>
      <c r="H2183">
        <v>2</v>
      </c>
      <c r="I2183">
        <v>4</v>
      </c>
      <c r="J2183">
        <v>30</v>
      </c>
    </row>
    <row r="2184" spans="1:10" x14ac:dyDescent="0.25">
      <c r="A2184" t="s">
        <v>22</v>
      </c>
      <c r="B2184" t="s">
        <v>21</v>
      </c>
      <c r="C2184" t="s">
        <v>12</v>
      </c>
      <c r="D2184" t="s">
        <v>15</v>
      </c>
      <c r="E2184">
        <v>0</v>
      </c>
      <c r="F2184">
        <v>0.75</v>
      </c>
      <c r="G2184">
        <v>6.1704397201538003E-2</v>
      </c>
      <c r="H2184">
        <v>0</v>
      </c>
      <c r="I2184">
        <v>0</v>
      </c>
      <c r="J2184">
        <v>30</v>
      </c>
    </row>
    <row r="2185" spans="1:10" x14ac:dyDescent="0.25">
      <c r="A2185" t="s">
        <v>22</v>
      </c>
      <c r="B2185" t="s">
        <v>21</v>
      </c>
      <c r="C2185" t="s">
        <v>12</v>
      </c>
      <c r="D2185" t="s">
        <v>15</v>
      </c>
      <c r="E2185">
        <v>0</v>
      </c>
      <c r="F2185">
        <v>0.75</v>
      </c>
      <c r="G2185">
        <v>0.122698783874511</v>
      </c>
      <c r="H2185">
        <v>2</v>
      </c>
      <c r="I2185">
        <v>4</v>
      </c>
      <c r="J2185">
        <v>30</v>
      </c>
    </row>
    <row r="2186" spans="1:10" x14ac:dyDescent="0.25">
      <c r="A2186" t="s">
        <v>22</v>
      </c>
      <c r="B2186" t="s">
        <v>21</v>
      </c>
      <c r="C2186" t="s">
        <v>12</v>
      </c>
      <c r="D2186" t="s">
        <v>15</v>
      </c>
      <c r="E2186">
        <v>0</v>
      </c>
      <c r="F2186">
        <v>0.75</v>
      </c>
      <c r="G2186">
        <v>0.122698783874511</v>
      </c>
      <c r="H2186">
        <v>2</v>
      </c>
      <c r="I2186">
        <v>5</v>
      </c>
      <c r="J2186">
        <v>30</v>
      </c>
    </row>
    <row r="2187" spans="1:10" x14ac:dyDescent="0.25">
      <c r="A2187" t="s">
        <v>22</v>
      </c>
      <c r="B2187" t="s">
        <v>21</v>
      </c>
      <c r="C2187" t="s">
        <v>12</v>
      </c>
      <c r="D2187" t="s">
        <v>15</v>
      </c>
      <c r="E2187">
        <v>0</v>
      </c>
      <c r="F2187">
        <v>0.75</v>
      </c>
      <c r="G2187">
        <v>0.12255311012268</v>
      </c>
      <c r="H2187">
        <v>3</v>
      </c>
      <c r="I2187">
        <v>7</v>
      </c>
      <c r="J2187">
        <v>30</v>
      </c>
    </row>
    <row r="2188" spans="1:10" x14ac:dyDescent="0.25">
      <c r="A2188" t="s">
        <v>22</v>
      </c>
      <c r="B2188" t="s">
        <v>21</v>
      </c>
      <c r="C2188" t="s">
        <v>12</v>
      </c>
      <c r="D2188" t="s">
        <v>15</v>
      </c>
      <c r="E2188">
        <v>0</v>
      </c>
      <c r="F2188">
        <v>0.75</v>
      </c>
      <c r="G2188">
        <v>7.1857452392578097E-2</v>
      </c>
      <c r="H2188">
        <v>0</v>
      </c>
      <c r="I2188">
        <v>0</v>
      </c>
      <c r="J2188">
        <v>30</v>
      </c>
    </row>
    <row r="2189" spans="1:10" x14ac:dyDescent="0.25">
      <c r="A2189" t="s">
        <v>22</v>
      </c>
      <c r="B2189" t="s">
        <v>21</v>
      </c>
      <c r="C2189" t="s">
        <v>12</v>
      </c>
      <c r="D2189" t="s">
        <v>15</v>
      </c>
      <c r="E2189">
        <v>0</v>
      </c>
      <c r="F2189">
        <v>0.75</v>
      </c>
      <c r="G2189">
        <v>0.153336286544799</v>
      </c>
      <c r="H2189">
        <v>5</v>
      </c>
      <c r="I2189">
        <v>15</v>
      </c>
      <c r="J2189">
        <v>30</v>
      </c>
    </row>
    <row r="2190" spans="1:10" x14ac:dyDescent="0.25">
      <c r="A2190" t="s">
        <v>22</v>
      </c>
      <c r="B2190" t="s">
        <v>21</v>
      </c>
      <c r="C2190" t="s">
        <v>12</v>
      </c>
      <c r="D2190" t="s">
        <v>15</v>
      </c>
      <c r="E2190">
        <v>0</v>
      </c>
      <c r="F2190">
        <v>0.75</v>
      </c>
      <c r="G2190">
        <v>9.2371225357055595E-2</v>
      </c>
      <c r="H2190">
        <v>1</v>
      </c>
      <c r="I2190">
        <v>2</v>
      </c>
      <c r="J2190">
        <v>30</v>
      </c>
    </row>
    <row r="2191" spans="1:10" x14ac:dyDescent="0.25">
      <c r="A2191" t="s">
        <v>22</v>
      </c>
      <c r="B2191" t="s">
        <v>21</v>
      </c>
      <c r="C2191" t="s">
        <v>12</v>
      </c>
      <c r="D2191" t="s">
        <v>15</v>
      </c>
      <c r="E2191">
        <v>0</v>
      </c>
      <c r="F2191">
        <v>0.74936167075146998</v>
      </c>
      <c r="G2191">
        <v>0.186222553253173</v>
      </c>
      <c r="H2191">
        <v>7</v>
      </c>
      <c r="I2191">
        <v>17</v>
      </c>
      <c r="J2191">
        <v>30</v>
      </c>
    </row>
    <row r="2192" spans="1:10" x14ac:dyDescent="0.25">
      <c r="A2192" t="s">
        <v>22</v>
      </c>
      <c r="B2192" t="s">
        <v>21</v>
      </c>
      <c r="C2192" t="s">
        <v>12</v>
      </c>
      <c r="D2192" t="s">
        <v>16</v>
      </c>
      <c r="E2192">
        <v>0</v>
      </c>
      <c r="F2192">
        <v>0.75</v>
      </c>
      <c r="G2192">
        <v>8.6173057556152302E-2</v>
      </c>
      <c r="H2192">
        <v>0</v>
      </c>
      <c r="I2192">
        <v>0</v>
      </c>
      <c r="J2192">
        <v>30</v>
      </c>
    </row>
    <row r="2193" spans="1:10" x14ac:dyDescent="0.25">
      <c r="A2193" t="s">
        <v>22</v>
      </c>
      <c r="B2193" t="s">
        <v>21</v>
      </c>
      <c r="C2193" t="s">
        <v>12</v>
      </c>
      <c r="D2193" t="s">
        <v>16</v>
      </c>
      <c r="E2193">
        <v>0</v>
      </c>
      <c r="F2193">
        <v>0.75</v>
      </c>
      <c r="G2193">
        <v>0.10233569145202601</v>
      </c>
      <c r="H2193">
        <v>0</v>
      </c>
      <c r="I2193">
        <v>0</v>
      </c>
      <c r="J2193">
        <v>30</v>
      </c>
    </row>
    <row r="2194" spans="1:10" x14ac:dyDescent="0.25">
      <c r="A2194" t="s">
        <v>22</v>
      </c>
      <c r="B2194" t="s">
        <v>21</v>
      </c>
      <c r="C2194" t="s">
        <v>12</v>
      </c>
      <c r="D2194" t="s">
        <v>16</v>
      </c>
      <c r="E2194">
        <v>0</v>
      </c>
      <c r="F2194">
        <v>0.75</v>
      </c>
      <c r="G2194">
        <v>0.107521772384643</v>
      </c>
      <c r="H2194">
        <v>0</v>
      </c>
      <c r="I2194">
        <v>0</v>
      </c>
      <c r="J2194">
        <v>30</v>
      </c>
    </row>
    <row r="2195" spans="1:10" x14ac:dyDescent="0.25">
      <c r="A2195" t="s">
        <v>22</v>
      </c>
      <c r="B2195" t="s">
        <v>21</v>
      </c>
      <c r="C2195" t="s">
        <v>12</v>
      </c>
      <c r="D2195" t="s">
        <v>16</v>
      </c>
      <c r="E2195">
        <v>0</v>
      </c>
      <c r="F2195">
        <v>0.75</v>
      </c>
      <c r="G2195">
        <v>0.12097883224487301</v>
      </c>
      <c r="H2195">
        <v>0</v>
      </c>
      <c r="I2195">
        <v>0</v>
      </c>
      <c r="J2195">
        <v>30</v>
      </c>
    </row>
    <row r="2196" spans="1:10" x14ac:dyDescent="0.25">
      <c r="A2196" t="s">
        <v>22</v>
      </c>
      <c r="B2196" t="s">
        <v>21</v>
      </c>
      <c r="C2196" t="s">
        <v>12</v>
      </c>
      <c r="D2196" t="s">
        <v>16</v>
      </c>
      <c r="E2196">
        <v>0</v>
      </c>
      <c r="F2196">
        <v>0.75</v>
      </c>
      <c r="G2196">
        <v>0.13843107223510701</v>
      </c>
      <c r="H2196">
        <v>0</v>
      </c>
      <c r="I2196">
        <v>0</v>
      </c>
      <c r="J2196">
        <v>30</v>
      </c>
    </row>
    <row r="2197" spans="1:10" x14ac:dyDescent="0.25">
      <c r="A2197" t="s">
        <v>22</v>
      </c>
      <c r="B2197" t="s">
        <v>21</v>
      </c>
      <c r="C2197" t="s">
        <v>12</v>
      </c>
      <c r="D2197" t="s">
        <v>16</v>
      </c>
      <c r="E2197">
        <v>0</v>
      </c>
      <c r="F2197">
        <v>0.75</v>
      </c>
      <c r="G2197">
        <v>0.150485038757324</v>
      </c>
      <c r="H2197">
        <v>0</v>
      </c>
      <c r="I2197">
        <v>0</v>
      </c>
      <c r="J2197">
        <v>30</v>
      </c>
    </row>
    <row r="2198" spans="1:10" x14ac:dyDescent="0.25">
      <c r="A2198" t="s">
        <v>22</v>
      </c>
      <c r="B2198" t="s">
        <v>21</v>
      </c>
      <c r="C2198" t="s">
        <v>12</v>
      </c>
      <c r="D2198" t="s">
        <v>16</v>
      </c>
      <c r="E2198">
        <v>0</v>
      </c>
      <c r="F2198">
        <v>0.75</v>
      </c>
      <c r="G2198">
        <v>0.14666032791137601</v>
      </c>
      <c r="H2198">
        <v>0</v>
      </c>
      <c r="I2198">
        <v>0</v>
      </c>
      <c r="J2198">
        <v>30</v>
      </c>
    </row>
    <row r="2199" spans="1:10" x14ac:dyDescent="0.25">
      <c r="A2199" t="s">
        <v>22</v>
      </c>
      <c r="B2199" t="s">
        <v>21</v>
      </c>
      <c r="C2199" t="s">
        <v>12</v>
      </c>
      <c r="D2199" t="s">
        <v>16</v>
      </c>
      <c r="E2199">
        <v>0</v>
      </c>
      <c r="F2199">
        <v>0.75</v>
      </c>
      <c r="G2199">
        <v>0.15383267402648901</v>
      </c>
      <c r="H2199">
        <v>0</v>
      </c>
      <c r="I2199">
        <v>0</v>
      </c>
      <c r="J2199">
        <v>30</v>
      </c>
    </row>
    <row r="2200" spans="1:10" x14ac:dyDescent="0.25">
      <c r="A2200" t="s">
        <v>22</v>
      </c>
      <c r="B2200" t="s">
        <v>21</v>
      </c>
      <c r="C2200" t="s">
        <v>12</v>
      </c>
      <c r="D2200" t="s">
        <v>16</v>
      </c>
      <c r="E2200">
        <v>0</v>
      </c>
      <c r="F2200">
        <v>0.75</v>
      </c>
      <c r="G2200">
        <v>0.14465999603271401</v>
      </c>
      <c r="H2200">
        <v>0</v>
      </c>
      <c r="I2200">
        <v>0</v>
      </c>
      <c r="J2200">
        <v>30</v>
      </c>
    </row>
    <row r="2201" spans="1:10" x14ac:dyDescent="0.25">
      <c r="A2201" t="s">
        <v>22</v>
      </c>
      <c r="B2201" t="s">
        <v>21</v>
      </c>
      <c r="C2201" t="s">
        <v>12</v>
      </c>
      <c r="D2201" t="s">
        <v>16</v>
      </c>
      <c r="E2201">
        <v>0</v>
      </c>
      <c r="F2201">
        <v>0.75</v>
      </c>
      <c r="G2201">
        <v>0.152459621429443</v>
      </c>
      <c r="H2201">
        <v>0</v>
      </c>
      <c r="I2201">
        <v>0</v>
      </c>
      <c r="J2201">
        <v>30</v>
      </c>
    </row>
    <row r="2202" spans="1:10" x14ac:dyDescent="0.25">
      <c r="A2202" t="s">
        <v>22</v>
      </c>
      <c r="B2202" t="s">
        <v>21</v>
      </c>
      <c r="C2202" t="s">
        <v>12</v>
      </c>
      <c r="D2202" t="s">
        <v>16</v>
      </c>
      <c r="E2202">
        <v>0</v>
      </c>
      <c r="F2202">
        <v>0.75</v>
      </c>
      <c r="G2202">
        <v>0.16623926162719699</v>
      </c>
      <c r="H2202">
        <v>0</v>
      </c>
      <c r="I2202">
        <v>0</v>
      </c>
      <c r="J2202">
        <v>30</v>
      </c>
    </row>
    <row r="2203" spans="1:10" x14ac:dyDescent="0.25">
      <c r="A2203" t="s">
        <v>22</v>
      </c>
      <c r="B2203" t="s">
        <v>21</v>
      </c>
      <c r="C2203" t="s">
        <v>12</v>
      </c>
      <c r="D2203" t="s">
        <v>16</v>
      </c>
      <c r="E2203">
        <v>0</v>
      </c>
      <c r="F2203">
        <v>0.75</v>
      </c>
      <c r="G2203">
        <v>0.16623926162719699</v>
      </c>
      <c r="H2203">
        <v>0</v>
      </c>
      <c r="I2203">
        <v>0</v>
      </c>
      <c r="J2203">
        <v>30</v>
      </c>
    </row>
    <row r="2204" spans="1:10" x14ac:dyDescent="0.25">
      <c r="A2204" t="s">
        <v>22</v>
      </c>
      <c r="B2204" t="s">
        <v>21</v>
      </c>
      <c r="C2204" t="s">
        <v>12</v>
      </c>
      <c r="D2204" t="s">
        <v>16</v>
      </c>
      <c r="E2204">
        <v>0</v>
      </c>
      <c r="F2204">
        <v>0.75</v>
      </c>
      <c r="G2204">
        <v>0.159703254699707</v>
      </c>
      <c r="H2204">
        <v>0</v>
      </c>
      <c r="I2204">
        <v>0</v>
      </c>
      <c r="J2204">
        <v>30</v>
      </c>
    </row>
    <row r="2205" spans="1:10" x14ac:dyDescent="0.25">
      <c r="A2205" t="s">
        <v>22</v>
      </c>
      <c r="B2205" t="s">
        <v>21</v>
      </c>
      <c r="C2205" t="s">
        <v>12</v>
      </c>
      <c r="D2205" t="s">
        <v>16</v>
      </c>
      <c r="E2205">
        <v>0</v>
      </c>
      <c r="F2205">
        <v>0.75</v>
      </c>
      <c r="G2205">
        <v>0.16520667076110801</v>
      </c>
      <c r="H2205">
        <v>0</v>
      </c>
      <c r="I2205">
        <v>0</v>
      </c>
      <c r="J2205">
        <v>30</v>
      </c>
    </row>
    <row r="2206" spans="1:10" x14ac:dyDescent="0.25">
      <c r="A2206" t="s">
        <v>22</v>
      </c>
      <c r="B2206" t="s">
        <v>21</v>
      </c>
      <c r="C2206" t="s">
        <v>12</v>
      </c>
      <c r="D2206" t="s">
        <v>16</v>
      </c>
      <c r="E2206">
        <v>0</v>
      </c>
      <c r="F2206">
        <v>0.75</v>
      </c>
      <c r="G2206">
        <v>0.16678953170776301</v>
      </c>
      <c r="H2206">
        <v>0</v>
      </c>
      <c r="I2206">
        <v>0</v>
      </c>
      <c r="J2206">
        <v>30</v>
      </c>
    </row>
    <row r="2207" spans="1:10" x14ac:dyDescent="0.25">
      <c r="A2207" t="s">
        <v>22</v>
      </c>
      <c r="B2207" t="s">
        <v>21</v>
      </c>
      <c r="C2207" t="s">
        <v>12</v>
      </c>
      <c r="D2207" t="s">
        <v>16</v>
      </c>
      <c r="E2207">
        <v>0</v>
      </c>
      <c r="F2207">
        <v>0.75</v>
      </c>
      <c r="G2207">
        <v>0.16978955268859799</v>
      </c>
      <c r="H2207">
        <v>0</v>
      </c>
      <c r="I2207">
        <v>0</v>
      </c>
      <c r="J2207">
        <v>30</v>
      </c>
    </row>
    <row r="2208" spans="1:10" x14ac:dyDescent="0.25">
      <c r="A2208" t="s">
        <v>22</v>
      </c>
      <c r="B2208" t="s">
        <v>21</v>
      </c>
      <c r="C2208" t="s">
        <v>12</v>
      </c>
      <c r="D2208" t="s">
        <v>16</v>
      </c>
      <c r="E2208">
        <v>0</v>
      </c>
      <c r="F2208">
        <v>0.75</v>
      </c>
      <c r="G2208">
        <v>0.180840253829956</v>
      </c>
      <c r="H2208">
        <v>0</v>
      </c>
      <c r="I2208">
        <v>0</v>
      </c>
      <c r="J2208">
        <v>30</v>
      </c>
    </row>
    <row r="2209" spans="1:10" x14ac:dyDescent="0.25">
      <c r="A2209" t="s">
        <v>22</v>
      </c>
      <c r="B2209" t="s">
        <v>21</v>
      </c>
      <c r="C2209" t="s">
        <v>12</v>
      </c>
      <c r="D2209" t="s">
        <v>16</v>
      </c>
      <c r="E2209">
        <v>0</v>
      </c>
      <c r="F2209">
        <v>0.75</v>
      </c>
      <c r="G2209">
        <v>0.13980984687805101</v>
      </c>
      <c r="H2209">
        <v>0</v>
      </c>
      <c r="I2209">
        <v>0</v>
      </c>
      <c r="J2209">
        <v>30</v>
      </c>
    </row>
    <row r="2210" spans="1:10" x14ac:dyDescent="0.25">
      <c r="A2210" t="s">
        <v>22</v>
      </c>
      <c r="B2210" t="s">
        <v>21</v>
      </c>
      <c r="C2210" t="s">
        <v>12</v>
      </c>
      <c r="D2210" t="s">
        <v>16</v>
      </c>
      <c r="E2210">
        <v>0</v>
      </c>
      <c r="F2210">
        <v>0.75</v>
      </c>
      <c r="G2210">
        <v>0.18099737167358301</v>
      </c>
      <c r="H2210">
        <v>0</v>
      </c>
      <c r="I2210">
        <v>0</v>
      </c>
      <c r="J2210">
        <v>30</v>
      </c>
    </row>
    <row r="2211" spans="1:10" x14ac:dyDescent="0.25">
      <c r="A2211" t="s">
        <v>22</v>
      </c>
      <c r="B2211" t="s">
        <v>21</v>
      </c>
      <c r="C2211" t="s">
        <v>12</v>
      </c>
      <c r="D2211" t="s">
        <v>16</v>
      </c>
      <c r="E2211">
        <v>0</v>
      </c>
      <c r="F2211">
        <v>0.75</v>
      </c>
      <c r="G2211">
        <v>0.179997444152832</v>
      </c>
      <c r="H2211">
        <v>0</v>
      </c>
      <c r="I2211">
        <v>0</v>
      </c>
      <c r="J2211">
        <v>30</v>
      </c>
    </row>
    <row r="2212" spans="1:10" x14ac:dyDescent="0.25">
      <c r="A2212" t="s">
        <v>22</v>
      </c>
      <c r="B2212" t="s">
        <v>21</v>
      </c>
      <c r="C2212" t="s">
        <v>12</v>
      </c>
      <c r="D2212" t="s">
        <v>16</v>
      </c>
      <c r="E2212">
        <v>0</v>
      </c>
      <c r="F2212">
        <v>0.75</v>
      </c>
      <c r="G2212">
        <v>0.18099737167358301</v>
      </c>
      <c r="H2212">
        <v>0</v>
      </c>
      <c r="I2212">
        <v>0</v>
      </c>
      <c r="J2212">
        <v>30</v>
      </c>
    </row>
    <row r="2213" spans="1:10" x14ac:dyDescent="0.25">
      <c r="A2213" t="s">
        <v>22</v>
      </c>
      <c r="B2213" t="s">
        <v>21</v>
      </c>
      <c r="C2213" t="s">
        <v>12</v>
      </c>
      <c r="D2213" t="s">
        <v>16</v>
      </c>
      <c r="E2213">
        <v>0</v>
      </c>
      <c r="F2213">
        <v>0.75</v>
      </c>
      <c r="G2213">
        <v>0.188372611999511</v>
      </c>
      <c r="H2213">
        <v>0</v>
      </c>
      <c r="I2213">
        <v>0</v>
      </c>
      <c r="J2213">
        <v>30</v>
      </c>
    </row>
    <row r="2214" spans="1:10" x14ac:dyDescent="0.25">
      <c r="A2214" t="s">
        <v>22</v>
      </c>
      <c r="B2214" t="s">
        <v>21</v>
      </c>
      <c r="C2214" t="s">
        <v>12</v>
      </c>
      <c r="D2214" t="s">
        <v>16</v>
      </c>
      <c r="E2214">
        <v>0</v>
      </c>
      <c r="F2214">
        <v>0.75</v>
      </c>
      <c r="G2214">
        <v>0.201624155044555</v>
      </c>
      <c r="H2214">
        <v>0</v>
      </c>
      <c r="I2214">
        <v>0</v>
      </c>
      <c r="J2214">
        <v>30</v>
      </c>
    </row>
    <row r="2215" spans="1:10" x14ac:dyDescent="0.25">
      <c r="A2215" t="s">
        <v>22</v>
      </c>
      <c r="B2215" t="s">
        <v>21</v>
      </c>
      <c r="C2215" t="s">
        <v>12</v>
      </c>
      <c r="D2215" t="s">
        <v>16</v>
      </c>
      <c r="E2215">
        <v>0</v>
      </c>
      <c r="F2215">
        <v>0.75</v>
      </c>
      <c r="G2215">
        <v>0.192989110946655</v>
      </c>
      <c r="H2215">
        <v>0</v>
      </c>
      <c r="I2215">
        <v>0</v>
      </c>
      <c r="J2215">
        <v>30</v>
      </c>
    </row>
    <row r="2216" spans="1:10" x14ac:dyDescent="0.25">
      <c r="A2216" t="s">
        <v>22</v>
      </c>
      <c r="B2216" t="s">
        <v>21</v>
      </c>
      <c r="C2216" t="s">
        <v>12</v>
      </c>
      <c r="D2216" t="s">
        <v>16</v>
      </c>
      <c r="E2216">
        <v>0</v>
      </c>
      <c r="F2216">
        <v>0.75</v>
      </c>
      <c r="G2216">
        <v>0.192989110946655</v>
      </c>
      <c r="H2216">
        <v>0</v>
      </c>
      <c r="I2216">
        <v>0</v>
      </c>
      <c r="J2216">
        <v>30</v>
      </c>
    </row>
    <row r="2217" spans="1:10" x14ac:dyDescent="0.25">
      <c r="A2217" t="s">
        <v>22</v>
      </c>
      <c r="B2217" t="s">
        <v>21</v>
      </c>
      <c r="C2217" t="s">
        <v>12</v>
      </c>
      <c r="D2217" t="s">
        <v>16</v>
      </c>
      <c r="E2217">
        <v>0</v>
      </c>
      <c r="F2217">
        <v>0.75</v>
      </c>
      <c r="G2217">
        <v>0.199492692947387</v>
      </c>
      <c r="H2217">
        <v>0</v>
      </c>
      <c r="I2217">
        <v>0</v>
      </c>
      <c r="J2217">
        <v>30</v>
      </c>
    </row>
    <row r="2218" spans="1:10" x14ac:dyDescent="0.25">
      <c r="A2218" t="s">
        <v>22</v>
      </c>
      <c r="B2218" t="s">
        <v>21</v>
      </c>
      <c r="C2218" t="s">
        <v>12</v>
      </c>
      <c r="D2218" t="s">
        <v>16</v>
      </c>
      <c r="E2218">
        <v>0</v>
      </c>
      <c r="F2218">
        <v>0.75</v>
      </c>
      <c r="G2218">
        <v>0.19749283790588301</v>
      </c>
      <c r="H2218">
        <v>0</v>
      </c>
      <c r="I2218">
        <v>0</v>
      </c>
      <c r="J2218">
        <v>30</v>
      </c>
    </row>
    <row r="2219" spans="1:10" x14ac:dyDescent="0.25">
      <c r="A2219" t="s">
        <v>22</v>
      </c>
      <c r="B2219" t="s">
        <v>21</v>
      </c>
      <c r="C2219" t="s">
        <v>12</v>
      </c>
      <c r="D2219" t="s">
        <v>16</v>
      </c>
      <c r="E2219">
        <v>0</v>
      </c>
      <c r="F2219">
        <v>0.75</v>
      </c>
      <c r="G2219">
        <v>0.20780086517333901</v>
      </c>
      <c r="H2219">
        <v>0</v>
      </c>
      <c r="I2219">
        <v>0</v>
      </c>
      <c r="J2219">
        <v>30</v>
      </c>
    </row>
    <row r="2220" spans="1:10" x14ac:dyDescent="0.25">
      <c r="A2220" t="s">
        <v>22</v>
      </c>
      <c r="B2220" t="s">
        <v>21</v>
      </c>
      <c r="C2220" t="s">
        <v>12</v>
      </c>
      <c r="D2220" t="s">
        <v>16</v>
      </c>
      <c r="E2220">
        <v>0</v>
      </c>
      <c r="F2220">
        <v>0.75</v>
      </c>
      <c r="G2220">
        <v>0.18434405326843201</v>
      </c>
      <c r="H2220">
        <v>0</v>
      </c>
      <c r="I2220">
        <v>0</v>
      </c>
      <c r="J2220">
        <v>30</v>
      </c>
    </row>
    <row r="2221" spans="1:10" x14ac:dyDescent="0.25">
      <c r="A2221" t="s">
        <v>22</v>
      </c>
      <c r="B2221" t="s">
        <v>21</v>
      </c>
      <c r="C2221" t="s">
        <v>12</v>
      </c>
      <c r="D2221" t="s">
        <v>16</v>
      </c>
      <c r="E2221">
        <v>0</v>
      </c>
      <c r="F2221">
        <v>0.75</v>
      </c>
      <c r="G2221">
        <v>0.201624155044555</v>
      </c>
      <c r="H2221">
        <v>0</v>
      </c>
      <c r="I2221">
        <v>0</v>
      </c>
      <c r="J2221">
        <v>30</v>
      </c>
    </row>
    <row r="2222" spans="1:10" x14ac:dyDescent="0.25">
      <c r="A2222" t="s">
        <v>22</v>
      </c>
      <c r="B2222" t="s">
        <v>21</v>
      </c>
      <c r="C2222" t="s">
        <v>12</v>
      </c>
      <c r="D2222" t="s">
        <v>17</v>
      </c>
      <c r="E2222">
        <v>0.220588235294117</v>
      </c>
      <c r="F2222">
        <v>0.79674592508529396</v>
      </c>
      <c r="G2222">
        <v>1.50640988349914</v>
      </c>
      <c r="H2222">
        <v>14</v>
      </c>
      <c r="I2222">
        <v>18</v>
      </c>
      <c r="J2222">
        <v>30</v>
      </c>
    </row>
    <row r="2223" spans="1:10" x14ac:dyDescent="0.25">
      <c r="A2223" t="s">
        <v>22</v>
      </c>
      <c r="B2223" t="s">
        <v>21</v>
      </c>
      <c r="C2223" t="s">
        <v>12</v>
      </c>
      <c r="D2223" t="s">
        <v>17</v>
      </c>
      <c r="E2223">
        <v>0.191176470588235</v>
      </c>
      <c r="F2223">
        <v>0.77840909763676402</v>
      </c>
      <c r="G2223">
        <v>3.6366598606109601</v>
      </c>
      <c r="H2223">
        <v>15</v>
      </c>
      <c r="I2223">
        <v>20</v>
      </c>
      <c r="J2223">
        <v>30</v>
      </c>
    </row>
    <row r="2224" spans="1:10" x14ac:dyDescent="0.25">
      <c r="A2224" t="s">
        <v>22</v>
      </c>
      <c r="B2224" t="s">
        <v>21</v>
      </c>
      <c r="C2224" t="s">
        <v>12</v>
      </c>
      <c r="D2224" t="s">
        <v>17</v>
      </c>
      <c r="E2224">
        <v>0.308823529411764</v>
      </c>
      <c r="F2224">
        <v>0.74353593957647002</v>
      </c>
      <c r="G2224">
        <v>6.0782587528228698</v>
      </c>
      <c r="H2224">
        <v>46</v>
      </c>
      <c r="I2224">
        <v>57</v>
      </c>
      <c r="J2224">
        <v>30</v>
      </c>
    </row>
    <row r="2225" spans="1:10" x14ac:dyDescent="0.25">
      <c r="A2225" t="s">
        <v>22</v>
      </c>
      <c r="B2225" t="s">
        <v>21</v>
      </c>
      <c r="C2225" t="s">
        <v>12</v>
      </c>
      <c r="D2225" t="s">
        <v>17</v>
      </c>
      <c r="E2225">
        <v>0.41176470588235198</v>
      </c>
      <c r="F2225">
        <v>0.79681730210000001</v>
      </c>
      <c r="G2225">
        <v>6.3663859367370597</v>
      </c>
      <c r="H2225">
        <v>38</v>
      </c>
      <c r="I2225">
        <v>53</v>
      </c>
      <c r="J2225">
        <v>30</v>
      </c>
    </row>
    <row r="2226" spans="1:10" x14ac:dyDescent="0.25">
      <c r="A2226" t="s">
        <v>22</v>
      </c>
      <c r="B2226" t="s">
        <v>21</v>
      </c>
      <c r="C2226" t="s">
        <v>12</v>
      </c>
      <c r="D2226" t="s">
        <v>17</v>
      </c>
      <c r="E2226">
        <v>0.41176470588235198</v>
      </c>
      <c r="F2226">
        <v>0.77459519378382302</v>
      </c>
      <c r="G2226">
        <v>6.4401459693908603</v>
      </c>
      <c r="H2226">
        <v>45</v>
      </c>
      <c r="I2226">
        <v>61</v>
      </c>
      <c r="J2226">
        <v>30</v>
      </c>
    </row>
    <row r="2227" spans="1:10" x14ac:dyDescent="0.25">
      <c r="A2227" t="s">
        <v>22</v>
      </c>
      <c r="B2227" t="s">
        <v>21</v>
      </c>
      <c r="C2227" t="s">
        <v>12</v>
      </c>
      <c r="D2227" t="s">
        <v>17</v>
      </c>
      <c r="E2227">
        <v>0.38235294117647001</v>
      </c>
      <c r="F2227">
        <v>0.73420375831764695</v>
      </c>
      <c r="G2227">
        <v>6.8354737758636404</v>
      </c>
      <c r="H2227">
        <v>63</v>
      </c>
      <c r="I2227">
        <v>86</v>
      </c>
      <c r="J2227">
        <v>30</v>
      </c>
    </row>
    <row r="2228" spans="1:10" x14ac:dyDescent="0.25">
      <c r="A2228" t="s">
        <v>22</v>
      </c>
      <c r="B2228" t="s">
        <v>21</v>
      </c>
      <c r="C2228" t="s">
        <v>12</v>
      </c>
      <c r="D2228" t="s">
        <v>17</v>
      </c>
      <c r="E2228">
        <v>0.36764705882352899</v>
      </c>
      <c r="F2228">
        <v>0.78213413766617601</v>
      </c>
      <c r="G2228">
        <v>7.0203063488006503</v>
      </c>
      <c r="H2228">
        <v>42</v>
      </c>
      <c r="I2228">
        <v>59</v>
      </c>
      <c r="J2228">
        <v>30</v>
      </c>
    </row>
    <row r="2229" spans="1:10" x14ac:dyDescent="0.25">
      <c r="A2229" t="s">
        <v>22</v>
      </c>
      <c r="B2229" t="s">
        <v>21</v>
      </c>
      <c r="C2229" t="s">
        <v>12</v>
      </c>
      <c r="D2229" t="s">
        <v>17</v>
      </c>
      <c r="E2229">
        <v>0.308823529411764</v>
      </c>
      <c r="F2229">
        <v>0.75854179241617603</v>
      </c>
      <c r="G2229">
        <v>7.0888860225677401</v>
      </c>
      <c r="H2229">
        <v>42</v>
      </c>
      <c r="I2229">
        <v>57</v>
      </c>
      <c r="J2229">
        <v>30</v>
      </c>
    </row>
    <row r="2230" spans="1:10" x14ac:dyDescent="0.25">
      <c r="A2230" t="s">
        <v>22</v>
      </c>
      <c r="B2230" t="s">
        <v>21</v>
      </c>
      <c r="C2230" t="s">
        <v>12</v>
      </c>
      <c r="D2230" t="s">
        <v>17</v>
      </c>
      <c r="E2230">
        <v>0.441176470588235</v>
      </c>
      <c r="F2230">
        <v>0.80307506133970497</v>
      </c>
      <c r="G2230">
        <v>7.4823105335235596</v>
      </c>
      <c r="H2230">
        <v>54</v>
      </c>
      <c r="I2230">
        <v>79</v>
      </c>
      <c r="J2230">
        <v>30</v>
      </c>
    </row>
    <row r="2231" spans="1:10" x14ac:dyDescent="0.25">
      <c r="A2231" t="s">
        <v>22</v>
      </c>
      <c r="B2231" t="s">
        <v>21</v>
      </c>
      <c r="C2231" t="s">
        <v>12</v>
      </c>
      <c r="D2231" t="s">
        <v>17</v>
      </c>
      <c r="E2231">
        <v>0.441176470588235</v>
      </c>
      <c r="F2231">
        <v>0.77478992251176404</v>
      </c>
      <c r="G2231">
        <v>7.6230933666229204</v>
      </c>
      <c r="H2231">
        <v>65</v>
      </c>
      <c r="I2231">
        <v>100</v>
      </c>
      <c r="J2231">
        <v>30</v>
      </c>
    </row>
    <row r="2232" spans="1:10" x14ac:dyDescent="0.25">
      <c r="A2232" t="s">
        <v>22</v>
      </c>
      <c r="B2232" t="s">
        <v>21</v>
      </c>
      <c r="C2232" t="s">
        <v>12</v>
      </c>
      <c r="D2232" t="s">
        <v>17</v>
      </c>
      <c r="E2232">
        <v>0.42647058823529399</v>
      </c>
      <c r="F2232">
        <v>0.78210625823235203</v>
      </c>
      <c r="G2232">
        <v>7.7808961868286097</v>
      </c>
      <c r="H2232">
        <v>51</v>
      </c>
      <c r="I2232">
        <v>75</v>
      </c>
      <c r="J2232">
        <v>30</v>
      </c>
    </row>
    <row r="2233" spans="1:10" x14ac:dyDescent="0.25">
      <c r="A2233" t="s">
        <v>22</v>
      </c>
      <c r="B2233" t="s">
        <v>21</v>
      </c>
      <c r="C2233" t="s">
        <v>12</v>
      </c>
      <c r="D2233" t="s">
        <v>17</v>
      </c>
      <c r="E2233">
        <v>0.441176470588235</v>
      </c>
      <c r="F2233">
        <v>0.79037764233088204</v>
      </c>
      <c r="G2233">
        <v>7.8071427345275799</v>
      </c>
      <c r="H2233">
        <v>43</v>
      </c>
      <c r="I2233">
        <v>60</v>
      </c>
      <c r="J2233">
        <v>30</v>
      </c>
    </row>
    <row r="2234" spans="1:10" x14ac:dyDescent="0.25">
      <c r="A2234" t="s">
        <v>22</v>
      </c>
      <c r="B2234" t="s">
        <v>21</v>
      </c>
      <c r="C2234" t="s">
        <v>12</v>
      </c>
      <c r="D2234" t="s">
        <v>17</v>
      </c>
      <c r="E2234">
        <v>0.441176470588235</v>
      </c>
      <c r="F2234">
        <v>0.79302585900735301</v>
      </c>
      <c r="G2234">
        <v>7.8804214000701904</v>
      </c>
      <c r="H2234">
        <v>59</v>
      </c>
      <c r="I2234">
        <v>85</v>
      </c>
      <c r="J2234">
        <v>30</v>
      </c>
    </row>
    <row r="2235" spans="1:10" x14ac:dyDescent="0.25">
      <c r="A2235" t="s">
        <v>22</v>
      </c>
      <c r="B2235" t="s">
        <v>21</v>
      </c>
      <c r="C2235" t="s">
        <v>12</v>
      </c>
      <c r="D2235" t="s">
        <v>17</v>
      </c>
      <c r="E2235">
        <v>0.54411764705882304</v>
      </c>
      <c r="F2235">
        <v>0.80716745172941096</v>
      </c>
      <c r="G2235">
        <v>8.0541448593139595</v>
      </c>
      <c r="H2235">
        <v>50</v>
      </c>
      <c r="I2235">
        <v>69</v>
      </c>
      <c r="J2235">
        <v>30</v>
      </c>
    </row>
    <row r="2236" spans="1:10" x14ac:dyDescent="0.25">
      <c r="A2236" t="s">
        <v>22</v>
      </c>
      <c r="B2236" t="s">
        <v>21</v>
      </c>
      <c r="C2236" t="s">
        <v>12</v>
      </c>
      <c r="D2236" t="s">
        <v>17</v>
      </c>
      <c r="E2236">
        <v>0.48529411764705799</v>
      </c>
      <c r="F2236">
        <v>0.78131955961911703</v>
      </c>
      <c r="G2236">
        <v>8.3587284088134695</v>
      </c>
      <c r="H2236">
        <v>58</v>
      </c>
      <c r="I2236">
        <v>77</v>
      </c>
      <c r="J2236">
        <v>30</v>
      </c>
    </row>
    <row r="2237" spans="1:10" x14ac:dyDescent="0.25">
      <c r="A2237" t="s">
        <v>22</v>
      </c>
      <c r="B2237" t="s">
        <v>21</v>
      </c>
      <c r="C2237" t="s">
        <v>12</v>
      </c>
      <c r="D2237" t="s">
        <v>17</v>
      </c>
      <c r="E2237">
        <v>0.55882352941176405</v>
      </c>
      <c r="F2237">
        <v>0.80778557101029402</v>
      </c>
      <c r="G2237">
        <v>8.65140604972839</v>
      </c>
      <c r="H2237">
        <v>54</v>
      </c>
      <c r="I2237">
        <v>76</v>
      </c>
      <c r="J2237">
        <v>30</v>
      </c>
    </row>
    <row r="2238" spans="1:10" x14ac:dyDescent="0.25">
      <c r="A2238" t="s">
        <v>22</v>
      </c>
      <c r="B2238" t="s">
        <v>21</v>
      </c>
      <c r="C2238" t="s">
        <v>12</v>
      </c>
      <c r="D2238" t="s">
        <v>17</v>
      </c>
      <c r="E2238">
        <v>0.41176470588235198</v>
      </c>
      <c r="F2238">
        <v>0.77871774733382304</v>
      </c>
      <c r="G2238">
        <v>8.9733662605285591</v>
      </c>
      <c r="H2238">
        <v>58</v>
      </c>
      <c r="I2238">
        <v>81</v>
      </c>
      <c r="J2238">
        <v>30</v>
      </c>
    </row>
    <row r="2239" spans="1:10" x14ac:dyDescent="0.25">
      <c r="A2239" t="s">
        <v>22</v>
      </c>
      <c r="B2239" t="s">
        <v>21</v>
      </c>
      <c r="C2239" t="s">
        <v>12</v>
      </c>
      <c r="D2239" t="s">
        <v>17</v>
      </c>
      <c r="E2239">
        <v>0.51470588235294101</v>
      </c>
      <c r="F2239">
        <v>0.79058742038235297</v>
      </c>
      <c r="G2239">
        <v>9.0746934413909894</v>
      </c>
      <c r="H2239">
        <v>76</v>
      </c>
      <c r="I2239">
        <v>113</v>
      </c>
      <c r="J2239">
        <v>30</v>
      </c>
    </row>
    <row r="2240" spans="1:10" x14ac:dyDescent="0.25">
      <c r="A2240" t="s">
        <v>22</v>
      </c>
      <c r="B2240" t="s">
        <v>21</v>
      </c>
      <c r="C2240" t="s">
        <v>12</v>
      </c>
      <c r="D2240" t="s">
        <v>17</v>
      </c>
      <c r="E2240">
        <v>0.33823529411764702</v>
      </c>
      <c r="F2240">
        <v>0.75880186515882297</v>
      </c>
      <c r="G2240">
        <v>9.1132884025573695</v>
      </c>
      <c r="H2240">
        <v>55</v>
      </c>
      <c r="I2240">
        <v>75</v>
      </c>
      <c r="J2240">
        <v>30</v>
      </c>
    </row>
    <row r="2241" spans="1:10" x14ac:dyDescent="0.25">
      <c r="A2241" t="s">
        <v>22</v>
      </c>
      <c r="B2241" t="s">
        <v>21</v>
      </c>
      <c r="C2241" t="s">
        <v>12</v>
      </c>
      <c r="D2241" t="s">
        <v>17</v>
      </c>
      <c r="E2241">
        <v>0.42647058823529399</v>
      </c>
      <c r="F2241">
        <v>0.76907389324117603</v>
      </c>
      <c r="G2241">
        <v>9.3872475624084402</v>
      </c>
      <c r="H2241">
        <v>69</v>
      </c>
      <c r="I2241">
        <v>107</v>
      </c>
      <c r="J2241">
        <v>30</v>
      </c>
    </row>
    <row r="2242" spans="1:10" x14ac:dyDescent="0.25">
      <c r="A2242" t="s">
        <v>22</v>
      </c>
      <c r="B2242" t="s">
        <v>21</v>
      </c>
      <c r="C2242" t="s">
        <v>12</v>
      </c>
      <c r="D2242" t="s">
        <v>17</v>
      </c>
      <c r="E2242">
        <v>0.48529411764705799</v>
      </c>
      <c r="F2242">
        <v>0.77968111197941103</v>
      </c>
      <c r="G2242">
        <v>9.4503500461578298</v>
      </c>
      <c r="H2242">
        <v>78</v>
      </c>
      <c r="I2242">
        <v>115</v>
      </c>
      <c r="J2242">
        <v>30</v>
      </c>
    </row>
    <row r="2243" spans="1:10" x14ac:dyDescent="0.25">
      <c r="A2243" t="s">
        <v>22</v>
      </c>
      <c r="B2243" t="s">
        <v>21</v>
      </c>
      <c r="C2243" t="s">
        <v>12</v>
      </c>
      <c r="D2243" t="s">
        <v>17</v>
      </c>
      <c r="E2243">
        <v>0.42647058823529399</v>
      </c>
      <c r="F2243">
        <v>0.78876289095294105</v>
      </c>
      <c r="G2243">
        <v>9.4570128917694092</v>
      </c>
      <c r="H2243">
        <v>60</v>
      </c>
      <c r="I2243">
        <v>83</v>
      </c>
      <c r="J2243">
        <v>30</v>
      </c>
    </row>
    <row r="2244" spans="1:10" x14ac:dyDescent="0.25">
      <c r="A2244" t="s">
        <v>22</v>
      </c>
      <c r="B2244" t="s">
        <v>21</v>
      </c>
      <c r="C2244" t="s">
        <v>12</v>
      </c>
      <c r="D2244" t="s">
        <v>17</v>
      </c>
      <c r="E2244">
        <v>0.5</v>
      </c>
      <c r="F2244">
        <v>0.78183755799999999</v>
      </c>
      <c r="G2244">
        <v>9.5300097465515101</v>
      </c>
      <c r="H2244">
        <v>54</v>
      </c>
      <c r="I2244">
        <v>75</v>
      </c>
      <c r="J2244">
        <v>30</v>
      </c>
    </row>
    <row r="2245" spans="1:10" x14ac:dyDescent="0.25">
      <c r="A2245" t="s">
        <v>22</v>
      </c>
      <c r="B2245" t="s">
        <v>21</v>
      </c>
      <c r="C2245" t="s">
        <v>12</v>
      </c>
      <c r="D2245" t="s">
        <v>17</v>
      </c>
      <c r="E2245">
        <v>0.47058823529411697</v>
      </c>
      <c r="F2245">
        <v>0.78899146330882297</v>
      </c>
      <c r="G2245">
        <v>9.6708574295043892</v>
      </c>
      <c r="H2245">
        <v>59</v>
      </c>
      <c r="I2245">
        <v>80</v>
      </c>
      <c r="J2245">
        <v>30</v>
      </c>
    </row>
    <row r="2246" spans="1:10" x14ac:dyDescent="0.25">
      <c r="A2246" t="s">
        <v>22</v>
      </c>
      <c r="B2246" t="s">
        <v>21</v>
      </c>
      <c r="C2246" t="s">
        <v>12</v>
      </c>
      <c r="D2246" t="s">
        <v>17</v>
      </c>
      <c r="E2246">
        <v>0.54411764705882304</v>
      </c>
      <c r="F2246">
        <v>0.81398454451176405</v>
      </c>
      <c r="G2246">
        <v>9.7677321434020996</v>
      </c>
      <c r="H2246">
        <v>91</v>
      </c>
      <c r="I2246">
        <v>140</v>
      </c>
      <c r="J2246">
        <v>30</v>
      </c>
    </row>
    <row r="2247" spans="1:10" x14ac:dyDescent="0.25">
      <c r="A2247" t="s">
        <v>22</v>
      </c>
      <c r="B2247" t="s">
        <v>21</v>
      </c>
      <c r="C2247" t="s">
        <v>12</v>
      </c>
      <c r="D2247" t="s">
        <v>17</v>
      </c>
      <c r="E2247">
        <v>0.48529411764705799</v>
      </c>
      <c r="F2247">
        <v>0.76749135875441099</v>
      </c>
      <c r="G2247">
        <v>9.7753968238830495</v>
      </c>
      <c r="H2247">
        <v>69</v>
      </c>
      <c r="I2247">
        <v>99</v>
      </c>
      <c r="J2247">
        <v>30</v>
      </c>
    </row>
    <row r="2248" spans="1:10" x14ac:dyDescent="0.25">
      <c r="A2248" t="s">
        <v>22</v>
      </c>
      <c r="B2248" t="s">
        <v>21</v>
      </c>
      <c r="C2248" t="s">
        <v>12</v>
      </c>
      <c r="D2248" t="s">
        <v>17</v>
      </c>
      <c r="E2248">
        <v>0.55882352941176405</v>
      </c>
      <c r="F2248">
        <v>0.79083715650882302</v>
      </c>
      <c r="G2248">
        <v>9.78039503097534</v>
      </c>
      <c r="H2248">
        <v>74</v>
      </c>
      <c r="I2248">
        <v>109</v>
      </c>
      <c r="J2248">
        <v>30</v>
      </c>
    </row>
    <row r="2249" spans="1:10" x14ac:dyDescent="0.25">
      <c r="A2249" t="s">
        <v>22</v>
      </c>
      <c r="B2249" t="s">
        <v>21</v>
      </c>
      <c r="C2249" t="s">
        <v>12</v>
      </c>
      <c r="D2249" t="s">
        <v>17</v>
      </c>
      <c r="E2249">
        <v>0.38235294117647001</v>
      </c>
      <c r="F2249">
        <v>0.73808718201176404</v>
      </c>
      <c r="G2249">
        <v>9.8048136234283394</v>
      </c>
      <c r="H2249">
        <v>72</v>
      </c>
      <c r="I2249">
        <v>101</v>
      </c>
      <c r="J2249">
        <v>30</v>
      </c>
    </row>
    <row r="2250" spans="1:10" x14ac:dyDescent="0.25">
      <c r="A2250" t="s">
        <v>22</v>
      </c>
      <c r="B2250" t="s">
        <v>21</v>
      </c>
      <c r="C2250" t="s">
        <v>12</v>
      </c>
      <c r="D2250" t="s">
        <v>17</v>
      </c>
      <c r="E2250">
        <v>0.5</v>
      </c>
      <c r="F2250">
        <v>0.76827622613235202</v>
      </c>
      <c r="G2250">
        <v>9.8781831264495796</v>
      </c>
      <c r="H2250">
        <v>91</v>
      </c>
      <c r="I2250">
        <v>131</v>
      </c>
      <c r="J2250">
        <v>30</v>
      </c>
    </row>
    <row r="2251" spans="1:10" x14ac:dyDescent="0.25">
      <c r="A2251" t="s">
        <v>22</v>
      </c>
      <c r="B2251" t="s">
        <v>21</v>
      </c>
      <c r="C2251" t="s">
        <v>12</v>
      </c>
      <c r="D2251" t="s">
        <v>17</v>
      </c>
      <c r="E2251">
        <v>0.54411764705882304</v>
      </c>
      <c r="F2251">
        <v>0.79113075403382305</v>
      </c>
      <c r="G2251">
        <v>9.9040627479553205</v>
      </c>
      <c r="H2251">
        <v>85</v>
      </c>
      <c r="I2251">
        <v>122</v>
      </c>
      <c r="J2251">
        <v>30</v>
      </c>
    </row>
    <row r="2252" spans="1:10" x14ac:dyDescent="0.25">
      <c r="A2252" t="s">
        <v>22</v>
      </c>
      <c r="B2252" t="s">
        <v>21</v>
      </c>
      <c r="C2252" t="s">
        <v>18</v>
      </c>
      <c r="D2252" t="s">
        <v>13</v>
      </c>
      <c r="E2252">
        <v>0.77941176470588203</v>
      </c>
      <c r="F2252">
        <v>0.832568250152941</v>
      </c>
      <c r="G2252">
        <v>2.0070319175720202</v>
      </c>
      <c r="H2252">
        <v>32</v>
      </c>
      <c r="I2252">
        <v>35</v>
      </c>
      <c r="J2252">
        <v>30</v>
      </c>
    </row>
    <row r="2253" spans="1:10" x14ac:dyDescent="0.25">
      <c r="A2253" t="s">
        <v>22</v>
      </c>
      <c r="B2253" t="s">
        <v>21</v>
      </c>
      <c r="C2253" t="s">
        <v>18</v>
      </c>
      <c r="D2253" t="s">
        <v>13</v>
      </c>
      <c r="E2253">
        <v>0.80882352941176405</v>
      </c>
      <c r="F2253">
        <v>0.87343835402941095</v>
      </c>
      <c r="G2253">
        <v>2.0987057685852002</v>
      </c>
      <c r="H2253">
        <v>27</v>
      </c>
      <c r="I2253">
        <v>32</v>
      </c>
      <c r="J2253">
        <v>30</v>
      </c>
    </row>
    <row r="2254" spans="1:10" x14ac:dyDescent="0.25">
      <c r="A2254" t="s">
        <v>22</v>
      </c>
      <c r="B2254" t="s">
        <v>21</v>
      </c>
      <c r="C2254" t="s">
        <v>18</v>
      </c>
      <c r="D2254" t="s">
        <v>13</v>
      </c>
      <c r="E2254">
        <v>0.72058823529411697</v>
      </c>
      <c r="F2254">
        <v>0.82233591543970497</v>
      </c>
      <c r="G2254">
        <v>2.11321568489074</v>
      </c>
      <c r="H2254">
        <v>35</v>
      </c>
      <c r="I2254">
        <v>39</v>
      </c>
      <c r="J2254">
        <v>30</v>
      </c>
    </row>
    <row r="2255" spans="1:10" x14ac:dyDescent="0.25">
      <c r="A2255" t="s">
        <v>22</v>
      </c>
      <c r="B2255" t="s">
        <v>21</v>
      </c>
      <c r="C2255" t="s">
        <v>18</v>
      </c>
      <c r="D2255" t="s">
        <v>13</v>
      </c>
      <c r="E2255">
        <v>0.86764705882352899</v>
      </c>
      <c r="F2255">
        <v>0.90559991643529403</v>
      </c>
      <c r="G2255">
        <v>2.3667788505554199</v>
      </c>
      <c r="H2255">
        <v>38</v>
      </c>
      <c r="I2255">
        <v>51</v>
      </c>
      <c r="J2255">
        <v>30</v>
      </c>
    </row>
    <row r="2256" spans="1:10" x14ac:dyDescent="0.25">
      <c r="A2256" t="s">
        <v>22</v>
      </c>
      <c r="B2256" t="s">
        <v>21</v>
      </c>
      <c r="C2256" t="s">
        <v>18</v>
      </c>
      <c r="D2256" t="s">
        <v>13</v>
      </c>
      <c r="E2256">
        <v>0.77941176470588203</v>
      </c>
      <c r="F2256">
        <v>0.83855569051323497</v>
      </c>
      <c r="G2256">
        <v>2.5851669311523402</v>
      </c>
      <c r="H2256">
        <v>25</v>
      </c>
      <c r="I2256">
        <v>28</v>
      </c>
      <c r="J2256">
        <v>30</v>
      </c>
    </row>
    <row r="2257" spans="1:10" x14ac:dyDescent="0.25">
      <c r="A2257" t="s">
        <v>22</v>
      </c>
      <c r="B2257" t="s">
        <v>21</v>
      </c>
      <c r="C2257" t="s">
        <v>18</v>
      </c>
      <c r="D2257" t="s">
        <v>13</v>
      </c>
      <c r="E2257">
        <v>0.76470588235294101</v>
      </c>
      <c r="F2257">
        <v>0.80932463368676399</v>
      </c>
      <c r="G2257">
        <v>2.7403426170349099</v>
      </c>
      <c r="H2257">
        <v>34</v>
      </c>
      <c r="I2257">
        <v>43</v>
      </c>
      <c r="J2257">
        <v>30</v>
      </c>
    </row>
    <row r="2258" spans="1:10" x14ac:dyDescent="0.25">
      <c r="A2258" t="s">
        <v>22</v>
      </c>
      <c r="B2258" t="s">
        <v>21</v>
      </c>
      <c r="C2258" t="s">
        <v>18</v>
      </c>
      <c r="D2258" t="s">
        <v>13</v>
      </c>
      <c r="E2258">
        <v>0.80882352941176405</v>
      </c>
      <c r="F2258">
        <v>0.86747692265588205</v>
      </c>
      <c r="G2258">
        <v>2.94490194320678</v>
      </c>
      <c r="H2258">
        <v>24</v>
      </c>
      <c r="I2258">
        <v>26</v>
      </c>
      <c r="J2258">
        <v>30</v>
      </c>
    </row>
    <row r="2259" spans="1:10" x14ac:dyDescent="0.25">
      <c r="A2259" t="s">
        <v>22</v>
      </c>
      <c r="B2259" t="s">
        <v>21</v>
      </c>
      <c r="C2259" t="s">
        <v>18</v>
      </c>
      <c r="D2259" t="s">
        <v>13</v>
      </c>
      <c r="E2259">
        <v>0.83823529411764697</v>
      </c>
      <c r="F2259">
        <v>0.86675739179852895</v>
      </c>
      <c r="G2259">
        <v>3.00620245933532</v>
      </c>
      <c r="H2259">
        <v>29</v>
      </c>
      <c r="I2259">
        <v>40</v>
      </c>
      <c r="J2259">
        <v>30</v>
      </c>
    </row>
    <row r="2260" spans="1:10" x14ac:dyDescent="0.25">
      <c r="A2260" t="s">
        <v>22</v>
      </c>
      <c r="B2260" t="s">
        <v>21</v>
      </c>
      <c r="C2260" t="s">
        <v>18</v>
      </c>
      <c r="D2260" t="s">
        <v>13</v>
      </c>
      <c r="E2260">
        <v>0.75</v>
      </c>
      <c r="F2260">
        <v>0.85307557454558802</v>
      </c>
      <c r="G2260">
        <v>3.0284745693206698</v>
      </c>
      <c r="H2260">
        <v>41</v>
      </c>
      <c r="I2260">
        <v>51</v>
      </c>
      <c r="J2260">
        <v>30</v>
      </c>
    </row>
    <row r="2261" spans="1:10" x14ac:dyDescent="0.25">
      <c r="A2261" t="s">
        <v>22</v>
      </c>
      <c r="B2261" t="s">
        <v>21</v>
      </c>
      <c r="C2261" t="s">
        <v>18</v>
      </c>
      <c r="D2261" t="s">
        <v>13</v>
      </c>
      <c r="E2261">
        <v>0.67647058823529405</v>
      </c>
      <c r="F2261">
        <v>0.75891044375000005</v>
      </c>
      <c r="G2261">
        <v>3.1112287044525102</v>
      </c>
      <c r="H2261">
        <v>29</v>
      </c>
      <c r="I2261">
        <v>35</v>
      </c>
      <c r="J2261">
        <v>30</v>
      </c>
    </row>
    <row r="2262" spans="1:10" x14ac:dyDescent="0.25">
      <c r="A2262" t="s">
        <v>22</v>
      </c>
      <c r="B2262" t="s">
        <v>21</v>
      </c>
      <c r="C2262" t="s">
        <v>18</v>
      </c>
      <c r="D2262" t="s">
        <v>13</v>
      </c>
      <c r="E2262">
        <v>0.82352941176470495</v>
      </c>
      <c r="F2262">
        <v>0.888907122167647</v>
      </c>
      <c r="G2262">
        <v>3.2440934181213299</v>
      </c>
      <c r="H2262">
        <v>35</v>
      </c>
      <c r="I2262">
        <v>45</v>
      </c>
      <c r="J2262">
        <v>30</v>
      </c>
    </row>
    <row r="2263" spans="1:10" x14ac:dyDescent="0.25">
      <c r="A2263" t="s">
        <v>22</v>
      </c>
      <c r="B2263" t="s">
        <v>21</v>
      </c>
      <c r="C2263" t="s">
        <v>18</v>
      </c>
      <c r="D2263" t="s">
        <v>13</v>
      </c>
      <c r="E2263">
        <v>0.83823529411764697</v>
      </c>
      <c r="F2263">
        <v>0.91074699467647002</v>
      </c>
      <c r="G2263">
        <v>3.2920508384704501</v>
      </c>
      <c r="H2263">
        <v>42</v>
      </c>
      <c r="I2263">
        <v>53</v>
      </c>
      <c r="J2263">
        <v>30</v>
      </c>
    </row>
    <row r="2264" spans="1:10" x14ac:dyDescent="0.25">
      <c r="A2264" t="s">
        <v>22</v>
      </c>
      <c r="B2264" t="s">
        <v>21</v>
      </c>
      <c r="C2264" t="s">
        <v>18</v>
      </c>
      <c r="D2264" t="s">
        <v>13</v>
      </c>
      <c r="E2264">
        <v>0.82352941176470495</v>
      </c>
      <c r="F2264">
        <v>0.86084568290588204</v>
      </c>
      <c r="G2264">
        <v>3.31484818458557</v>
      </c>
      <c r="H2264">
        <v>23</v>
      </c>
      <c r="I2264">
        <v>24</v>
      </c>
      <c r="J2264">
        <v>30</v>
      </c>
    </row>
    <row r="2265" spans="1:10" x14ac:dyDescent="0.25">
      <c r="A2265" t="s">
        <v>22</v>
      </c>
      <c r="B2265" t="s">
        <v>21</v>
      </c>
      <c r="C2265" t="s">
        <v>18</v>
      </c>
      <c r="D2265" t="s">
        <v>13</v>
      </c>
      <c r="E2265">
        <v>0.85294117647058798</v>
      </c>
      <c r="F2265">
        <v>0.88245759713235195</v>
      </c>
      <c r="G2265">
        <v>3.3823058605193999</v>
      </c>
      <c r="H2265">
        <v>31</v>
      </c>
      <c r="I2265">
        <v>42</v>
      </c>
      <c r="J2265">
        <v>30</v>
      </c>
    </row>
    <row r="2266" spans="1:10" x14ac:dyDescent="0.25">
      <c r="A2266" t="s">
        <v>22</v>
      </c>
      <c r="B2266" t="s">
        <v>21</v>
      </c>
      <c r="C2266" t="s">
        <v>18</v>
      </c>
      <c r="D2266" t="s">
        <v>13</v>
      </c>
      <c r="E2266">
        <v>0.75</v>
      </c>
      <c r="F2266">
        <v>0.82002953499411702</v>
      </c>
      <c r="G2266">
        <v>3.3958182334899898</v>
      </c>
      <c r="H2266">
        <v>35</v>
      </c>
      <c r="I2266">
        <v>44</v>
      </c>
      <c r="J2266">
        <v>30</v>
      </c>
    </row>
    <row r="2267" spans="1:10" x14ac:dyDescent="0.25">
      <c r="A2267" t="s">
        <v>22</v>
      </c>
      <c r="B2267" t="s">
        <v>21</v>
      </c>
      <c r="C2267" t="s">
        <v>18</v>
      </c>
      <c r="D2267" t="s">
        <v>13</v>
      </c>
      <c r="E2267">
        <v>0.82352941176470495</v>
      </c>
      <c r="F2267">
        <v>0.902993732117647</v>
      </c>
      <c r="G2267">
        <v>3.4440460205078098</v>
      </c>
      <c r="H2267">
        <v>42</v>
      </c>
      <c r="I2267">
        <v>55</v>
      </c>
      <c r="J2267">
        <v>30</v>
      </c>
    </row>
    <row r="2268" spans="1:10" x14ac:dyDescent="0.25">
      <c r="A2268" t="s">
        <v>22</v>
      </c>
      <c r="B2268" t="s">
        <v>21</v>
      </c>
      <c r="C2268" t="s">
        <v>18</v>
      </c>
      <c r="D2268" t="s">
        <v>13</v>
      </c>
      <c r="E2268">
        <v>0.79411764705882304</v>
      </c>
      <c r="F2268">
        <v>0.84842122407499998</v>
      </c>
      <c r="G2268">
        <v>3.5185024738311701</v>
      </c>
      <c r="H2268">
        <v>37</v>
      </c>
      <c r="I2268">
        <v>47</v>
      </c>
      <c r="J2268">
        <v>30</v>
      </c>
    </row>
    <row r="2269" spans="1:10" x14ac:dyDescent="0.25">
      <c r="A2269" t="s">
        <v>22</v>
      </c>
      <c r="B2269" t="s">
        <v>21</v>
      </c>
      <c r="C2269" t="s">
        <v>18</v>
      </c>
      <c r="D2269" t="s">
        <v>13</v>
      </c>
      <c r="E2269">
        <v>0.77941176470588203</v>
      </c>
      <c r="F2269">
        <v>0.84398718100146997</v>
      </c>
      <c r="G2269">
        <v>3.5363221168518</v>
      </c>
      <c r="H2269">
        <v>32</v>
      </c>
      <c r="I2269">
        <v>39</v>
      </c>
      <c r="J2269">
        <v>30</v>
      </c>
    </row>
    <row r="2270" spans="1:10" x14ac:dyDescent="0.25">
      <c r="A2270" t="s">
        <v>22</v>
      </c>
      <c r="B2270" t="s">
        <v>21</v>
      </c>
      <c r="C2270" t="s">
        <v>18</v>
      </c>
      <c r="D2270" t="s">
        <v>13</v>
      </c>
      <c r="E2270">
        <v>0.73529411764705799</v>
      </c>
      <c r="F2270">
        <v>0.81296229486470495</v>
      </c>
      <c r="G2270">
        <v>3.5903224945068302</v>
      </c>
      <c r="H2270">
        <v>32</v>
      </c>
      <c r="I2270">
        <v>44</v>
      </c>
      <c r="J2270">
        <v>30</v>
      </c>
    </row>
    <row r="2271" spans="1:10" x14ac:dyDescent="0.25">
      <c r="A2271" t="s">
        <v>22</v>
      </c>
      <c r="B2271" t="s">
        <v>21</v>
      </c>
      <c r="C2271" t="s">
        <v>18</v>
      </c>
      <c r="D2271" t="s">
        <v>13</v>
      </c>
      <c r="E2271">
        <v>0.79411764705882304</v>
      </c>
      <c r="F2271">
        <v>0.83881125307941096</v>
      </c>
      <c r="G2271">
        <v>3.5977234840393</v>
      </c>
      <c r="H2271">
        <v>30</v>
      </c>
      <c r="I2271">
        <v>36</v>
      </c>
      <c r="J2271">
        <v>30</v>
      </c>
    </row>
    <row r="2272" spans="1:10" x14ac:dyDescent="0.25">
      <c r="A2272" t="s">
        <v>22</v>
      </c>
      <c r="B2272" t="s">
        <v>21</v>
      </c>
      <c r="C2272" t="s">
        <v>18</v>
      </c>
      <c r="D2272" t="s">
        <v>13</v>
      </c>
      <c r="E2272">
        <v>0.86764705882352899</v>
      </c>
      <c r="F2272">
        <v>0.91033392794705803</v>
      </c>
      <c r="G2272">
        <v>3.61110496520996</v>
      </c>
      <c r="H2272">
        <v>38</v>
      </c>
      <c r="I2272">
        <v>49</v>
      </c>
      <c r="J2272">
        <v>30</v>
      </c>
    </row>
    <row r="2273" spans="1:10" x14ac:dyDescent="0.25">
      <c r="A2273" t="s">
        <v>22</v>
      </c>
      <c r="B2273" t="s">
        <v>21</v>
      </c>
      <c r="C2273" t="s">
        <v>18</v>
      </c>
      <c r="D2273" t="s">
        <v>13</v>
      </c>
      <c r="E2273">
        <v>0.77941176470588203</v>
      </c>
      <c r="F2273">
        <v>0.84253319891323497</v>
      </c>
      <c r="G2273">
        <v>3.6748769283294598</v>
      </c>
      <c r="H2273">
        <v>33</v>
      </c>
      <c r="I2273">
        <v>38</v>
      </c>
      <c r="J2273">
        <v>30</v>
      </c>
    </row>
    <row r="2274" spans="1:10" x14ac:dyDescent="0.25">
      <c r="A2274" t="s">
        <v>22</v>
      </c>
      <c r="B2274" t="s">
        <v>21</v>
      </c>
      <c r="C2274" t="s">
        <v>18</v>
      </c>
      <c r="D2274" t="s">
        <v>13</v>
      </c>
      <c r="E2274">
        <v>0.77941176470588203</v>
      </c>
      <c r="F2274">
        <v>0.83547886744705802</v>
      </c>
      <c r="G2274">
        <v>3.6853802204132</v>
      </c>
      <c r="H2274">
        <v>40</v>
      </c>
      <c r="I2274">
        <v>41</v>
      </c>
      <c r="J2274">
        <v>30</v>
      </c>
    </row>
    <row r="2275" spans="1:10" x14ac:dyDescent="0.25">
      <c r="A2275" t="s">
        <v>22</v>
      </c>
      <c r="B2275" t="s">
        <v>21</v>
      </c>
      <c r="C2275" t="s">
        <v>18</v>
      </c>
      <c r="D2275" t="s">
        <v>13</v>
      </c>
      <c r="E2275">
        <v>0.89705882352941102</v>
      </c>
      <c r="F2275">
        <v>0.92200397455146998</v>
      </c>
      <c r="G2275">
        <v>3.7099623680114702</v>
      </c>
      <c r="H2275">
        <v>44</v>
      </c>
      <c r="I2275">
        <v>53</v>
      </c>
      <c r="J2275">
        <v>30</v>
      </c>
    </row>
    <row r="2276" spans="1:10" x14ac:dyDescent="0.25">
      <c r="A2276" t="s">
        <v>22</v>
      </c>
      <c r="B2276" t="s">
        <v>21</v>
      </c>
      <c r="C2276" t="s">
        <v>18</v>
      </c>
      <c r="D2276" t="s">
        <v>13</v>
      </c>
      <c r="E2276">
        <v>0.86764705882352899</v>
      </c>
      <c r="F2276">
        <v>0.91909708353529396</v>
      </c>
      <c r="G2276">
        <v>3.7198214530944802</v>
      </c>
      <c r="H2276">
        <v>37</v>
      </c>
      <c r="I2276">
        <v>52</v>
      </c>
      <c r="J2276">
        <v>30</v>
      </c>
    </row>
    <row r="2277" spans="1:10" x14ac:dyDescent="0.25">
      <c r="A2277" t="s">
        <v>22</v>
      </c>
      <c r="B2277" t="s">
        <v>21</v>
      </c>
      <c r="C2277" t="s">
        <v>18</v>
      </c>
      <c r="D2277" t="s">
        <v>13</v>
      </c>
      <c r="E2277">
        <v>0.75</v>
      </c>
      <c r="F2277">
        <v>0.82595344731911702</v>
      </c>
      <c r="G2277">
        <v>3.7554399967193599</v>
      </c>
      <c r="H2277">
        <v>25</v>
      </c>
      <c r="I2277">
        <v>32</v>
      </c>
      <c r="J2277">
        <v>30</v>
      </c>
    </row>
    <row r="2278" spans="1:10" x14ac:dyDescent="0.25">
      <c r="A2278" t="s">
        <v>22</v>
      </c>
      <c r="B2278" t="s">
        <v>21</v>
      </c>
      <c r="C2278" t="s">
        <v>18</v>
      </c>
      <c r="D2278" t="s">
        <v>13</v>
      </c>
      <c r="E2278">
        <v>0.75</v>
      </c>
      <c r="F2278">
        <v>0.82913951602352898</v>
      </c>
      <c r="G2278">
        <v>3.7517557144164999</v>
      </c>
      <c r="H2278">
        <v>29</v>
      </c>
      <c r="I2278">
        <v>34</v>
      </c>
      <c r="J2278">
        <v>30</v>
      </c>
    </row>
    <row r="2279" spans="1:10" x14ac:dyDescent="0.25">
      <c r="A2279" t="s">
        <v>22</v>
      </c>
      <c r="B2279" t="s">
        <v>21</v>
      </c>
      <c r="C2279" t="s">
        <v>18</v>
      </c>
      <c r="D2279" t="s">
        <v>13</v>
      </c>
      <c r="E2279">
        <v>0.88235294117647001</v>
      </c>
      <c r="F2279">
        <v>0.91039170730294094</v>
      </c>
      <c r="G2279">
        <v>3.7569322586059499</v>
      </c>
      <c r="H2279">
        <v>46</v>
      </c>
      <c r="I2279">
        <v>53</v>
      </c>
      <c r="J2279">
        <v>30</v>
      </c>
    </row>
    <row r="2280" spans="1:10" x14ac:dyDescent="0.25">
      <c r="A2280" t="s">
        <v>22</v>
      </c>
      <c r="B2280" t="s">
        <v>21</v>
      </c>
      <c r="C2280" t="s">
        <v>18</v>
      </c>
      <c r="D2280" t="s">
        <v>13</v>
      </c>
      <c r="E2280">
        <v>0.82352941176470495</v>
      </c>
      <c r="F2280">
        <v>0.87095116590294097</v>
      </c>
      <c r="G2280">
        <v>3.7749900817871</v>
      </c>
      <c r="H2280">
        <v>39</v>
      </c>
      <c r="I2280">
        <v>42</v>
      </c>
      <c r="J2280">
        <v>30</v>
      </c>
    </row>
    <row r="2281" spans="1:10" x14ac:dyDescent="0.25">
      <c r="A2281" t="s">
        <v>22</v>
      </c>
      <c r="B2281" t="s">
        <v>21</v>
      </c>
      <c r="C2281" t="s">
        <v>18</v>
      </c>
      <c r="D2281" t="s">
        <v>13</v>
      </c>
      <c r="E2281">
        <v>0.76470588235294101</v>
      </c>
      <c r="F2281">
        <v>0.82391816244411697</v>
      </c>
      <c r="G2281">
        <v>3.80739426612854</v>
      </c>
      <c r="H2281">
        <v>32</v>
      </c>
      <c r="I2281">
        <v>45</v>
      </c>
      <c r="J2281">
        <v>30</v>
      </c>
    </row>
    <row r="2282" spans="1:10" x14ac:dyDescent="0.25">
      <c r="A2282" t="s">
        <v>22</v>
      </c>
      <c r="B2282" t="s">
        <v>21</v>
      </c>
      <c r="C2282" t="s">
        <v>18</v>
      </c>
      <c r="D2282" t="s">
        <v>14</v>
      </c>
      <c r="E2282">
        <v>0.75</v>
      </c>
      <c r="F2282">
        <v>0.84656528104558804</v>
      </c>
      <c r="G2282">
        <v>2.0633518695831299</v>
      </c>
      <c r="H2282">
        <v>14</v>
      </c>
      <c r="I2282">
        <v>14</v>
      </c>
      <c r="J2282">
        <v>30</v>
      </c>
    </row>
    <row r="2283" spans="1:10" x14ac:dyDescent="0.25">
      <c r="A2283" t="s">
        <v>22</v>
      </c>
      <c r="B2283" t="s">
        <v>21</v>
      </c>
      <c r="C2283" t="s">
        <v>18</v>
      </c>
      <c r="D2283" t="s">
        <v>14</v>
      </c>
      <c r="E2283">
        <v>0.72058823529411697</v>
      </c>
      <c r="F2283">
        <v>0.84762575057941103</v>
      </c>
      <c r="G2283">
        <v>4.62060093879699</v>
      </c>
      <c r="H2283">
        <v>79</v>
      </c>
      <c r="I2283">
        <v>75</v>
      </c>
      <c r="J2283">
        <v>30</v>
      </c>
    </row>
    <row r="2284" spans="1:10" x14ac:dyDescent="0.25">
      <c r="A2284" t="s">
        <v>22</v>
      </c>
      <c r="B2284" t="s">
        <v>21</v>
      </c>
      <c r="C2284" t="s">
        <v>18</v>
      </c>
      <c r="D2284" t="s">
        <v>14</v>
      </c>
      <c r="E2284">
        <v>0.69117647058823495</v>
      </c>
      <c r="F2284">
        <v>0.84879500148235298</v>
      </c>
      <c r="G2284">
        <v>5.8899333477020201</v>
      </c>
      <c r="H2284">
        <v>107</v>
      </c>
      <c r="I2284">
        <v>107</v>
      </c>
      <c r="J2284">
        <v>30</v>
      </c>
    </row>
    <row r="2285" spans="1:10" x14ac:dyDescent="0.25">
      <c r="A2285" t="s">
        <v>22</v>
      </c>
      <c r="B2285" t="s">
        <v>21</v>
      </c>
      <c r="C2285" t="s">
        <v>18</v>
      </c>
      <c r="D2285" t="s">
        <v>14</v>
      </c>
      <c r="E2285">
        <v>0.66176470588235203</v>
      </c>
      <c r="F2285">
        <v>0.83696336329852905</v>
      </c>
      <c r="G2285">
        <v>6.1059105396270699</v>
      </c>
      <c r="H2285">
        <v>97</v>
      </c>
      <c r="I2285">
        <v>96</v>
      </c>
      <c r="J2285">
        <v>30</v>
      </c>
    </row>
    <row r="2286" spans="1:10" x14ac:dyDescent="0.25">
      <c r="A2286" t="s">
        <v>22</v>
      </c>
      <c r="B2286" t="s">
        <v>21</v>
      </c>
      <c r="C2286" t="s">
        <v>18</v>
      </c>
      <c r="D2286" t="s">
        <v>14</v>
      </c>
      <c r="E2286">
        <v>0.61764705882352899</v>
      </c>
      <c r="F2286">
        <v>0.80767586582647</v>
      </c>
      <c r="G2286">
        <v>6.9054470062255797</v>
      </c>
      <c r="H2286">
        <v>103</v>
      </c>
      <c r="I2286">
        <v>102</v>
      </c>
      <c r="J2286">
        <v>30</v>
      </c>
    </row>
    <row r="2287" spans="1:10" x14ac:dyDescent="0.25">
      <c r="A2287" t="s">
        <v>22</v>
      </c>
      <c r="B2287" t="s">
        <v>21</v>
      </c>
      <c r="C2287" t="s">
        <v>18</v>
      </c>
      <c r="D2287" t="s">
        <v>14</v>
      </c>
      <c r="E2287">
        <v>0.63235294117647001</v>
      </c>
      <c r="F2287">
        <v>0.79214139035735198</v>
      </c>
      <c r="G2287">
        <v>7.5386202335357604</v>
      </c>
      <c r="H2287">
        <v>110</v>
      </c>
      <c r="I2287">
        <v>109</v>
      </c>
      <c r="J2287">
        <v>30</v>
      </c>
    </row>
    <row r="2288" spans="1:10" x14ac:dyDescent="0.25">
      <c r="A2288" t="s">
        <v>22</v>
      </c>
      <c r="B2288" t="s">
        <v>21</v>
      </c>
      <c r="C2288" t="s">
        <v>18</v>
      </c>
      <c r="D2288" t="s">
        <v>14</v>
      </c>
      <c r="E2288">
        <v>0.66176470588235203</v>
      </c>
      <c r="F2288">
        <v>0.81358226075147</v>
      </c>
      <c r="G2288">
        <v>7.6315031051635698</v>
      </c>
      <c r="H2288">
        <v>99</v>
      </c>
      <c r="I2288">
        <v>98</v>
      </c>
      <c r="J2288">
        <v>30</v>
      </c>
    </row>
    <row r="2289" spans="1:10" x14ac:dyDescent="0.25">
      <c r="A2289" t="s">
        <v>22</v>
      </c>
      <c r="B2289" t="s">
        <v>21</v>
      </c>
      <c r="C2289" t="s">
        <v>18</v>
      </c>
      <c r="D2289" t="s">
        <v>14</v>
      </c>
      <c r="E2289">
        <v>0.54411764705882304</v>
      </c>
      <c r="F2289">
        <v>0.83925581369558799</v>
      </c>
      <c r="G2289">
        <v>7.9507422447204501</v>
      </c>
      <c r="H2289">
        <v>108</v>
      </c>
      <c r="I2289">
        <v>108</v>
      </c>
      <c r="J2289">
        <v>30</v>
      </c>
    </row>
    <row r="2290" spans="1:10" x14ac:dyDescent="0.25">
      <c r="A2290" t="s">
        <v>22</v>
      </c>
      <c r="B2290" t="s">
        <v>21</v>
      </c>
      <c r="C2290" t="s">
        <v>18</v>
      </c>
      <c r="D2290" t="s">
        <v>14</v>
      </c>
      <c r="E2290">
        <v>0.72058823529411697</v>
      </c>
      <c r="F2290">
        <v>0.83486302596029405</v>
      </c>
      <c r="G2290">
        <v>8.0841293334960902</v>
      </c>
      <c r="H2290">
        <v>109</v>
      </c>
      <c r="I2290">
        <v>108</v>
      </c>
      <c r="J2290">
        <v>30</v>
      </c>
    </row>
    <row r="2291" spans="1:10" x14ac:dyDescent="0.25">
      <c r="A2291" t="s">
        <v>22</v>
      </c>
      <c r="B2291" t="s">
        <v>21</v>
      </c>
      <c r="C2291" t="s">
        <v>18</v>
      </c>
      <c r="D2291" t="s">
        <v>14</v>
      </c>
      <c r="E2291">
        <v>0.63235294117647001</v>
      </c>
      <c r="F2291">
        <v>0.81827847617205796</v>
      </c>
      <c r="G2291">
        <v>8.1571960449218697</v>
      </c>
      <c r="H2291">
        <v>97</v>
      </c>
      <c r="I2291">
        <v>96</v>
      </c>
      <c r="J2291">
        <v>30</v>
      </c>
    </row>
    <row r="2292" spans="1:10" x14ac:dyDescent="0.25">
      <c r="A2292" t="s">
        <v>22</v>
      </c>
      <c r="B2292" t="s">
        <v>21</v>
      </c>
      <c r="C2292" t="s">
        <v>18</v>
      </c>
      <c r="D2292" t="s">
        <v>14</v>
      </c>
      <c r="E2292">
        <v>0.58823529411764697</v>
      </c>
      <c r="F2292">
        <v>0.83828581049852902</v>
      </c>
      <c r="G2292">
        <v>9.2459816932678205</v>
      </c>
      <c r="H2292">
        <v>106</v>
      </c>
      <c r="I2292">
        <v>105</v>
      </c>
      <c r="J2292">
        <v>30</v>
      </c>
    </row>
    <row r="2293" spans="1:10" x14ac:dyDescent="0.25">
      <c r="A2293" t="s">
        <v>22</v>
      </c>
      <c r="B2293" t="s">
        <v>21</v>
      </c>
      <c r="C2293" t="s">
        <v>18</v>
      </c>
      <c r="D2293" t="s">
        <v>14</v>
      </c>
      <c r="E2293">
        <v>0.70588235294117596</v>
      </c>
      <c r="F2293">
        <v>0.832491426622058</v>
      </c>
      <c r="G2293">
        <v>9.7603788375854492</v>
      </c>
      <c r="H2293">
        <v>106</v>
      </c>
      <c r="I2293">
        <v>106</v>
      </c>
      <c r="J2293">
        <v>30</v>
      </c>
    </row>
    <row r="2294" spans="1:10" x14ac:dyDescent="0.25">
      <c r="A2294" t="s">
        <v>22</v>
      </c>
      <c r="B2294" t="s">
        <v>21</v>
      </c>
      <c r="C2294" t="s">
        <v>18</v>
      </c>
      <c r="D2294" t="s">
        <v>14</v>
      </c>
      <c r="E2294">
        <v>0.45588235294117602</v>
      </c>
      <c r="F2294">
        <v>0.779872999963235</v>
      </c>
      <c r="G2294">
        <v>10.7792840003967</v>
      </c>
      <c r="H2294">
        <v>163</v>
      </c>
      <c r="I2294">
        <v>163</v>
      </c>
      <c r="J2294">
        <v>30</v>
      </c>
    </row>
    <row r="2295" spans="1:10" x14ac:dyDescent="0.25">
      <c r="A2295" t="s">
        <v>22</v>
      </c>
      <c r="B2295" t="s">
        <v>21</v>
      </c>
      <c r="C2295" t="s">
        <v>18</v>
      </c>
      <c r="D2295" t="s">
        <v>14</v>
      </c>
      <c r="E2295">
        <v>0.5</v>
      </c>
      <c r="F2295">
        <v>0.77487508411911699</v>
      </c>
      <c r="G2295">
        <v>10.9966742992401</v>
      </c>
      <c r="H2295">
        <v>151</v>
      </c>
      <c r="I2295">
        <v>151</v>
      </c>
      <c r="J2295">
        <v>30</v>
      </c>
    </row>
    <row r="2296" spans="1:10" x14ac:dyDescent="0.25">
      <c r="A2296" t="s">
        <v>22</v>
      </c>
      <c r="B2296" t="s">
        <v>21</v>
      </c>
      <c r="C2296" t="s">
        <v>18</v>
      </c>
      <c r="D2296" t="s">
        <v>14</v>
      </c>
      <c r="E2296">
        <v>0.63235294117647001</v>
      </c>
      <c r="F2296">
        <v>0.77762957846323499</v>
      </c>
      <c r="G2296">
        <v>12.2301442623138</v>
      </c>
      <c r="H2296">
        <v>159</v>
      </c>
      <c r="I2296">
        <v>158</v>
      </c>
      <c r="J2296">
        <v>30</v>
      </c>
    </row>
    <row r="2297" spans="1:10" x14ac:dyDescent="0.25">
      <c r="A2297" t="s">
        <v>22</v>
      </c>
      <c r="B2297" t="s">
        <v>21</v>
      </c>
      <c r="C2297" t="s">
        <v>18</v>
      </c>
      <c r="D2297" t="s">
        <v>14</v>
      </c>
      <c r="E2297">
        <v>0.41176470588235198</v>
      </c>
      <c r="F2297">
        <v>0.78302187673382295</v>
      </c>
      <c r="G2297">
        <v>13.0202915668487</v>
      </c>
      <c r="H2297">
        <v>187</v>
      </c>
      <c r="I2297">
        <v>187</v>
      </c>
      <c r="J2297">
        <v>30</v>
      </c>
    </row>
    <row r="2298" spans="1:10" x14ac:dyDescent="0.25">
      <c r="A2298" t="s">
        <v>22</v>
      </c>
      <c r="B2298" t="s">
        <v>21</v>
      </c>
      <c r="C2298" t="s">
        <v>18</v>
      </c>
      <c r="D2298" t="s">
        <v>14</v>
      </c>
      <c r="E2298">
        <v>0.58823529411764697</v>
      </c>
      <c r="F2298">
        <v>0.784720270783823</v>
      </c>
      <c r="G2298">
        <v>13.347916841506899</v>
      </c>
      <c r="H2298">
        <v>185</v>
      </c>
      <c r="I2298">
        <v>184</v>
      </c>
      <c r="J2298">
        <v>30</v>
      </c>
    </row>
    <row r="2299" spans="1:10" x14ac:dyDescent="0.25">
      <c r="A2299" t="s">
        <v>22</v>
      </c>
      <c r="B2299" t="s">
        <v>21</v>
      </c>
      <c r="C2299" t="s">
        <v>18</v>
      </c>
      <c r="D2299" t="s">
        <v>14</v>
      </c>
      <c r="E2299">
        <v>0.5</v>
      </c>
      <c r="F2299">
        <v>0.77944579010441095</v>
      </c>
      <c r="G2299">
        <v>13.605468034744201</v>
      </c>
      <c r="H2299">
        <v>177</v>
      </c>
      <c r="I2299">
        <v>177</v>
      </c>
      <c r="J2299">
        <v>30</v>
      </c>
    </row>
    <row r="2300" spans="1:10" x14ac:dyDescent="0.25">
      <c r="A2300" t="s">
        <v>22</v>
      </c>
      <c r="B2300" t="s">
        <v>21</v>
      </c>
      <c r="C2300" t="s">
        <v>18</v>
      </c>
      <c r="D2300" t="s">
        <v>14</v>
      </c>
      <c r="E2300">
        <v>0.54411764705882304</v>
      </c>
      <c r="F2300">
        <v>0.79558711124117598</v>
      </c>
      <c r="G2300">
        <v>13.6570587158203</v>
      </c>
      <c r="H2300">
        <v>186</v>
      </c>
      <c r="I2300">
        <v>186</v>
      </c>
      <c r="J2300">
        <v>30</v>
      </c>
    </row>
    <row r="2301" spans="1:10" x14ac:dyDescent="0.25">
      <c r="A2301" t="s">
        <v>22</v>
      </c>
      <c r="B2301" t="s">
        <v>21</v>
      </c>
      <c r="C2301" t="s">
        <v>18</v>
      </c>
      <c r="D2301" t="s">
        <v>14</v>
      </c>
      <c r="E2301">
        <v>0.47058823529411697</v>
      </c>
      <c r="F2301">
        <v>0.79758036241029395</v>
      </c>
      <c r="G2301">
        <v>13.793428659439</v>
      </c>
      <c r="H2301">
        <v>182</v>
      </c>
      <c r="I2301">
        <v>182</v>
      </c>
      <c r="J2301">
        <v>30</v>
      </c>
    </row>
    <row r="2302" spans="1:10" x14ac:dyDescent="0.25">
      <c r="A2302" t="s">
        <v>22</v>
      </c>
      <c r="B2302" t="s">
        <v>21</v>
      </c>
      <c r="C2302" t="s">
        <v>18</v>
      </c>
      <c r="D2302" t="s">
        <v>14</v>
      </c>
      <c r="E2302">
        <v>0.51470588235294101</v>
      </c>
      <c r="F2302">
        <v>0.762407002505882</v>
      </c>
      <c r="G2302">
        <v>13.847322463989199</v>
      </c>
      <c r="H2302">
        <v>182</v>
      </c>
      <c r="I2302">
        <v>180</v>
      </c>
      <c r="J2302">
        <v>30</v>
      </c>
    </row>
    <row r="2303" spans="1:10" x14ac:dyDescent="0.25">
      <c r="A2303" t="s">
        <v>22</v>
      </c>
      <c r="B2303" t="s">
        <v>21</v>
      </c>
      <c r="C2303" t="s">
        <v>18</v>
      </c>
      <c r="D2303" t="s">
        <v>14</v>
      </c>
      <c r="E2303">
        <v>0.58823529411764697</v>
      </c>
      <c r="F2303">
        <v>0.79834163849705797</v>
      </c>
      <c r="G2303">
        <v>13.882783174514699</v>
      </c>
      <c r="H2303">
        <v>188</v>
      </c>
      <c r="I2303">
        <v>188</v>
      </c>
      <c r="J2303">
        <v>30</v>
      </c>
    </row>
    <row r="2304" spans="1:10" x14ac:dyDescent="0.25">
      <c r="A2304" t="s">
        <v>22</v>
      </c>
      <c r="B2304" t="s">
        <v>21</v>
      </c>
      <c r="C2304" t="s">
        <v>18</v>
      </c>
      <c r="D2304" t="s">
        <v>14</v>
      </c>
      <c r="E2304">
        <v>0.61764705882352899</v>
      </c>
      <c r="F2304">
        <v>0.79210568422058802</v>
      </c>
      <c r="G2304">
        <v>14.0607273578643</v>
      </c>
      <c r="H2304">
        <v>188</v>
      </c>
      <c r="I2304">
        <v>187</v>
      </c>
      <c r="J2304">
        <v>30</v>
      </c>
    </row>
    <row r="2305" spans="1:10" x14ac:dyDescent="0.25">
      <c r="A2305" t="s">
        <v>22</v>
      </c>
      <c r="B2305" t="s">
        <v>21</v>
      </c>
      <c r="C2305" t="s">
        <v>18</v>
      </c>
      <c r="D2305" t="s">
        <v>14</v>
      </c>
      <c r="E2305">
        <v>0.60294117647058798</v>
      </c>
      <c r="F2305">
        <v>0.80723319492647005</v>
      </c>
      <c r="G2305">
        <v>14.3869707584381</v>
      </c>
      <c r="H2305">
        <v>184</v>
      </c>
      <c r="I2305">
        <v>183</v>
      </c>
      <c r="J2305">
        <v>30</v>
      </c>
    </row>
    <row r="2306" spans="1:10" x14ac:dyDescent="0.25">
      <c r="A2306" t="s">
        <v>22</v>
      </c>
      <c r="B2306" t="s">
        <v>21</v>
      </c>
      <c r="C2306" t="s">
        <v>18</v>
      </c>
      <c r="D2306" t="s">
        <v>14</v>
      </c>
      <c r="E2306">
        <v>0.54411764705882304</v>
      </c>
      <c r="F2306">
        <v>0.77158744327794104</v>
      </c>
      <c r="G2306">
        <v>14.4382691383361</v>
      </c>
      <c r="H2306">
        <v>180</v>
      </c>
      <c r="I2306">
        <v>180</v>
      </c>
      <c r="J2306">
        <v>30</v>
      </c>
    </row>
    <row r="2307" spans="1:10" x14ac:dyDescent="0.25">
      <c r="A2307" t="s">
        <v>22</v>
      </c>
      <c r="B2307" t="s">
        <v>21</v>
      </c>
      <c r="C2307" t="s">
        <v>18</v>
      </c>
      <c r="D2307" t="s">
        <v>14</v>
      </c>
      <c r="E2307">
        <v>0.45588235294117602</v>
      </c>
      <c r="F2307">
        <v>0.79623103046764698</v>
      </c>
      <c r="G2307">
        <v>14.490256071090601</v>
      </c>
      <c r="H2307">
        <v>187</v>
      </c>
      <c r="I2307">
        <v>186</v>
      </c>
      <c r="J2307">
        <v>30</v>
      </c>
    </row>
    <row r="2308" spans="1:10" x14ac:dyDescent="0.25">
      <c r="A2308" t="s">
        <v>22</v>
      </c>
      <c r="B2308" t="s">
        <v>21</v>
      </c>
      <c r="C2308" t="s">
        <v>18</v>
      </c>
      <c r="D2308" t="s">
        <v>14</v>
      </c>
      <c r="E2308">
        <v>0.60294117647058798</v>
      </c>
      <c r="F2308">
        <v>0.78728836920294099</v>
      </c>
      <c r="G2308">
        <v>14.5421230792999</v>
      </c>
      <c r="H2308">
        <v>195</v>
      </c>
      <c r="I2308">
        <v>194</v>
      </c>
      <c r="J2308">
        <v>30</v>
      </c>
    </row>
    <row r="2309" spans="1:10" x14ac:dyDescent="0.25">
      <c r="A2309" t="s">
        <v>22</v>
      </c>
      <c r="B2309" t="s">
        <v>21</v>
      </c>
      <c r="C2309" t="s">
        <v>18</v>
      </c>
      <c r="D2309" t="s">
        <v>14</v>
      </c>
      <c r="E2309">
        <v>0.57352941176470495</v>
      </c>
      <c r="F2309">
        <v>0.78450782497499905</v>
      </c>
      <c r="G2309">
        <v>14.5526313781738</v>
      </c>
      <c r="H2309">
        <v>184</v>
      </c>
      <c r="I2309">
        <v>184</v>
      </c>
      <c r="J2309">
        <v>30</v>
      </c>
    </row>
    <row r="2310" spans="1:10" x14ac:dyDescent="0.25">
      <c r="A2310" t="s">
        <v>22</v>
      </c>
      <c r="B2310" t="s">
        <v>21</v>
      </c>
      <c r="C2310" t="s">
        <v>18</v>
      </c>
      <c r="D2310" t="s">
        <v>14</v>
      </c>
      <c r="E2310">
        <v>0.42647058823529399</v>
      </c>
      <c r="F2310">
        <v>0.77394636214852897</v>
      </c>
      <c r="G2310">
        <v>14.5880503654479</v>
      </c>
      <c r="H2310">
        <v>199</v>
      </c>
      <c r="I2310">
        <v>197</v>
      </c>
      <c r="J2310">
        <v>30</v>
      </c>
    </row>
    <row r="2311" spans="1:10" x14ac:dyDescent="0.25">
      <c r="A2311" t="s">
        <v>22</v>
      </c>
      <c r="B2311" t="s">
        <v>21</v>
      </c>
      <c r="C2311" t="s">
        <v>18</v>
      </c>
      <c r="D2311" t="s">
        <v>14</v>
      </c>
      <c r="E2311">
        <v>0.47058823529411697</v>
      </c>
      <c r="F2311">
        <v>0.79426623034411703</v>
      </c>
      <c r="G2311">
        <v>14.587620258331199</v>
      </c>
      <c r="H2311">
        <v>191</v>
      </c>
      <c r="I2311">
        <v>190</v>
      </c>
      <c r="J2311">
        <v>30</v>
      </c>
    </row>
    <row r="2312" spans="1:10" x14ac:dyDescent="0.25">
      <c r="A2312" t="s">
        <v>22</v>
      </c>
      <c r="B2312" t="s">
        <v>21</v>
      </c>
      <c r="C2312" t="s">
        <v>18</v>
      </c>
      <c r="D2312" t="s">
        <v>15</v>
      </c>
      <c r="E2312">
        <v>0</v>
      </c>
      <c r="F2312">
        <v>0.75</v>
      </c>
      <c r="G2312">
        <v>4.3587446212768499E-2</v>
      </c>
      <c r="H2312">
        <v>0</v>
      </c>
      <c r="I2312">
        <v>0</v>
      </c>
      <c r="J2312">
        <v>30</v>
      </c>
    </row>
    <row r="2313" spans="1:10" x14ac:dyDescent="0.25">
      <c r="A2313" t="s">
        <v>22</v>
      </c>
      <c r="B2313" t="s">
        <v>21</v>
      </c>
      <c r="C2313" t="s">
        <v>18</v>
      </c>
      <c r="D2313" t="s">
        <v>15</v>
      </c>
      <c r="E2313">
        <v>0</v>
      </c>
      <c r="F2313">
        <v>0.75</v>
      </c>
      <c r="G2313">
        <v>5.0433397293090799E-2</v>
      </c>
      <c r="H2313">
        <v>0</v>
      </c>
      <c r="I2313">
        <v>0</v>
      </c>
      <c r="J2313">
        <v>30</v>
      </c>
    </row>
    <row r="2314" spans="1:10" x14ac:dyDescent="0.25">
      <c r="A2314" t="s">
        <v>22</v>
      </c>
      <c r="B2314" t="s">
        <v>21</v>
      </c>
      <c r="C2314" t="s">
        <v>18</v>
      </c>
      <c r="D2314" t="s">
        <v>15</v>
      </c>
      <c r="E2314">
        <v>0</v>
      </c>
      <c r="F2314">
        <v>0.75</v>
      </c>
      <c r="G2314">
        <v>7.2495937347412095E-2</v>
      </c>
      <c r="H2314">
        <v>0</v>
      </c>
      <c r="I2314">
        <v>0</v>
      </c>
      <c r="J2314">
        <v>30</v>
      </c>
    </row>
    <row r="2315" spans="1:10" x14ac:dyDescent="0.25">
      <c r="A2315" t="s">
        <v>22</v>
      </c>
      <c r="B2315" t="s">
        <v>21</v>
      </c>
      <c r="C2315" t="s">
        <v>18</v>
      </c>
      <c r="D2315" t="s">
        <v>15</v>
      </c>
      <c r="E2315">
        <v>0</v>
      </c>
      <c r="F2315">
        <v>0.75</v>
      </c>
      <c r="G2315">
        <v>6.2143087387084898E-2</v>
      </c>
      <c r="H2315">
        <v>0</v>
      </c>
      <c r="I2315">
        <v>0</v>
      </c>
      <c r="J2315">
        <v>30</v>
      </c>
    </row>
    <row r="2316" spans="1:10" x14ac:dyDescent="0.25">
      <c r="A2316" t="s">
        <v>22</v>
      </c>
      <c r="B2316" t="s">
        <v>21</v>
      </c>
      <c r="C2316" t="s">
        <v>18</v>
      </c>
      <c r="D2316" t="s">
        <v>15</v>
      </c>
      <c r="E2316">
        <v>0</v>
      </c>
      <c r="F2316">
        <v>0.75</v>
      </c>
      <c r="G2316">
        <v>6.3848733901977497E-2</v>
      </c>
      <c r="H2316">
        <v>0</v>
      </c>
      <c r="I2316">
        <v>0</v>
      </c>
      <c r="J2316">
        <v>30</v>
      </c>
    </row>
    <row r="2317" spans="1:10" x14ac:dyDescent="0.25">
      <c r="A2317" t="s">
        <v>22</v>
      </c>
      <c r="B2317" t="s">
        <v>21</v>
      </c>
      <c r="C2317" t="s">
        <v>18</v>
      </c>
      <c r="D2317" t="s">
        <v>15</v>
      </c>
      <c r="E2317">
        <v>0</v>
      </c>
      <c r="F2317">
        <v>0.75</v>
      </c>
      <c r="G2317">
        <v>7.5558423995971596E-2</v>
      </c>
      <c r="H2317">
        <v>0</v>
      </c>
      <c r="I2317">
        <v>0</v>
      </c>
      <c r="J2317">
        <v>30</v>
      </c>
    </row>
    <row r="2318" spans="1:10" x14ac:dyDescent="0.25">
      <c r="A2318" t="s">
        <v>22</v>
      </c>
      <c r="B2318" t="s">
        <v>21</v>
      </c>
      <c r="C2318" t="s">
        <v>18</v>
      </c>
      <c r="D2318" t="s">
        <v>15</v>
      </c>
      <c r="E2318">
        <v>0</v>
      </c>
      <c r="F2318">
        <v>0.75</v>
      </c>
      <c r="G2318">
        <v>6.3848733901977497E-2</v>
      </c>
      <c r="H2318">
        <v>0</v>
      </c>
      <c r="I2318">
        <v>0</v>
      </c>
      <c r="J2318">
        <v>30</v>
      </c>
    </row>
    <row r="2319" spans="1:10" x14ac:dyDescent="0.25">
      <c r="A2319" t="s">
        <v>22</v>
      </c>
      <c r="B2319" t="s">
        <v>21</v>
      </c>
      <c r="C2319" t="s">
        <v>18</v>
      </c>
      <c r="D2319" t="s">
        <v>15</v>
      </c>
      <c r="E2319">
        <v>0</v>
      </c>
      <c r="F2319">
        <v>0.75</v>
      </c>
      <c r="G2319">
        <v>6.3848733901977497E-2</v>
      </c>
      <c r="H2319">
        <v>0</v>
      </c>
      <c r="I2319">
        <v>0</v>
      </c>
      <c r="J2319">
        <v>30</v>
      </c>
    </row>
    <row r="2320" spans="1:10" x14ac:dyDescent="0.25">
      <c r="A2320" t="s">
        <v>22</v>
      </c>
      <c r="B2320" t="s">
        <v>21</v>
      </c>
      <c r="C2320" t="s">
        <v>18</v>
      </c>
      <c r="D2320" t="s">
        <v>15</v>
      </c>
      <c r="E2320">
        <v>0</v>
      </c>
      <c r="F2320">
        <v>0.75</v>
      </c>
      <c r="G2320">
        <v>7.1237564086913993E-2</v>
      </c>
      <c r="H2320">
        <v>0</v>
      </c>
      <c r="I2320">
        <v>0</v>
      </c>
      <c r="J2320">
        <v>30</v>
      </c>
    </row>
    <row r="2321" spans="1:10" x14ac:dyDescent="0.25">
      <c r="A2321" t="s">
        <v>22</v>
      </c>
      <c r="B2321" t="s">
        <v>21</v>
      </c>
      <c r="C2321" t="s">
        <v>18</v>
      </c>
      <c r="D2321" t="s">
        <v>15</v>
      </c>
      <c r="E2321">
        <v>0</v>
      </c>
      <c r="F2321">
        <v>0.75</v>
      </c>
      <c r="G2321">
        <v>7.1237564086913993E-2</v>
      </c>
      <c r="H2321">
        <v>0</v>
      </c>
      <c r="I2321">
        <v>0</v>
      </c>
      <c r="J2321">
        <v>30</v>
      </c>
    </row>
    <row r="2322" spans="1:10" x14ac:dyDescent="0.25">
      <c r="A2322" t="s">
        <v>22</v>
      </c>
      <c r="B2322" t="s">
        <v>21</v>
      </c>
      <c r="C2322" t="s">
        <v>18</v>
      </c>
      <c r="D2322" t="s">
        <v>15</v>
      </c>
      <c r="E2322">
        <v>0</v>
      </c>
      <c r="F2322">
        <v>0.75</v>
      </c>
      <c r="G2322">
        <v>7.1237564086913993E-2</v>
      </c>
      <c r="H2322">
        <v>0</v>
      </c>
      <c r="I2322">
        <v>0</v>
      </c>
      <c r="J2322">
        <v>30</v>
      </c>
    </row>
    <row r="2323" spans="1:10" x14ac:dyDescent="0.25">
      <c r="A2323" t="s">
        <v>22</v>
      </c>
      <c r="B2323" t="s">
        <v>21</v>
      </c>
      <c r="C2323" t="s">
        <v>18</v>
      </c>
      <c r="D2323" t="s">
        <v>15</v>
      </c>
      <c r="E2323">
        <v>0</v>
      </c>
      <c r="F2323">
        <v>0.75</v>
      </c>
      <c r="G2323">
        <v>6.3848733901977497E-2</v>
      </c>
      <c r="H2323">
        <v>0</v>
      </c>
      <c r="I2323">
        <v>0</v>
      </c>
      <c r="J2323">
        <v>30</v>
      </c>
    </row>
    <row r="2324" spans="1:10" x14ac:dyDescent="0.25">
      <c r="A2324" t="s">
        <v>22</v>
      </c>
      <c r="B2324" t="s">
        <v>21</v>
      </c>
      <c r="C2324" t="s">
        <v>18</v>
      </c>
      <c r="D2324" t="s">
        <v>15</v>
      </c>
      <c r="E2324">
        <v>0</v>
      </c>
      <c r="F2324">
        <v>0.75</v>
      </c>
      <c r="G2324">
        <v>5.9624195098876898E-2</v>
      </c>
      <c r="H2324">
        <v>0</v>
      </c>
      <c r="I2324">
        <v>0</v>
      </c>
      <c r="J2324">
        <v>30</v>
      </c>
    </row>
    <row r="2325" spans="1:10" x14ac:dyDescent="0.25">
      <c r="A2325" t="s">
        <v>22</v>
      </c>
      <c r="B2325" t="s">
        <v>21</v>
      </c>
      <c r="C2325" t="s">
        <v>18</v>
      </c>
      <c r="D2325" t="s">
        <v>15</v>
      </c>
      <c r="E2325">
        <v>0</v>
      </c>
      <c r="F2325">
        <v>0.75</v>
      </c>
      <c r="G2325">
        <v>8.1323385238647405E-2</v>
      </c>
      <c r="H2325">
        <v>0</v>
      </c>
      <c r="I2325">
        <v>0</v>
      </c>
      <c r="J2325">
        <v>30</v>
      </c>
    </row>
    <row r="2326" spans="1:10" x14ac:dyDescent="0.25">
      <c r="A2326" t="s">
        <v>22</v>
      </c>
      <c r="B2326" t="s">
        <v>21</v>
      </c>
      <c r="C2326" t="s">
        <v>18</v>
      </c>
      <c r="D2326" t="s">
        <v>15</v>
      </c>
      <c r="E2326">
        <v>0</v>
      </c>
      <c r="F2326">
        <v>0.75</v>
      </c>
      <c r="G2326">
        <v>8.2938432693481404E-2</v>
      </c>
      <c r="H2326">
        <v>1</v>
      </c>
      <c r="I2326">
        <v>3</v>
      </c>
      <c r="J2326">
        <v>30</v>
      </c>
    </row>
    <row r="2327" spans="1:10" x14ac:dyDescent="0.25">
      <c r="A2327" t="s">
        <v>22</v>
      </c>
      <c r="B2327" t="s">
        <v>21</v>
      </c>
      <c r="C2327" t="s">
        <v>18</v>
      </c>
      <c r="D2327" t="s">
        <v>15</v>
      </c>
      <c r="E2327">
        <v>0</v>
      </c>
      <c r="F2327">
        <v>0.75</v>
      </c>
      <c r="G2327">
        <v>0.103294372558593</v>
      </c>
      <c r="H2327">
        <v>1</v>
      </c>
      <c r="I2327">
        <v>3</v>
      </c>
      <c r="J2327">
        <v>30</v>
      </c>
    </row>
    <row r="2328" spans="1:10" x14ac:dyDescent="0.25">
      <c r="A2328" t="s">
        <v>22</v>
      </c>
      <c r="B2328" t="s">
        <v>21</v>
      </c>
      <c r="C2328" t="s">
        <v>18</v>
      </c>
      <c r="D2328" t="s">
        <v>15</v>
      </c>
      <c r="E2328">
        <v>0</v>
      </c>
      <c r="F2328">
        <v>0.75</v>
      </c>
      <c r="G2328">
        <v>6.2143087387084898E-2</v>
      </c>
      <c r="H2328">
        <v>0</v>
      </c>
      <c r="I2328">
        <v>0</v>
      </c>
      <c r="J2328">
        <v>30</v>
      </c>
    </row>
    <row r="2329" spans="1:10" x14ac:dyDescent="0.25">
      <c r="A2329" t="s">
        <v>22</v>
      </c>
      <c r="B2329" t="s">
        <v>21</v>
      </c>
      <c r="C2329" t="s">
        <v>18</v>
      </c>
      <c r="D2329" t="s">
        <v>15</v>
      </c>
      <c r="E2329">
        <v>0</v>
      </c>
      <c r="F2329">
        <v>0.75</v>
      </c>
      <c r="G2329">
        <v>9.1584682464599595E-2</v>
      </c>
      <c r="H2329">
        <v>1</v>
      </c>
      <c r="I2329">
        <v>3</v>
      </c>
      <c r="J2329">
        <v>30</v>
      </c>
    </row>
    <row r="2330" spans="1:10" x14ac:dyDescent="0.25">
      <c r="A2330" t="s">
        <v>22</v>
      </c>
      <c r="B2330" t="s">
        <v>21</v>
      </c>
      <c r="C2330" t="s">
        <v>18</v>
      </c>
      <c r="D2330" t="s">
        <v>15</v>
      </c>
      <c r="E2330">
        <v>0</v>
      </c>
      <c r="F2330">
        <v>0.75</v>
      </c>
      <c r="G2330">
        <v>0.107163190841674</v>
      </c>
      <c r="H2330">
        <v>2</v>
      </c>
      <c r="I2330">
        <v>4</v>
      </c>
      <c r="J2330">
        <v>30</v>
      </c>
    </row>
    <row r="2331" spans="1:10" x14ac:dyDescent="0.25">
      <c r="A2331" t="s">
        <v>22</v>
      </c>
      <c r="B2331" t="s">
        <v>21</v>
      </c>
      <c r="C2331" t="s">
        <v>18</v>
      </c>
      <c r="D2331" t="s">
        <v>15</v>
      </c>
      <c r="E2331">
        <v>0</v>
      </c>
      <c r="F2331">
        <v>0.75</v>
      </c>
      <c r="G2331">
        <v>6.3848733901977497E-2</v>
      </c>
      <c r="H2331">
        <v>0</v>
      </c>
      <c r="I2331">
        <v>0</v>
      </c>
      <c r="J2331">
        <v>30</v>
      </c>
    </row>
    <row r="2332" spans="1:10" x14ac:dyDescent="0.25">
      <c r="A2332" t="s">
        <v>22</v>
      </c>
      <c r="B2332" t="s">
        <v>21</v>
      </c>
      <c r="C2332" t="s">
        <v>18</v>
      </c>
      <c r="D2332" t="s">
        <v>15</v>
      </c>
      <c r="E2332">
        <v>0</v>
      </c>
      <c r="F2332">
        <v>0.75</v>
      </c>
      <c r="G2332">
        <v>0.13445854187011699</v>
      </c>
      <c r="H2332">
        <v>5</v>
      </c>
      <c r="I2332">
        <v>11</v>
      </c>
      <c r="J2332">
        <v>30</v>
      </c>
    </row>
    <row r="2333" spans="1:10" x14ac:dyDescent="0.25">
      <c r="A2333" t="s">
        <v>22</v>
      </c>
      <c r="B2333" t="s">
        <v>21</v>
      </c>
      <c r="C2333" t="s">
        <v>18</v>
      </c>
      <c r="D2333" t="s">
        <v>15</v>
      </c>
      <c r="E2333">
        <v>0</v>
      </c>
      <c r="F2333">
        <v>0.75</v>
      </c>
      <c r="G2333">
        <v>6.0786247253417899E-2</v>
      </c>
      <c r="H2333">
        <v>0</v>
      </c>
      <c r="I2333">
        <v>0</v>
      </c>
      <c r="J2333">
        <v>30</v>
      </c>
    </row>
    <row r="2334" spans="1:10" x14ac:dyDescent="0.25">
      <c r="A2334" t="s">
        <v>22</v>
      </c>
      <c r="B2334" t="s">
        <v>21</v>
      </c>
      <c r="C2334" t="s">
        <v>18</v>
      </c>
      <c r="D2334" t="s">
        <v>15</v>
      </c>
      <c r="E2334">
        <v>0</v>
      </c>
      <c r="F2334">
        <v>0.75</v>
      </c>
      <c r="G2334">
        <v>5.0433397293090799E-2</v>
      </c>
      <c r="H2334">
        <v>0</v>
      </c>
      <c r="I2334">
        <v>0</v>
      </c>
      <c r="J2334">
        <v>30</v>
      </c>
    </row>
    <row r="2335" spans="1:10" x14ac:dyDescent="0.25">
      <c r="A2335" t="s">
        <v>22</v>
      </c>
      <c r="B2335" t="s">
        <v>21</v>
      </c>
      <c r="C2335" t="s">
        <v>18</v>
      </c>
      <c r="D2335" t="s">
        <v>15</v>
      </c>
      <c r="E2335">
        <v>0</v>
      </c>
      <c r="F2335">
        <v>0.75</v>
      </c>
      <c r="G2335">
        <v>7.1237564086913993E-2</v>
      </c>
      <c r="H2335">
        <v>0</v>
      </c>
      <c r="I2335">
        <v>0</v>
      </c>
      <c r="J2335">
        <v>30</v>
      </c>
    </row>
    <row r="2336" spans="1:10" x14ac:dyDescent="0.25">
      <c r="A2336" t="s">
        <v>22</v>
      </c>
      <c r="B2336" t="s">
        <v>21</v>
      </c>
      <c r="C2336" t="s">
        <v>18</v>
      </c>
      <c r="D2336" t="s">
        <v>15</v>
      </c>
      <c r="E2336">
        <v>0</v>
      </c>
      <c r="F2336">
        <v>0.75</v>
      </c>
      <c r="G2336">
        <v>5.9624195098876898E-2</v>
      </c>
      <c r="H2336">
        <v>0</v>
      </c>
      <c r="I2336">
        <v>0</v>
      </c>
      <c r="J2336">
        <v>30</v>
      </c>
    </row>
    <row r="2337" spans="1:10" x14ac:dyDescent="0.25">
      <c r="A2337" t="s">
        <v>22</v>
      </c>
      <c r="B2337" t="s">
        <v>21</v>
      </c>
      <c r="C2337" t="s">
        <v>18</v>
      </c>
      <c r="D2337" t="s">
        <v>15</v>
      </c>
      <c r="E2337">
        <v>0</v>
      </c>
      <c r="F2337">
        <v>0.75</v>
      </c>
      <c r="G2337">
        <v>6.3848733901977497E-2</v>
      </c>
      <c r="H2337">
        <v>0</v>
      </c>
      <c r="I2337">
        <v>0</v>
      </c>
      <c r="J2337">
        <v>30</v>
      </c>
    </row>
    <row r="2338" spans="1:10" x14ac:dyDescent="0.25">
      <c r="A2338" t="s">
        <v>22</v>
      </c>
      <c r="B2338" t="s">
        <v>21</v>
      </c>
      <c r="C2338" t="s">
        <v>18</v>
      </c>
      <c r="D2338" t="s">
        <v>15</v>
      </c>
      <c r="E2338">
        <v>0</v>
      </c>
      <c r="F2338">
        <v>0.75</v>
      </c>
      <c r="G2338">
        <v>6.2143087387084898E-2</v>
      </c>
      <c r="H2338">
        <v>0</v>
      </c>
      <c r="I2338">
        <v>0</v>
      </c>
      <c r="J2338">
        <v>30</v>
      </c>
    </row>
    <row r="2339" spans="1:10" x14ac:dyDescent="0.25">
      <c r="A2339" t="s">
        <v>22</v>
      </c>
      <c r="B2339" t="s">
        <v>21</v>
      </c>
      <c r="C2339" t="s">
        <v>18</v>
      </c>
      <c r="D2339" t="s">
        <v>15</v>
      </c>
      <c r="E2339">
        <v>0</v>
      </c>
      <c r="F2339">
        <v>0.75</v>
      </c>
      <c r="G2339">
        <v>7.2495937347412095E-2</v>
      </c>
      <c r="H2339">
        <v>0</v>
      </c>
      <c r="I2339">
        <v>0</v>
      </c>
      <c r="J2339">
        <v>30</v>
      </c>
    </row>
    <row r="2340" spans="1:10" x14ac:dyDescent="0.25">
      <c r="A2340" t="s">
        <v>22</v>
      </c>
      <c r="B2340" t="s">
        <v>21</v>
      </c>
      <c r="C2340" t="s">
        <v>18</v>
      </c>
      <c r="D2340" t="s">
        <v>15</v>
      </c>
      <c r="E2340">
        <v>0</v>
      </c>
      <c r="F2340">
        <v>0.75</v>
      </c>
      <c r="G2340">
        <v>5.1435470581054597E-2</v>
      </c>
      <c r="H2340">
        <v>0</v>
      </c>
      <c r="I2340">
        <v>0</v>
      </c>
      <c r="J2340">
        <v>30</v>
      </c>
    </row>
    <row r="2341" spans="1:10" x14ac:dyDescent="0.25">
      <c r="A2341" t="s">
        <v>22</v>
      </c>
      <c r="B2341" t="s">
        <v>21</v>
      </c>
      <c r="C2341" t="s">
        <v>18</v>
      </c>
      <c r="D2341" t="s">
        <v>15</v>
      </c>
      <c r="E2341">
        <v>0</v>
      </c>
      <c r="F2341">
        <v>0.75</v>
      </c>
      <c r="G2341">
        <v>6.3848733901977497E-2</v>
      </c>
      <c r="H2341">
        <v>0</v>
      </c>
      <c r="I2341">
        <v>0</v>
      </c>
      <c r="J2341">
        <v>30</v>
      </c>
    </row>
    <row r="2342" spans="1:10" x14ac:dyDescent="0.25">
      <c r="A2342" t="s">
        <v>22</v>
      </c>
      <c r="B2342" t="s">
        <v>21</v>
      </c>
      <c r="C2342" t="s">
        <v>18</v>
      </c>
      <c r="D2342" t="s">
        <v>16</v>
      </c>
      <c r="E2342">
        <v>0</v>
      </c>
      <c r="F2342">
        <v>0.75</v>
      </c>
      <c r="G2342">
        <v>9.6102476119995103E-2</v>
      </c>
      <c r="H2342">
        <v>0</v>
      </c>
      <c r="I2342">
        <v>0</v>
      </c>
      <c r="J2342">
        <v>30</v>
      </c>
    </row>
    <row r="2343" spans="1:10" x14ac:dyDescent="0.25">
      <c r="A2343" t="s">
        <v>22</v>
      </c>
      <c r="B2343" t="s">
        <v>21</v>
      </c>
      <c r="C2343" t="s">
        <v>18</v>
      </c>
      <c r="D2343" t="s">
        <v>16</v>
      </c>
      <c r="E2343">
        <v>0</v>
      </c>
      <c r="F2343">
        <v>0.75</v>
      </c>
      <c r="G2343">
        <v>0.121639251708984</v>
      </c>
      <c r="H2343">
        <v>0</v>
      </c>
      <c r="I2343">
        <v>0</v>
      </c>
      <c r="J2343">
        <v>30</v>
      </c>
    </row>
    <row r="2344" spans="1:10" x14ac:dyDescent="0.25">
      <c r="A2344" t="s">
        <v>22</v>
      </c>
      <c r="B2344" t="s">
        <v>21</v>
      </c>
      <c r="C2344" t="s">
        <v>18</v>
      </c>
      <c r="D2344" t="s">
        <v>16</v>
      </c>
      <c r="E2344">
        <v>0</v>
      </c>
      <c r="F2344">
        <v>0.75</v>
      </c>
      <c r="G2344">
        <v>0.131765127182006</v>
      </c>
      <c r="H2344">
        <v>0</v>
      </c>
      <c r="I2344">
        <v>0</v>
      </c>
      <c r="J2344">
        <v>30</v>
      </c>
    </row>
    <row r="2345" spans="1:10" x14ac:dyDescent="0.25">
      <c r="A2345" t="s">
        <v>22</v>
      </c>
      <c r="B2345" t="s">
        <v>21</v>
      </c>
      <c r="C2345" t="s">
        <v>18</v>
      </c>
      <c r="D2345" t="s">
        <v>16</v>
      </c>
      <c r="E2345">
        <v>0</v>
      </c>
      <c r="F2345">
        <v>0.75</v>
      </c>
      <c r="G2345">
        <v>0.131765127182006</v>
      </c>
      <c r="H2345">
        <v>0</v>
      </c>
      <c r="I2345">
        <v>0</v>
      </c>
      <c r="J2345">
        <v>30</v>
      </c>
    </row>
    <row r="2346" spans="1:10" x14ac:dyDescent="0.25">
      <c r="A2346" t="s">
        <v>22</v>
      </c>
      <c r="B2346" t="s">
        <v>21</v>
      </c>
      <c r="C2346" t="s">
        <v>18</v>
      </c>
      <c r="D2346" t="s">
        <v>16</v>
      </c>
      <c r="E2346">
        <v>0</v>
      </c>
      <c r="F2346">
        <v>0.75</v>
      </c>
      <c r="G2346">
        <v>0.121639251708984</v>
      </c>
      <c r="H2346">
        <v>0</v>
      </c>
      <c r="I2346">
        <v>0</v>
      </c>
      <c r="J2346">
        <v>30</v>
      </c>
    </row>
    <row r="2347" spans="1:10" x14ac:dyDescent="0.25">
      <c r="A2347" t="s">
        <v>22</v>
      </c>
      <c r="B2347" t="s">
        <v>21</v>
      </c>
      <c r="C2347" t="s">
        <v>18</v>
      </c>
      <c r="D2347" t="s">
        <v>16</v>
      </c>
      <c r="E2347">
        <v>0</v>
      </c>
      <c r="F2347">
        <v>0.75</v>
      </c>
      <c r="G2347">
        <v>0.14188838005065901</v>
      </c>
      <c r="H2347">
        <v>0</v>
      </c>
      <c r="I2347">
        <v>0</v>
      </c>
      <c r="J2347">
        <v>30</v>
      </c>
    </row>
    <row r="2348" spans="1:10" x14ac:dyDescent="0.25">
      <c r="A2348" t="s">
        <v>22</v>
      </c>
      <c r="B2348" t="s">
        <v>21</v>
      </c>
      <c r="C2348" t="s">
        <v>18</v>
      </c>
      <c r="D2348" t="s">
        <v>16</v>
      </c>
      <c r="E2348">
        <v>0</v>
      </c>
      <c r="F2348">
        <v>0.75</v>
      </c>
      <c r="G2348">
        <v>0.14166641235351499</v>
      </c>
      <c r="H2348">
        <v>0</v>
      </c>
      <c r="I2348">
        <v>0</v>
      </c>
      <c r="J2348">
        <v>30</v>
      </c>
    </row>
    <row r="2349" spans="1:10" x14ac:dyDescent="0.25">
      <c r="A2349" t="s">
        <v>22</v>
      </c>
      <c r="B2349" t="s">
        <v>21</v>
      </c>
      <c r="C2349" t="s">
        <v>18</v>
      </c>
      <c r="D2349" t="s">
        <v>16</v>
      </c>
      <c r="E2349">
        <v>0</v>
      </c>
      <c r="F2349">
        <v>0.75</v>
      </c>
      <c r="G2349">
        <v>0.15341234207153301</v>
      </c>
      <c r="H2349">
        <v>0</v>
      </c>
      <c r="I2349">
        <v>0</v>
      </c>
      <c r="J2349">
        <v>30</v>
      </c>
    </row>
    <row r="2350" spans="1:10" x14ac:dyDescent="0.25">
      <c r="A2350" t="s">
        <v>22</v>
      </c>
      <c r="B2350" t="s">
        <v>21</v>
      </c>
      <c r="C2350" t="s">
        <v>18</v>
      </c>
      <c r="D2350" t="s">
        <v>16</v>
      </c>
      <c r="E2350">
        <v>0</v>
      </c>
      <c r="F2350">
        <v>0.75</v>
      </c>
      <c r="G2350">
        <v>0.14281296730041501</v>
      </c>
      <c r="H2350">
        <v>0</v>
      </c>
      <c r="I2350">
        <v>0</v>
      </c>
      <c r="J2350">
        <v>30</v>
      </c>
    </row>
    <row r="2351" spans="1:10" x14ac:dyDescent="0.25">
      <c r="A2351" t="s">
        <v>22</v>
      </c>
      <c r="B2351" t="s">
        <v>21</v>
      </c>
      <c r="C2351" t="s">
        <v>18</v>
      </c>
      <c r="D2351" t="s">
        <v>16</v>
      </c>
      <c r="E2351">
        <v>0</v>
      </c>
      <c r="F2351">
        <v>0.75</v>
      </c>
      <c r="G2351">
        <v>0.16261029243469199</v>
      </c>
      <c r="H2351">
        <v>0</v>
      </c>
      <c r="I2351">
        <v>0</v>
      </c>
      <c r="J2351">
        <v>30</v>
      </c>
    </row>
    <row r="2352" spans="1:10" x14ac:dyDescent="0.25">
      <c r="A2352" t="s">
        <v>22</v>
      </c>
      <c r="B2352" t="s">
        <v>21</v>
      </c>
      <c r="C2352" t="s">
        <v>18</v>
      </c>
      <c r="D2352" t="s">
        <v>16</v>
      </c>
      <c r="E2352">
        <v>0</v>
      </c>
      <c r="F2352">
        <v>0.75</v>
      </c>
      <c r="G2352">
        <v>0.16261029243469199</v>
      </c>
      <c r="H2352">
        <v>0</v>
      </c>
      <c r="I2352">
        <v>0</v>
      </c>
      <c r="J2352">
        <v>30</v>
      </c>
    </row>
    <row r="2353" spans="1:10" x14ac:dyDescent="0.25">
      <c r="A2353" t="s">
        <v>22</v>
      </c>
      <c r="B2353" t="s">
        <v>21</v>
      </c>
      <c r="C2353" t="s">
        <v>18</v>
      </c>
      <c r="D2353" t="s">
        <v>16</v>
      </c>
      <c r="E2353">
        <v>0</v>
      </c>
      <c r="F2353">
        <v>0.75</v>
      </c>
      <c r="G2353">
        <v>0.131765127182006</v>
      </c>
      <c r="H2353">
        <v>0</v>
      </c>
      <c r="I2353">
        <v>0</v>
      </c>
      <c r="J2353">
        <v>30</v>
      </c>
    </row>
    <row r="2354" spans="1:10" x14ac:dyDescent="0.25">
      <c r="A2354" t="s">
        <v>22</v>
      </c>
      <c r="B2354" t="s">
        <v>21</v>
      </c>
      <c r="C2354" t="s">
        <v>18</v>
      </c>
      <c r="D2354" t="s">
        <v>16</v>
      </c>
      <c r="E2354">
        <v>0</v>
      </c>
      <c r="F2354">
        <v>0.75</v>
      </c>
      <c r="G2354">
        <v>0.162316799163818</v>
      </c>
      <c r="H2354">
        <v>0</v>
      </c>
      <c r="I2354">
        <v>0</v>
      </c>
      <c r="J2354">
        <v>30</v>
      </c>
    </row>
    <row r="2355" spans="1:10" x14ac:dyDescent="0.25">
      <c r="A2355" t="s">
        <v>22</v>
      </c>
      <c r="B2355" t="s">
        <v>21</v>
      </c>
      <c r="C2355" t="s">
        <v>18</v>
      </c>
      <c r="D2355" t="s">
        <v>16</v>
      </c>
      <c r="E2355">
        <v>0</v>
      </c>
      <c r="F2355">
        <v>0.75</v>
      </c>
      <c r="G2355">
        <v>0.172916173934936</v>
      </c>
      <c r="H2355">
        <v>0</v>
      </c>
      <c r="I2355">
        <v>0</v>
      </c>
      <c r="J2355">
        <v>30</v>
      </c>
    </row>
    <row r="2356" spans="1:10" x14ac:dyDescent="0.25">
      <c r="A2356" t="s">
        <v>22</v>
      </c>
      <c r="B2356" t="s">
        <v>21</v>
      </c>
      <c r="C2356" t="s">
        <v>18</v>
      </c>
      <c r="D2356" t="s">
        <v>16</v>
      </c>
      <c r="E2356">
        <v>0</v>
      </c>
      <c r="F2356">
        <v>0.75</v>
      </c>
      <c r="G2356">
        <v>0.172916173934936</v>
      </c>
      <c r="H2356">
        <v>0</v>
      </c>
      <c r="I2356">
        <v>0</v>
      </c>
      <c r="J2356">
        <v>30</v>
      </c>
    </row>
    <row r="2357" spans="1:10" x14ac:dyDescent="0.25">
      <c r="A2357" t="s">
        <v>22</v>
      </c>
      <c r="B2357" t="s">
        <v>21</v>
      </c>
      <c r="C2357" t="s">
        <v>18</v>
      </c>
      <c r="D2357" t="s">
        <v>16</v>
      </c>
      <c r="E2357">
        <v>0</v>
      </c>
      <c r="F2357">
        <v>0.75</v>
      </c>
      <c r="G2357">
        <v>0.162316799163818</v>
      </c>
      <c r="H2357">
        <v>0</v>
      </c>
      <c r="I2357">
        <v>0</v>
      </c>
      <c r="J2357">
        <v>30</v>
      </c>
    </row>
    <row r="2358" spans="1:10" x14ac:dyDescent="0.25">
      <c r="A2358" t="s">
        <v>22</v>
      </c>
      <c r="B2358" t="s">
        <v>21</v>
      </c>
      <c r="C2358" t="s">
        <v>18</v>
      </c>
      <c r="D2358" t="s">
        <v>16</v>
      </c>
      <c r="E2358">
        <v>0</v>
      </c>
      <c r="F2358">
        <v>0.75</v>
      </c>
      <c r="G2358">
        <v>0.18582868576049799</v>
      </c>
      <c r="H2358">
        <v>0</v>
      </c>
      <c r="I2358">
        <v>0</v>
      </c>
      <c r="J2358">
        <v>30</v>
      </c>
    </row>
    <row r="2359" spans="1:10" x14ac:dyDescent="0.25">
      <c r="A2359" t="s">
        <v>22</v>
      </c>
      <c r="B2359" t="s">
        <v>21</v>
      </c>
      <c r="C2359" t="s">
        <v>18</v>
      </c>
      <c r="D2359" t="s">
        <v>16</v>
      </c>
      <c r="E2359">
        <v>0</v>
      </c>
      <c r="F2359">
        <v>0.75</v>
      </c>
      <c r="G2359">
        <v>0.20394706726074199</v>
      </c>
      <c r="H2359">
        <v>0</v>
      </c>
      <c r="I2359">
        <v>0</v>
      </c>
      <c r="J2359">
        <v>30</v>
      </c>
    </row>
    <row r="2360" spans="1:10" x14ac:dyDescent="0.25">
      <c r="A2360" t="s">
        <v>22</v>
      </c>
      <c r="B2360" t="s">
        <v>21</v>
      </c>
      <c r="C2360" t="s">
        <v>18</v>
      </c>
      <c r="D2360" t="s">
        <v>16</v>
      </c>
      <c r="E2360">
        <v>0</v>
      </c>
      <c r="F2360">
        <v>0.75</v>
      </c>
      <c r="G2360">
        <v>0.19565415382385201</v>
      </c>
      <c r="H2360">
        <v>0</v>
      </c>
      <c r="I2360">
        <v>0</v>
      </c>
      <c r="J2360">
        <v>30</v>
      </c>
    </row>
    <row r="2361" spans="1:10" x14ac:dyDescent="0.25">
      <c r="A2361" t="s">
        <v>22</v>
      </c>
      <c r="B2361" t="s">
        <v>21</v>
      </c>
      <c r="C2361" t="s">
        <v>18</v>
      </c>
      <c r="D2361" t="s">
        <v>16</v>
      </c>
      <c r="E2361">
        <v>0</v>
      </c>
      <c r="F2361">
        <v>0.75</v>
      </c>
      <c r="G2361">
        <v>0.193347692489624</v>
      </c>
      <c r="H2361">
        <v>0</v>
      </c>
      <c r="I2361">
        <v>0</v>
      </c>
      <c r="J2361">
        <v>30</v>
      </c>
    </row>
    <row r="2362" spans="1:10" x14ac:dyDescent="0.25">
      <c r="A2362" t="s">
        <v>22</v>
      </c>
      <c r="B2362" t="s">
        <v>21</v>
      </c>
      <c r="C2362" t="s">
        <v>18</v>
      </c>
      <c r="D2362" t="s">
        <v>16</v>
      </c>
      <c r="E2362">
        <v>0</v>
      </c>
      <c r="F2362">
        <v>0.75</v>
      </c>
      <c r="G2362">
        <v>0.18813514709472601</v>
      </c>
      <c r="H2362">
        <v>0</v>
      </c>
      <c r="I2362">
        <v>0</v>
      </c>
      <c r="J2362">
        <v>30</v>
      </c>
    </row>
    <row r="2363" spans="1:10" x14ac:dyDescent="0.25">
      <c r="A2363" t="s">
        <v>22</v>
      </c>
      <c r="B2363" t="s">
        <v>21</v>
      </c>
      <c r="C2363" t="s">
        <v>18</v>
      </c>
      <c r="D2363" t="s">
        <v>16</v>
      </c>
      <c r="E2363">
        <v>0</v>
      </c>
      <c r="F2363">
        <v>0.75</v>
      </c>
      <c r="G2363">
        <v>0.21270155906677199</v>
      </c>
      <c r="H2363">
        <v>0</v>
      </c>
      <c r="I2363">
        <v>0</v>
      </c>
      <c r="J2363">
        <v>30</v>
      </c>
    </row>
    <row r="2364" spans="1:10" x14ac:dyDescent="0.25">
      <c r="A2364" t="s">
        <v>22</v>
      </c>
      <c r="B2364" t="s">
        <v>21</v>
      </c>
      <c r="C2364" t="s">
        <v>18</v>
      </c>
      <c r="D2364" t="s">
        <v>16</v>
      </c>
      <c r="E2364">
        <v>0</v>
      </c>
      <c r="F2364">
        <v>0.75</v>
      </c>
      <c r="G2364">
        <v>0.205703020095825</v>
      </c>
      <c r="H2364">
        <v>0</v>
      </c>
      <c r="I2364">
        <v>0</v>
      </c>
      <c r="J2364">
        <v>30</v>
      </c>
    </row>
    <row r="2365" spans="1:10" x14ac:dyDescent="0.25">
      <c r="A2365" t="s">
        <v>22</v>
      </c>
      <c r="B2365" t="s">
        <v>21</v>
      </c>
      <c r="C2365" t="s">
        <v>18</v>
      </c>
      <c r="D2365" t="s">
        <v>16</v>
      </c>
      <c r="E2365">
        <v>0</v>
      </c>
      <c r="F2365">
        <v>0.75</v>
      </c>
      <c r="G2365">
        <v>0.206703186035156</v>
      </c>
      <c r="H2365">
        <v>0</v>
      </c>
      <c r="I2365">
        <v>0</v>
      </c>
      <c r="J2365">
        <v>30</v>
      </c>
    </row>
    <row r="2366" spans="1:10" x14ac:dyDescent="0.25">
      <c r="A2366" t="s">
        <v>22</v>
      </c>
      <c r="B2366" t="s">
        <v>21</v>
      </c>
      <c r="C2366" t="s">
        <v>18</v>
      </c>
      <c r="D2366" t="s">
        <v>16</v>
      </c>
      <c r="E2366">
        <v>0</v>
      </c>
      <c r="F2366">
        <v>0.75</v>
      </c>
      <c r="G2366">
        <v>0.210015773773193</v>
      </c>
      <c r="H2366">
        <v>0</v>
      </c>
      <c r="I2366">
        <v>0</v>
      </c>
      <c r="J2366">
        <v>30</v>
      </c>
    </row>
    <row r="2367" spans="1:10" x14ac:dyDescent="0.25">
      <c r="A2367" t="s">
        <v>22</v>
      </c>
      <c r="B2367" t="s">
        <v>21</v>
      </c>
      <c r="C2367" t="s">
        <v>18</v>
      </c>
      <c r="D2367" t="s">
        <v>16</v>
      </c>
      <c r="E2367">
        <v>0</v>
      </c>
      <c r="F2367">
        <v>0.75</v>
      </c>
      <c r="G2367">
        <v>0.21070671081542899</v>
      </c>
      <c r="H2367">
        <v>0</v>
      </c>
      <c r="I2367">
        <v>0</v>
      </c>
      <c r="J2367">
        <v>30</v>
      </c>
    </row>
    <row r="2368" spans="1:10" x14ac:dyDescent="0.25">
      <c r="A2368" t="s">
        <v>22</v>
      </c>
      <c r="B2368" t="s">
        <v>21</v>
      </c>
      <c r="C2368" t="s">
        <v>18</v>
      </c>
      <c r="D2368" t="s">
        <v>16</v>
      </c>
      <c r="E2368">
        <v>0</v>
      </c>
      <c r="F2368">
        <v>0.75</v>
      </c>
      <c r="G2368">
        <v>0.21265387535095201</v>
      </c>
      <c r="H2368">
        <v>0</v>
      </c>
      <c r="I2368">
        <v>0</v>
      </c>
      <c r="J2368">
        <v>30</v>
      </c>
    </row>
    <row r="2369" spans="1:10" x14ac:dyDescent="0.25">
      <c r="A2369" t="s">
        <v>22</v>
      </c>
      <c r="B2369" t="s">
        <v>21</v>
      </c>
      <c r="C2369" t="s">
        <v>18</v>
      </c>
      <c r="D2369" t="s">
        <v>16</v>
      </c>
      <c r="E2369">
        <v>0</v>
      </c>
      <c r="F2369">
        <v>0.75</v>
      </c>
      <c r="G2369">
        <v>0.21070671081542899</v>
      </c>
      <c r="H2369">
        <v>0</v>
      </c>
      <c r="I2369">
        <v>0</v>
      </c>
      <c r="J2369">
        <v>30</v>
      </c>
    </row>
    <row r="2370" spans="1:10" x14ac:dyDescent="0.25">
      <c r="A2370" t="s">
        <v>22</v>
      </c>
      <c r="B2370" t="s">
        <v>21</v>
      </c>
      <c r="C2370" t="s">
        <v>18</v>
      </c>
      <c r="D2370" t="s">
        <v>16</v>
      </c>
      <c r="E2370">
        <v>0</v>
      </c>
      <c r="F2370">
        <v>0.75</v>
      </c>
      <c r="G2370">
        <v>0.20394706726074199</v>
      </c>
      <c r="H2370">
        <v>0</v>
      </c>
      <c r="I2370">
        <v>0</v>
      </c>
      <c r="J2370">
        <v>30</v>
      </c>
    </row>
    <row r="2371" spans="1:10" x14ac:dyDescent="0.25">
      <c r="A2371" t="s">
        <v>22</v>
      </c>
      <c r="B2371" t="s">
        <v>21</v>
      </c>
      <c r="C2371" t="s">
        <v>18</v>
      </c>
      <c r="D2371" t="s">
        <v>16</v>
      </c>
      <c r="E2371">
        <v>0</v>
      </c>
      <c r="F2371">
        <v>0.75</v>
      </c>
      <c r="G2371">
        <v>0.193347692489624</v>
      </c>
      <c r="H2371">
        <v>0</v>
      </c>
      <c r="I2371">
        <v>0</v>
      </c>
      <c r="J2371">
        <v>30</v>
      </c>
    </row>
    <row r="2372" spans="1:10" x14ac:dyDescent="0.25">
      <c r="A2372" t="s">
        <v>22</v>
      </c>
      <c r="B2372" t="s">
        <v>21</v>
      </c>
      <c r="C2372" t="s">
        <v>18</v>
      </c>
      <c r="D2372" t="s">
        <v>17</v>
      </c>
      <c r="E2372">
        <v>0.191176470588235</v>
      </c>
      <c r="F2372">
        <v>0.78989357236323499</v>
      </c>
      <c r="G2372">
        <v>2.0738091468811</v>
      </c>
      <c r="H2372">
        <v>9</v>
      </c>
      <c r="I2372">
        <v>12</v>
      </c>
      <c r="J2372">
        <v>30</v>
      </c>
    </row>
    <row r="2373" spans="1:10" x14ac:dyDescent="0.25">
      <c r="A2373" t="s">
        <v>22</v>
      </c>
      <c r="B2373" t="s">
        <v>21</v>
      </c>
      <c r="C2373" t="s">
        <v>18</v>
      </c>
      <c r="D2373" t="s">
        <v>17</v>
      </c>
      <c r="E2373">
        <v>0.32352941176470501</v>
      </c>
      <c r="F2373">
        <v>0.79679096399264704</v>
      </c>
      <c r="G2373">
        <v>3.8982460498809801</v>
      </c>
      <c r="H2373">
        <v>23</v>
      </c>
      <c r="I2373">
        <v>35</v>
      </c>
      <c r="J2373">
        <v>30</v>
      </c>
    </row>
    <row r="2374" spans="1:10" x14ac:dyDescent="0.25">
      <c r="A2374" t="s">
        <v>22</v>
      </c>
      <c r="B2374" t="s">
        <v>21</v>
      </c>
      <c r="C2374" t="s">
        <v>18</v>
      </c>
      <c r="D2374" t="s">
        <v>17</v>
      </c>
      <c r="E2374">
        <v>0.32352941176470501</v>
      </c>
      <c r="F2374">
        <v>0.77595473774852897</v>
      </c>
      <c r="G2374">
        <v>5.4587347507476798</v>
      </c>
      <c r="H2374">
        <v>34</v>
      </c>
      <c r="I2374">
        <v>48</v>
      </c>
      <c r="J2374">
        <v>30</v>
      </c>
    </row>
    <row r="2375" spans="1:10" x14ac:dyDescent="0.25">
      <c r="A2375" t="s">
        <v>22</v>
      </c>
      <c r="B2375" t="s">
        <v>21</v>
      </c>
      <c r="C2375" t="s">
        <v>18</v>
      </c>
      <c r="D2375" t="s">
        <v>17</v>
      </c>
      <c r="E2375">
        <v>0.45588235294117602</v>
      </c>
      <c r="F2375">
        <v>0.79800181473529397</v>
      </c>
      <c r="G2375">
        <v>5.8980631828308097</v>
      </c>
      <c r="H2375">
        <v>29</v>
      </c>
      <c r="I2375">
        <v>42</v>
      </c>
      <c r="J2375">
        <v>30</v>
      </c>
    </row>
    <row r="2376" spans="1:10" x14ac:dyDescent="0.25">
      <c r="A2376" t="s">
        <v>22</v>
      </c>
      <c r="B2376" t="s">
        <v>21</v>
      </c>
      <c r="C2376" t="s">
        <v>18</v>
      </c>
      <c r="D2376" t="s">
        <v>17</v>
      </c>
      <c r="E2376">
        <v>0.441176470588235</v>
      </c>
      <c r="F2376">
        <v>0.78827097642352895</v>
      </c>
      <c r="G2376">
        <v>6.82210040092468</v>
      </c>
      <c r="H2376">
        <v>36</v>
      </c>
      <c r="I2376">
        <v>48</v>
      </c>
      <c r="J2376">
        <v>30</v>
      </c>
    </row>
    <row r="2377" spans="1:10" x14ac:dyDescent="0.25">
      <c r="A2377" t="s">
        <v>22</v>
      </c>
      <c r="B2377" t="s">
        <v>21</v>
      </c>
      <c r="C2377" t="s">
        <v>18</v>
      </c>
      <c r="D2377" t="s">
        <v>17</v>
      </c>
      <c r="E2377">
        <v>0.51470588235294101</v>
      </c>
      <c r="F2377">
        <v>0.77957434861911701</v>
      </c>
      <c r="G2377">
        <v>7.09250783920288</v>
      </c>
      <c r="H2377">
        <v>38</v>
      </c>
      <c r="I2377">
        <v>51</v>
      </c>
      <c r="J2377">
        <v>30</v>
      </c>
    </row>
    <row r="2378" spans="1:10" x14ac:dyDescent="0.25">
      <c r="A2378" t="s">
        <v>22</v>
      </c>
      <c r="B2378" t="s">
        <v>21</v>
      </c>
      <c r="C2378" t="s">
        <v>18</v>
      </c>
      <c r="D2378" t="s">
        <v>17</v>
      </c>
      <c r="E2378">
        <v>0.42647058823529399</v>
      </c>
      <c r="F2378">
        <v>0.79846160475294103</v>
      </c>
      <c r="G2378">
        <v>7.3185739517211896</v>
      </c>
      <c r="H2378">
        <v>35</v>
      </c>
      <c r="I2378">
        <v>47</v>
      </c>
      <c r="J2378">
        <v>30</v>
      </c>
    </row>
    <row r="2379" spans="1:10" x14ac:dyDescent="0.25">
      <c r="A2379" t="s">
        <v>22</v>
      </c>
      <c r="B2379" t="s">
        <v>21</v>
      </c>
      <c r="C2379" t="s">
        <v>18</v>
      </c>
      <c r="D2379" t="s">
        <v>17</v>
      </c>
      <c r="E2379">
        <v>0.32352941176470501</v>
      </c>
      <c r="F2379">
        <v>0.76731004942941095</v>
      </c>
      <c r="G2379">
        <v>7.50170421600341</v>
      </c>
      <c r="H2379">
        <v>42</v>
      </c>
      <c r="I2379">
        <v>59</v>
      </c>
      <c r="J2379">
        <v>30</v>
      </c>
    </row>
    <row r="2380" spans="1:10" x14ac:dyDescent="0.25">
      <c r="A2380" t="s">
        <v>22</v>
      </c>
      <c r="B2380" t="s">
        <v>21</v>
      </c>
      <c r="C2380" t="s">
        <v>18</v>
      </c>
      <c r="D2380" t="s">
        <v>17</v>
      </c>
      <c r="E2380">
        <v>0.41176470588235198</v>
      </c>
      <c r="F2380">
        <v>0.77023994166323495</v>
      </c>
      <c r="G2380">
        <v>7.5429370403289697</v>
      </c>
      <c r="H2380">
        <v>40</v>
      </c>
      <c r="I2380">
        <v>57</v>
      </c>
      <c r="J2380">
        <v>30</v>
      </c>
    </row>
    <row r="2381" spans="1:10" x14ac:dyDescent="0.25">
      <c r="A2381" t="s">
        <v>22</v>
      </c>
      <c r="B2381" t="s">
        <v>21</v>
      </c>
      <c r="C2381" t="s">
        <v>18</v>
      </c>
      <c r="D2381" t="s">
        <v>17</v>
      </c>
      <c r="E2381">
        <v>0.45588235294117602</v>
      </c>
      <c r="F2381">
        <v>0.79233658185588196</v>
      </c>
      <c r="G2381">
        <v>7.9066021442413303</v>
      </c>
      <c r="H2381">
        <v>50</v>
      </c>
      <c r="I2381">
        <v>71</v>
      </c>
      <c r="J2381">
        <v>30</v>
      </c>
    </row>
    <row r="2382" spans="1:10" x14ac:dyDescent="0.25">
      <c r="A2382" t="s">
        <v>22</v>
      </c>
      <c r="B2382" t="s">
        <v>21</v>
      </c>
      <c r="C2382" t="s">
        <v>18</v>
      </c>
      <c r="D2382" t="s">
        <v>17</v>
      </c>
      <c r="E2382">
        <v>0.441176470588235</v>
      </c>
      <c r="F2382">
        <v>0.79776324231029405</v>
      </c>
      <c r="G2382">
        <v>8.23412990570068</v>
      </c>
      <c r="H2382">
        <v>27</v>
      </c>
      <c r="I2382">
        <v>36</v>
      </c>
      <c r="J2382">
        <v>30</v>
      </c>
    </row>
    <row r="2383" spans="1:10" x14ac:dyDescent="0.25">
      <c r="A2383" t="s">
        <v>22</v>
      </c>
      <c r="B2383" t="s">
        <v>21</v>
      </c>
      <c r="C2383" t="s">
        <v>18</v>
      </c>
      <c r="D2383" t="s">
        <v>17</v>
      </c>
      <c r="E2383">
        <v>0.33823529411764702</v>
      </c>
      <c r="F2383">
        <v>0.76773101490588203</v>
      </c>
      <c r="G2383">
        <v>8.3712031841278005</v>
      </c>
      <c r="H2383">
        <v>48</v>
      </c>
      <c r="I2383">
        <v>66</v>
      </c>
      <c r="J2383">
        <v>30</v>
      </c>
    </row>
    <row r="2384" spans="1:10" x14ac:dyDescent="0.25">
      <c r="A2384" t="s">
        <v>22</v>
      </c>
      <c r="B2384" t="s">
        <v>21</v>
      </c>
      <c r="C2384" t="s">
        <v>18</v>
      </c>
      <c r="D2384" t="s">
        <v>17</v>
      </c>
      <c r="E2384">
        <v>0.48529411764705799</v>
      </c>
      <c r="F2384">
        <v>0.81520312834558795</v>
      </c>
      <c r="G2384">
        <v>8.3760254383087105</v>
      </c>
      <c r="H2384">
        <v>47</v>
      </c>
      <c r="I2384">
        <v>69</v>
      </c>
      <c r="J2384">
        <v>30</v>
      </c>
    </row>
    <row r="2385" spans="1:10" x14ac:dyDescent="0.25">
      <c r="A2385" t="s">
        <v>22</v>
      </c>
      <c r="B2385" t="s">
        <v>21</v>
      </c>
      <c r="C2385" t="s">
        <v>18</v>
      </c>
      <c r="D2385" t="s">
        <v>17</v>
      </c>
      <c r="E2385">
        <v>0.45588235294117602</v>
      </c>
      <c r="F2385">
        <v>0.79631353178529396</v>
      </c>
      <c r="G2385">
        <v>8.4404497146606392</v>
      </c>
      <c r="H2385">
        <v>41</v>
      </c>
      <c r="I2385">
        <v>57</v>
      </c>
      <c r="J2385">
        <v>30</v>
      </c>
    </row>
    <row r="2386" spans="1:10" x14ac:dyDescent="0.25">
      <c r="A2386" t="s">
        <v>22</v>
      </c>
      <c r="B2386" t="s">
        <v>21</v>
      </c>
      <c r="C2386" t="s">
        <v>18</v>
      </c>
      <c r="D2386" t="s">
        <v>17</v>
      </c>
      <c r="E2386">
        <v>0.42647058823529399</v>
      </c>
      <c r="F2386">
        <v>0.80020586541764704</v>
      </c>
      <c r="G2386">
        <v>8.7108635902404696</v>
      </c>
      <c r="H2386">
        <v>47</v>
      </c>
      <c r="I2386">
        <v>69</v>
      </c>
      <c r="J2386">
        <v>30</v>
      </c>
    </row>
    <row r="2387" spans="1:10" x14ac:dyDescent="0.25">
      <c r="A2387" t="s">
        <v>22</v>
      </c>
      <c r="B2387" t="s">
        <v>21</v>
      </c>
      <c r="C2387" t="s">
        <v>18</v>
      </c>
      <c r="D2387" t="s">
        <v>17</v>
      </c>
      <c r="E2387">
        <v>0.45588235294117602</v>
      </c>
      <c r="F2387">
        <v>0.78820008921617601</v>
      </c>
      <c r="G2387">
        <v>8.7262289524078298</v>
      </c>
      <c r="H2387">
        <v>44</v>
      </c>
      <c r="I2387">
        <v>61</v>
      </c>
      <c r="J2387">
        <v>30</v>
      </c>
    </row>
    <row r="2388" spans="1:10" x14ac:dyDescent="0.25">
      <c r="A2388" t="s">
        <v>22</v>
      </c>
      <c r="B2388" t="s">
        <v>21</v>
      </c>
      <c r="C2388" t="s">
        <v>18</v>
      </c>
      <c r="D2388" t="s">
        <v>17</v>
      </c>
      <c r="E2388">
        <v>0.45588235294117602</v>
      </c>
      <c r="F2388">
        <v>0.77692082374264704</v>
      </c>
      <c r="G2388">
        <v>8.8735904693603498</v>
      </c>
      <c r="H2388">
        <v>38</v>
      </c>
      <c r="I2388">
        <v>54</v>
      </c>
      <c r="J2388">
        <v>30</v>
      </c>
    </row>
    <row r="2389" spans="1:10" x14ac:dyDescent="0.25">
      <c r="A2389" t="s">
        <v>22</v>
      </c>
      <c r="B2389" t="s">
        <v>21</v>
      </c>
      <c r="C2389" t="s">
        <v>18</v>
      </c>
      <c r="D2389" t="s">
        <v>17</v>
      </c>
      <c r="E2389">
        <v>0.54411764705882304</v>
      </c>
      <c r="F2389">
        <v>0.75368610583676399</v>
      </c>
      <c r="G2389">
        <v>8.9469389915466309</v>
      </c>
      <c r="H2389">
        <v>66</v>
      </c>
      <c r="I2389">
        <v>88</v>
      </c>
      <c r="J2389">
        <v>30</v>
      </c>
    </row>
    <row r="2390" spans="1:10" x14ac:dyDescent="0.25">
      <c r="A2390" t="s">
        <v>22</v>
      </c>
      <c r="B2390" t="s">
        <v>21</v>
      </c>
      <c r="C2390" t="s">
        <v>18</v>
      </c>
      <c r="D2390" t="s">
        <v>17</v>
      </c>
      <c r="E2390">
        <v>0.5</v>
      </c>
      <c r="F2390">
        <v>0.80528423857499898</v>
      </c>
      <c r="G2390">
        <v>9.0490586757659894</v>
      </c>
      <c r="H2390">
        <v>50</v>
      </c>
      <c r="I2390">
        <v>66</v>
      </c>
      <c r="J2390">
        <v>30</v>
      </c>
    </row>
    <row r="2391" spans="1:10" x14ac:dyDescent="0.25">
      <c r="A2391" t="s">
        <v>22</v>
      </c>
      <c r="B2391" t="s">
        <v>21</v>
      </c>
      <c r="C2391" t="s">
        <v>18</v>
      </c>
      <c r="D2391" t="s">
        <v>17</v>
      </c>
      <c r="E2391">
        <v>0.51470588235294101</v>
      </c>
      <c r="F2391">
        <v>0.79625906633382304</v>
      </c>
      <c r="G2391">
        <v>9.1312215328216499</v>
      </c>
      <c r="H2391">
        <v>63</v>
      </c>
      <c r="I2391">
        <v>94</v>
      </c>
      <c r="J2391">
        <v>30</v>
      </c>
    </row>
    <row r="2392" spans="1:10" x14ac:dyDescent="0.25">
      <c r="A2392" t="s">
        <v>22</v>
      </c>
      <c r="B2392" t="s">
        <v>21</v>
      </c>
      <c r="C2392" t="s">
        <v>18</v>
      </c>
      <c r="D2392" t="s">
        <v>17</v>
      </c>
      <c r="E2392">
        <v>0.5</v>
      </c>
      <c r="F2392">
        <v>0.81512506381176397</v>
      </c>
      <c r="G2392">
        <v>9.2239058017730695</v>
      </c>
      <c r="H2392">
        <v>46</v>
      </c>
      <c r="I2392">
        <v>66</v>
      </c>
      <c r="J2392">
        <v>30</v>
      </c>
    </row>
    <row r="2393" spans="1:10" x14ac:dyDescent="0.25">
      <c r="A2393" t="s">
        <v>22</v>
      </c>
      <c r="B2393" t="s">
        <v>21</v>
      </c>
      <c r="C2393" t="s">
        <v>18</v>
      </c>
      <c r="D2393" t="s">
        <v>17</v>
      </c>
      <c r="E2393">
        <v>0.35294117647058798</v>
      </c>
      <c r="F2393">
        <v>0.78927726613529403</v>
      </c>
      <c r="G2393">
        <v>9.2748730182647705</v>
      </c>
      <c r="H2393">
        <v>34</v>
      </c>
      <c r="I2393">
        <v>46</v>
      </c>
      <c r="J2393">
        <v>30</v>
      </c>
    </row>
    <row r="2394" spans="1:10" x14ac:dyDescent="0.25">
      <c r="A2394" t="s">
        <v>22</v>
      </c>
      <c r="B2394" t="s">
        <v>21</v>
      </c>
      <c r="C2394" t="s">
        <v>18</v>
      </c>
      <c r="D2394" t="s">
        <v>17</v>
      </c>
      <c r="E2394">
        <v>0.52941176470588203</v>
      </c>
      <c r="F2394">
        <v>0.80504819583382303</v>
      </c>
      <c r="G2394">
        <v>9.3488221168517995</v>
      </c>
      <c r="H2394">
        <v>48</v>
      </c>
      <c r="I2394">
        <v>64</v>
      </c>
      <c r="J2394">
        <v>30</v>
      </c>
    </row>
    <row r="2395" spans="1:10" x14ac:dyDescent="0.25">
      <c r="A2395" t="s">
        <v>22</v>
      </c>
      <c r="B2395" t="s">
        <v>21</v>
      </c>
      <c r="C2395" t="s">
        <v>18</v>
      </c>
      <c r="D2395" t="s">
        <v>17</v>
      </c>
      <c r="E2395">
        <v>0.441176470588235</v>
      </c>
      <c r="F2395">
        <v>0.76322767611323505</v>
      </c>
      <c r="G2395">
        <v>9.4217185974121094</v>
      </c>
      <c r="H2395">
        <v>71</v>
      </c>
      <c r="I2395">
        <v>98</v>
      </c>
      <c r="J2395">
        <v>30</v>
      </c>
    </row>
    <row r="2396" spans="1:10" x14ac:dyDescent="0.25">
      <c r="A2396" t="s">
        <v>22</v>
      </c>
      <c r="B2396" t="s">
        <v>21</v>
      </c>
      <c r="C2396" t="s">
        <v>18</v>
      </c>
      <c r="D2396" t="s">
        <v>17</v>
      </c>
      <c r="E2396">
        <v>0.48529411764705799</v>
      </c>
      <c r="F2396">
        <v>0.77982082431029398</v>
      </c>
      <c r="G2396">
        <v>9.4674274921417201</v>
      </c>
      <c r="H2396">
        <v>47</v>
      </c>
      <c r="I2396">
        <v>62</v>
      </c>
      <c r="J2396">
        <v>30</v>
      </c>
    </row>
    <row r="2397" spans="1:10" x14ac:dyDescent="0.25">
      <c r="A2397" t="s">
        <v>22</v>
      </c>
      <c r="B2397" t="s">
        <v>21</v>
      </c>
      <c r="C2397" t="s">
        <v>18</v>
      </c>
      <c r="D2397" t="s">
        <v>17</v>
      </c>
      <c r="E2397">
        <v>0.60294117647058798</v>
      </c>
      <c r="F2397">
        <v>0.81807789824852895</v>
      </c>
      <c r="G2397">
        <v>9.5495369434356601</v>
      </c>
      <c r="H2397">
        <v>70</v>
      </c>
      <c r="I2397">
        <v>103</v>
      </c>
      <c r="J2397">
        <v>30</v>
      </c>
    </row>
    <row r="2398" spans="1:10" x14ac:dyDescent="0.25">
      <c r="A2398" t="s">
        <v>22</v>
      </c>
      <c r="B2398" t="s">
        <v>21</v>
      </c>
      <c r="C2398" t="s">
        <v>18</v>
      </c>
      <c r="D2398" t="s">
        <v>17</v>
      </c>
      <c r="E2398">
        <v>0.441176470588235</v>
      </c>
      <c r="F2398">
        <v>0.79571133501323499</v>
      </c>
      <c r="G2398">
        <v>9.6312549114227295</v>
      </c>
      <c r="H2398">
        <v>57</v>
      </c>
      <c r="I2398">
        <v>82</v>
      </c>
      <c r="J2398">
        <v>30</v>
      </c>
    </row>
    <row r="2399" spans="1:10" x14ac:dyDescent="0.25">
      <c r="A2399" t="s">
        <v>22</v>
      </c>
      <c r="B2399" t="s">
        <v>21</v>
      </c>
      <c r="C2399" t="s">
        <v>18</v>
      </c>
      <c r="D2399" t="s">
        <v>17</v>
      </c>
      <c r="E2399">
        <v>0.45588235294117602</v>
      </c>
      <c r="F2399">
        <v>0.79720257049999999</v>
      </c>
      <c r="G2399">
        <v>9.6618096828460693</v>
      </c>
      <c r="H2399">
        <v>71</v>
      </c>
      <c r="I2399">
        <v>103</v>
      </c>
      <c r="J2399">
        <v>30</v>
      </c>
    </row>
    <row r="2400" spans="1:10" x14ac:dyDescent="0.25">
      <c r="A2400" t="s">
        <v>22</v>
      </c>
      <c r="B2400" t="s">
        <v>21</v>
      </c>
      <c r="C2400" t="s">
        <v>18</v>
      </c>
      <c r="D2400" t="s">
        <v>17</v>
      </c>
      <c r="E2400">
        <v>0.41176470588235198</v>
      </c>
      <c r="F2400">
        <v>0.75693840315882299</v>
      </c>
      <c r="G2400">
        <v>9.6927118301391602</v>
      </c>
      <c r="H2400">
        <v>62</v>
      </c>
      <c r="I2400">
        <v>93</v>
      </c>
      <c r="J2400">
        <v>30</v>
      </c>
    </row>
    <row r="2401" spans="1:10" x14ac:dyDescent="0.25">
      <c r="A2401" t="s">
        <v>22</v>
      </c>
      <c r="B2401" t="s">
        <v>21</v>
      </c>
      <c r="C2401" t="s">
        <v>18</v>
      </c>
      <c r="D2401" t="s">
        <v>17</v>
      </c>
      <c r="E2401">
        <v>0.5</v>
      </c>
      <c r="F2401">
        <v>0.80613907200294099</v>
      </c>
      <c r="G2401">
        <v>9.7368309497833199</v>
      </c>
      <c r="H2401">
        <v>52</v>
      </c>
      <c r="I2401">
        <v>78</v>
      </c>
      <c r="J2401">
        <v>30</v>
      </c>
    </row>
    <row r="2402" spans="1:10" x14ac:dyDescent="0.25">
      <c r="A2402" t="s">
        <v>23</v>
      </c>
      <c r="B2402" t="s">
        <v>11</v>
      </c>
      <c r="C2402" t="s">
        <v>12</v>
      </c>
      <c r="D2402" t="s">
        <v>13</v>
      </c>
      <c r="E2402">
        <v>1</v>
      </c>
      <c r="F2402">
        <v>0.99985711117341602</v>
      </c>
      <c r="G2402">
        <v>98.631172657012897</v>
      </c>
      <c r="H2402">
        <v>14</v>
      </c>
      <c r="I2402">
        <v>14</v>
      </c>
      <c r="J2402">
        <v>30</v>
      </c>
    </row>
    <row r="2403" spans="1:10" x14ac:dyDescent="0.25">
      <c r="A2403" t="s">
        <v>23</v>
      </c>
      <c r="B2403" t="s">
        <v>11</v>
      </c>
      <c r="C2403" t="s">
        <v>12</v>
      </c>
      <c r="D2403" t="s">
        <v>13</v>
      </c>
      <c r="E2403">
        <v>1</v>
      </c>
      <c r="F2403">
        <v>0.99966334803117995</v>
      </c>
      <c r="G2403">
        <v>99.142207384109497</v>
      </c>
      <c r="H2403">
        <v>9</v>
      </c>
      <c r="I2403">
        <v>11</v>
      </c>
      <c r="J2403">
        <v>30</v>
      </c>
    </row>
    <row r="2404" spans="1:10" x14ac:dyDescent="0.25">
      <c r="A2404" t="s">
        <v>23</v>
      </c>
      <c r="B2404" t="s">
        <v>11</v>
      </c>
      <c r="C2404" t="s">
        <v>12</v>
      </c>
      <c r="D2404" t="s">
        <v>13</v>
      </c>
      <c r="E2404">
        <v>1</v>
      </c>
      <c r="F2404">
        <v>0.99988311845391298</v>
      </c>
      <c r="G2404">
        <v>107.486113071441</v>
      </c>
      <c r="H2404">
        <v>14</v>
      </c>
      <c r="I2404">
        <v>15</v>
      </c>
      <c r="J2404">
        <v>30</v>
      </c>
    </row>
    <row r="2405" spans="1:10" x14ac:dyDescent="0.25">
      <c r="A2405" t="s">
        <v>23</v>
      </c>
      <c r="B2405" t="s">
        <v>11</v>
      </c>
      <c r="C2405" t="s">
        <v>12</v>
      </c>
      <c r="D2405" t="s">
        <v>13</v>
      </c>
      <c r="E2405">
        <v>1</v>
      </c>
      <c r="F2405">
        <v>0.999891904491925</v>
      </c>
      <c r="G2405">
        <v>109.104403734207</v>
      </c>
      <c r="H2405">
        <v>14</v>
      </c>
      <c r="I2405">
        <v>15</v>
      </c>
      <c r="J2405">
        <v>30</v>
      </c>
    </row>
    <row r="2406" spans="1:10" x14ac:dyDescent="0.25">
      <c r="A2406" t="s">
        <v>23</v>
      </c>
      <c r="B2406" t="s">
        <v>11</v>
      </c>
      <c r="C2406" t="s">
        <v>12</v>
      </c>
      <c r="D2406" t="s">
        <v>13</v>
      </c>
      <c r="E2406">
        <v>0.99875776397515503</v>
      </c>
      <c r="F2406">
        <v>0.99868553245838498</v>
      </c>
      <c r="G2406">
        <v>109.444463968276</v>
      </c>
      <c r="H2406">
        <v>14</v>
      </c>
      <c r="I2406">
        <v>15</v>
      </c>
      <c r="J2406">
        <v>30</v>
      </c>
    </row>
    <row r="2407" spans="1:10" x14ac:dyDescent="0.25">
      <c r="A2407" t="s">
        <v>23</v>
      </c>
      <c r="B2407" t="s">
        <v>11</v>
      </c>
      <c r="C2407" t="s">
        <v>12</v>
      </c>
      <c r="D2407" t="s">
        <v>13</v>
      </c>
      <c r="E2407">
        <v>0.99875776397515503</v>
      </c>
      <c r="F2407">
        <v>0.99814660379701803</v>
      </c>
      <c r="G2407">
        <v>109.60509324073701</v>
      </c>
      <c r="H2407">
        <v>14</v>
      </c>
      <c r="I2407">
        <v>15</v>
      </c>
      <c r="J2407">
        <v>30</v>
      </c>
    </row>
    <row r="2408" spans="1:10" x14ac:dyDescent="0.25">
      <c r="A2408" t="s">
        <v>23</v>
      </c>
      <c r="B2408" t="s">
        <v>11</v>
      </c>
      <c r="C2408" t="s">
        <v>12</v>
      </c>
      <c r="D2408" t="s">
        <v>13</v>
      </c>
      <c r="E2408">
        <v>1</v>
      </c>
      <c r="F2408">
        <v>0.99967558083838504</v>
      </c>
      <c r="G2408">
        <v>109.47907328605601</v>
      </c>
      <c r="H2408">
        <v>11</v>
      </c>
      <c r="I2408">
        <v>15</v>
      </c>
      <c r="J2408">
        <v>30</v>
      </c>
    </row>
    <row r="2409" spans="1:10" x14ac:dyDescent="0.25">
      <c r="A2409" t="s">
        <v>23</v>
      </c>
      <c r="B2409" t="s">
        <v>11</v>
      </c>
      <c r="C2409" t="s">
        <v>12</v>
      </c>
      <c r="D2409" t="s">
        <v>13</v>
      </c>
      <c r="E2409">
        <v>0.99751552795030995</v>
      </c>
      <c r="F2409">
        <v>0.99722583449316704</v>
      </c>
      <c r="G2409">
        <v>110.22820281982401</v>
      </c>
      <c r="H2409">
        <v>14</v>
      </c>
      <c r="I2409">
        <v>16</v>
      </c>
      <c r="J2409">
        <v>30</v>
      </c>
    </row>
    <row r="2410" spans="1:10" x14ac:dyDescent="0.25">
      <c r="A2410" t="s">
        <v>23</v>
      </c>
      <c r="B2410" t="s">
        <v>11</v>
      </c>
      <c r="C2410" t="s">
        <v>12</v>
      </c>
      <c r="D2410" t="s">
        <v>13</v>
      </c>
      <c r="E2410">
        <v>0.99627329192546499</v>
      </c>
      <c r="F2410">
        <v>0.99600937765639697</v>
      </c>
      <c r="G2410">
        <v>111.07746553421001</v>
      </c>
      <c r="H2410">
        <v>14</v>
      </c>
      <c r="I2410">
        <v>16</v>
      </c>
      <c r="J2410">
        <v>30</v>
      </c>
    </row>
    <row r="2411" spans="1:10" x14ac:dyDescent="0.25">
      <c r="A2411" t="s">
        <v>23</v>
      </c>
      <c r="B2411" t="s">
        <v>11</v>
      </c>
      <c r="C2411" t="s">
        <v>12</v>
      </c>
      <c r="D2411" t="s">
        <v>13</v>
      </c>
      <c r="E2411">
        <v>1</v>
      </c>
      <c r="F2411">
        <v>0.99970266733788804</v>
      </c>
      <c r="G2411">
        <v>111.974027872085</v>
      </c>
      <c r="H2411">
        <v>14</v>
      </c>
      <c r="I2411">
        <v>15</v>
      </c>
      <c r="J2411">
        <v>30</v>
      </c>
    </row>
    <row r="2412" spans="1:10" x14ac:dyDescent="0.25">
      <c r="A2412" t="s">
        <v>23</v>
      </c>
      <c r="B2412" t="s">
        <v>11</v>
      </c>
      <c r="C2412" t="s">
        <v>12</v>
      </c>
      <c r="D2412" t="s">
        <v>13</v>
      </c>
      <c r="E2412">
        <v>1</v>
      </c>
      <c r="F2412">
        <v>0.99990237310248398</v>
      </c>
      <c r="G2412">
        <v>112.77128791809</v>
      </c>
      <c r="H2412">
        <v>14</v>
      </c>
      <c r="I2412">
        <v>15</v>
      </c>
      <c r="J2412">
        <v>30</v>
      </c>
    </row>
    <row r="2413" spans="1:10" x14ac:dyDescent="0.25">
      <c r="A2413" t="s">
        <v>23</v>
      </c>
      <c r="B2413" t="s">
        <v>11</v>
      </c>
      <c r="C2413" t="s">
        <v>12</v>
      </c>
      <c r="D2413" t="s">
        <v>13</v>
      </c>
      <c r="E2413">
        <v>0.99751552795030995</v>
      </c>
      <c r="F2413">
        <v>0.99747530130968898</v>
      </c>
      <c r="G2413">
        <v>112.632948160171</v>
      </c>
      <c r="H2413">
        <v>11</v>
      </c>
      <c r="I2413">
        <v>15</v>
      </c>
      <c r="J2413">
        <v>30</v>
      </c>
    </row>
    <row r="2414" spans="1:10" x14ac:dyDescent="0.25">
      <c r="A2414" t="s">
        <v>23</v>
      </c>
      <c r="B2414" t="s">
        <v>11</v>
      </c>
      <c r="C2414" t="s">
        <v>12</v>
      </c>
      <c r="D2414" t="s">
        <v>13</v>
      </c>
      <c r="E2414">
        <v>1</v>
      </c>
      <c r="F2414">
        <v>0.99990104040894401</v>
      </c>
      <c r="G2414">
        <v>115.291383743286</v>
      </c>
      <c r="H2414">
        <v>16</v>
      </c>
      <c r="I2414">
        <v>18</v>
      </c>
      <c r="J2414">
        <v>30</v>
      </c>
    </row>
    <row r="2415" spans="1:10" x14ac:dyDescent="0.25">
      <c r="A2415" t="s">
        <v>23</v>
      </c>
      <c r="B2415" t="s">
        <v>11</v>
      </c>
      <c r="C2415" t="s">
        <v>12</v>
      </c>
      <c r="D2415" t="s">
        <v>13</v>
      </c>
      <c r="E2415">
        <v>0.99875776397515503</v>
      </c>
      <c r="F2415">
        <v>0.998543631357515</v>
      </c>
      <c r="G2415">
        <v>116.723697423934</v>
      </c>
      <c r="H2415">
        <v>15</v>
      </c>
      <c r="I2415">
        <v>17</v>
      </c>
      <c r="J2415">
        <v>30</v>
      </c>
    </row>
    <row r="2416" spans="1:10" x14ac:dyDescent="0.25">
      <c r="A2416" t="s">
        <v>23</v>
      </c>
      <c r="B2416" t="s">
        <v>11</v>
      </c>
      <c r="C2416" t="s">
        <v>12</v>
      </c>
      <c r="D2416" t="s">
        <v>13</v>
      </c>
      <c r="E2416">
        <v>0.99875776397515503</v>
      </c>
      <c r="F2416">
        <v>0.99875744131726696</v>
      </c>
      <c r="G2416">
        <v>117.250042200088</v>
      </c>
      <c r="H2416">
        <v>14</v>
      </c>
      <c r="I2416">
        <v>16</v>
      </c>
      <c r="J2416">
        <v>30</v>
      </c>
    </row>
    <row r="2417" spans="1:10" x14ac:dyDescent="0.25">
      <c r="A2417" t="s">
        <v>23</v>
      </c>
      <c r="B2417" t="s">
        <v>11</v>
      </c>
      <c r="C2417" t="s">
        <v>12</v>
      </c>
      <c r="D2417" t="s">
        <v>13</v>
      </c>
      <c r="E2417">
        <v>0.99751552795030995</v>
      </c>
      <c r="F2417">
        <v>0.997439026179751</v>
      </c>
      <c r="G2417">
        <v>117.47702598571701</v>
      </c>
      <c r="H2417">
        <v>15</v>
      </c>
      <c r="I2417">
        <v>17</v>
      </c>
      <c r="J2417">
        <v>30</v>
      </c>
    </row>
    <row r="2418" spans="1:10" x14ac:dyDescent="0.25">
      <c r="A2418" t="s">
        <v>23</v>
      </c>
      <c r="B2418" t="s">
        <v>11</v>
      </c>
      <c r="C2418" t="s">
        <v>12</v>
      </c>
      <c r="D2418" t="s">
        <v>13</v>
      </c>
      <c r="E2418">
        <v>0.99751552795030995</v>
      </c>
      <c r="F2418">
        <v>0.99741042289453397</v>
      </c>
      <c r="G2418">
        <v>117.868240833282</v>
      </c>
      <c r="H2418">
        <v>16</v>
      </c>
      <c r="I2418">
        <v>18</v>
      </c>
      <c r="J2418">
        <v>30</v>
      </c>
    </row>
    <row r="2419" spans="1:10" x14ac:dyDescent="0.25">
      <c r="A2419" t="s">
        <v>23</v>
      </c>
      <c r="B2419" t="s">
        <v>11</v>
      </c>
      <c r="C2419" t="s">
        <v>12</v>
      </c>
      <c r="D2419" t="s">
        <v>13</v>
      </c>
      <c r="E2419">
        <v>1</v>
      </c>
      <c r="F2419">
        <v>0.99970668236124205</v>
      </c>
      <c r="G2419">
        <v>118.31315445899899</v>
      </c>
      <c r="H2419">
        <v>15</v>
      </c>
      <c r="I2419">
        <v>17</v>
      </c>
      <c r="J2419">
        <v>30</v>
      </c>
    </row>
    <row r="2420" spans="1:10" x14ac:dyDescent="0.25">
      <c r="A2420" t="s">
        <v>23</v>
      </c>
      <c r="B2420" t="s">
        <v>11</v>
      </c>
      <c r="C2420" t="s">
        <v>12</v>
      </c>
      <c r="D2420" t="s">
        <v>13</v>
      </c>
      <c r="E2420">
        <v>0.99875776397515503</v>
      </c>
      <c r="F2420">
        <v>0.99873352009416105</v>
      </c>
      <c r="G2420">
        <v>118.381085634231</v>
      </c>
      <c r="H2420">
        <v>15</v>
      </c>
      <c r="I2420">
        <v>16</v>
      </c>
      <c r="J2420">
        <v>30</v>
      </c>
    </row>
    <row r="2421" spans="1:10" x14ac:dyDescent="0.25">
      <c r="A2421" t="s">
        <v>23</v>
      </c>
      <c r="B2421" t="s">
        <v>11</v>
      </c>
      <c r="C2421" t="s">
        <v>12</v>
      </c>
      <c r="D2421" t="s">
        <v>13</v>
      </c>
      <c r="E2421">
        <v>0.99751552795030995</v>
      </c>
      <c r="F2421">
        <v>0.997212450191304</v>
      </c>
      <c r="G2421">
        <v>119.127091646194</v>
      </c>
      <c r="H2421">
        <v>15</v>
      </c>
      <c r="I2421">
        <v>17</v>
      </c>
      <c r="J2421">
        <v>30</v>
      </c>
    </row>
    <row r="2422" spans="1:10" x14ac:dyDescent="0.25">
      <c r="A2422" t="s">
        <v>23</v>
      </c>
      <c r="B2422" t="s">
        <v>11</v>
      </c>
      <c r="C2422" t="s">
        <v>12</v>
      </c>
      <c r="D2422" t="s">
        <v>13</v>
      </c>
      <c r="E2422">
        <v>1</v>
      </c>
      <c r="F2422">
        <v>0.999907746265838</v>
      </c>
      <c r="G2422">
        <v>119.467448949813</v>
      </c>
      <c r="H2422">
        <v>15</v>
      </c>
      <c r="I2422">
        <v>17</v>
      </c>
      <c r="J2422">
        <v>30</v>
      </c>
    </row>
    <row r="2423" spans="1:10" x14ac:dyDescent="0.25">
      <c r="A2423" t="s">
        <v>23</v>
      </c>
      <c r="B2423" t="s">
        <v>11</v>
      </c>
      <c r="C2423" t="s">
        <v>12</v>
      </c>
      <c r="D2423" t="s">
        <v>13</v>
      </c>
      <c r="E2423">
        <v>1</v>
      </c>
      <c r="F2423">
        <v>0.99969415778894399</v>
      </c>
      <c r="G2423">
        <v>119.491871356964</v>
      </c>
      <c r="H2423">
        <v>15</v>
      </c>
      <c r="I2423">
        <v>17</v>
      </c>
      <c r="J2423">
        <v>30</v>
      </c>
    </row>
    <row r="2424" spans="1:10" x14ac:dyDescent="0.25">
      <c r="A2424" t="s">
        <v>23</v>
      </c>
      <c r="B2424" t="s">
        <v>11</v>
      </c>
      <c r="C2424" t="s">
        <v>12</v>
      </c>
      <c r="D2424" t="s">
        <v>13</v>
      </c>
      <c r="E2424">
        <v>1</v>
      </c>
      <c r="F2424">
        <v>0.99937897856037206</v>
      </c>
      <c r="G2424">
        <v>119.962926149368</v>
      </c>
      <c r="H2424">
        <v>15</v>
      </c>
      <c r="I2424">
        <v>16</v>
      </c>
      <c r="J2424">
        <v>30</v>
      </c>
    </row>
    <row r="2425" spans="1:10" x14ac:dyDescent="0.25">
      <c r="A2425" t="s">
        <v>23</v>
      </c>
      <c r="B2425" t="s">
        <v>11</v>
      </c>
      <c r="C2425" t="s">
        <v>12</v>
      </c>
      <c r="D2425" t="s">
        <v>13</v>
      </c>
      <c r="E2425">
        <v>1</v>
      </c>
      <c r="F2425">
        <v>0.99987936890298101</v>
      </c>
      <c r="G2425">
        <v>120.48973822593599</v>
      </c>
      <c r="H2425">
        <v>15</v>
      </c>
      <c r="I2425">
        <v>19</v>
      </c>
      <c r="J2425">
        <v>30</v>
      </c>
    </row>
    <row r="2426" spans="1:10" x14ac:dyDescent="0.25">
      <c r="A2426" t="s">
        <v>23</v>
      </c>
      <c r="B2426" t="s">
        <v>11</v>
      </c>
      <c r="C2426" t="s">
        <v>12</v>
      </c>
      <c r="D2426" t="s">
        <v>13</v>
      </c>
      <c r="E2426">
        <v>0.99751552795030995</v>
      </c>
      <c r="F2426">
        <v>0.99744784544496801</v>
      </c>
      <c r="G2426">
        <v>120.46458029746999</v>
      </c>
      <c r="H2426">
        <v>15</v>
      </c>
      <c r="I2426">
        <v>17</v>
      </c>
      <c r="J2426">
        <v>30</v>
      </c>
    </row>
    <row r="2427" spans="1:10" x14ac:dyDescent="0.25">
      <c r="A2427" t="s">
        <v>23</v>
      </c>
      <c r="B2427" t="s">
        <v>11</v>
      </c>
      <c r="C2427" t="s">
        <v>12</v>
      </c>
      <c r="D2427" t="s">
        <v>13</v>
      </c>
      <c r="E2427">
        <v>0.99503105590062102</v>
      </c>
      <c r="F2427">
        <v>0.99494265505378798</v>
      </c>
      <c r="G2427">
        <v>120.27215123176499</v>
      </c>
      <c r="H2427">
        <v>15</v>
      </c>
      <c r="I2427">
        <v>16</v>
      </c>
      <c r="J2427">
        <v>30</v>
      </c>
    </row>
    <row r="2428" spans="1:10" x14ac:dyDescent="0.25">
      <c r="A2428" t="s">
        <v>23</v>
      </c>
      <c r="B2428" t="s">
        <v>11</v>
      </c>
      <c r="C2428" t="s">
        <v>12</v>
      </c>
      <c r="D2428" t="s">
        <v>13</v>
      </c>
      <c r="E2428">
        <v>1</v>
      </c>
      <c r="F2428">
        <v>0.99967876018558999</v>
      </c>
      <c r="G2428">
        <v>120.95868706703099</v>
      </c>
      <c r="H2428">
        <v>15</v>
      </c>
      <c r="I2428">
        <v>16</v>
      </c>
      <c r="J2428">
        <v>30</v>
      </c>
    </row>
    <row r="2429" spans="1:10" x14ac:dyDescent="0.25">
      <c r="A2429" t="s">
        <v>23</v>
      </c>
      <c r="B2429" t="s">
        <v>11</v>
      </c>
      <c r="C2429" t="s">
        <v>12</v>
      </c>
      <c r="D2429" t="s">
        <v>13</v>
      </c>
      <c r="E2429">
        <v>1</v>
      </c>
      <c r="F2429">
        <v>0.99969255926807399</v>
      </c>
      <c r="G2429">
        <v>121.25087285041801</v>
      </c>
      <c r="H2429">
        <v>15</v>
      </c>
      <c r="I2429">
        <v>17</v>
      </c>
      <c r="J2429">
        <v>30</v>
      </c>
    </row>
    <row r="2430" spans="1:10" x14ac:dyDescent="0.25">
      <c r="A2430" t="s">
        <v>23</v>
      </c>
      <c r="B2430" t="s">
        <v>11</v>
      </c>
      <c r="C2430" t="s">
        <v>12</v>
      </c>
      <c r="D2430" t="s">
        <v>13</v>
      </c>
      <c r="E2430">
        <v>0.99751552795030995</v>
      </c>
      <c r="F2430">
        <v>0.99724547386745299</v>
      </c>
      <c r="G2430">
        <v>121.331300497055</v>
      </c>
      <c r="H2430">
        <v>16</v>
      </c>
      <c r="I2430">
        <v>19</v>
      </c>
      <c r="J2430">
        <v>30</v>
      </c>
    </row>
    <row r="2431" spans="1:10" x14ac:dyDescent="0.25">
      <c r="A2431" t="s">
        <v>23</v>
      </c>
      <c r="B2431" t="s">
        <v>11</v>
      </c>
      <c r="C2431" t="s">
        <v>12</v>
      </c>
      <c r="D2431" t="s">
        <v>13</v>
      </c>
      <c r="E2431">
        <v>0.99751552795030995</v>
      </c>
      <c r="F2431">
        <v>0.99723193341552796</v>
      </c>
      <c r="G2431">
        <v>121.740731954574</v>
      </c>
      <c r="H2431">
        <v>14</v>
      </c>
      <c r="I2431">
        <v>18</v>
      </c>
      <c r="J2431">
        <v>30</v>
      </c>
    </row>
    <row r="2432" spans="1:10" x14ac:dyDescent="0.25">
      <c r="A2432" t="s">
        <v>23</v>
      </c>
      <c r="B2432" t="s">
        <v>11</v>
      </c>
      <c r="C2432" t="s">
        <v>12</v>
      </c>
      <c r="D2432" t="s">
        <v>14</v>
      </c>
      <c r="E2432">
        <v>1</v>
      </c>
      <c r="F2432">
        <v>0.99964983252981299</v>
      </c>
      <c r="G2432">
        <v>28.568757772445601</v>
      </c>
      <c r="H2432">
        <v>12</v>
      </c>
      <c r="I2432">
        <v>11</v>
      </c>
      <c r="J2432">
        <v>30</v>
      </c>
    </row>
    <row r="2433" spans="1:10" x14ac:dyDescent="0.25">
      <c r="A2433" t="s">
        <v>23</v>
      </c>
      <c r="B2433" t="s">
        <v>11</v>
      </c>
      <c r="C2433" t="s">
        <v>12</v>
      </c>
      <c r="D2433" t="s">
        <v>14</v>
      </c>
      <c r="E2433">
        <v>1</v>
      </c>
      <c r="F2433">
        <v>0.999480491468695</v>
      </c>
      <c r="G2433">
        <v>29.3177776336669</v>
      </c>
      <c r="H2433">
        <v>12</v>
      </c>
      <c r="I2433">
        <v>11</v>
      </c>
      <c r="J2433">
        <v>30</v>
      </c>
    </row>
    <row r="2434" spans="1:10" x14ac:dyDescent="0.25">
      <c r="A2434" t="s">
        <v>23</v>
      </c>
      <c r="B2434" t="s">
        <v>11</v>
      </c>
      <c r="C2434" t="s">
        <v>12</v>
      </c>
      <c r="D2434" t="s">
        <v>14</v>
      </c>
      <c r="E2434">
        <v>0.93788819875776397</v>
      </c>
      <c r="F2434">
        <v>0.946386213130186</v>
      </c>
      <c r="G2434">
        <v>29.791270494460999</v>
      </c>
      <c r="H2434">
        <v>12</v>
      </c>
      <c r="I2434">
        <v>11</v>
      </c>
      <c r="J2434">
        <v>30</v>
      </c>
    </row>
    <row r="2435" spans="1:10" x14ac:dyDescent="0.25">
      <c r="A2435" t="s">
        <v>23</v>
      </c>
      <c r="B2435" t="s">
        <v>11</v>
      </c>
      <c r="C2435" t="s">
        <v>12</v>
      </c>
      <c r="D2435" t="s">
        <v>14</v>
      </c>
      <c r="E2435">
        <v>0.99875776397515503</v>
      </c>
      <c r="F2435">
        <v>0.99846571509031001</v>
      </c>
      <c r="G2435">
        <v>30.039803028106601</v>
      </c>
      <c r="H2435">
        <v>12</v>
      </c>
      <c r="I2435">
        <v>11</v>
      </c>
      <c r="J2435">
        <v>30</v>
      </c>
    </row>
    <row r="2436" spans="1:10" x14ac:dyDescent="0.25">
      <c r="A2436" t="s">
        <v>23</v>
      </c>
      <c r="B2436" t="s">
        <v>11</v>
      </c>
      <c r="C2436" t="s">
        <v>12</v>
      </c>
      <c r="D2436" t="s">
        <v>14</v>
      </c>
      <c r="E2436">
        <v>0.99875776397515503</v>
      </c>
      <c r="F2436">
        <v>0.99859420929801201</v>
      </c>
      <c r="G2436">
        <v>30.055514097213699</v>
      </c>
      <c r="H2436">
        <v>12</v>
      </c>
      <c r="I2436">
        <v>11</v>
      </c>
      <c r="J2436">
        <v>30</v>
      </c>
    </row>
    <row r="2437" spans="1:10" x14ac:dyDescent="0.25">
      <c r="A2437" t="s">
        <v>23</v>
      </c>
      <c r="B2437" t="s">
        <v>11</v>
      </c>
      <c r="C2437" t="s">
        <v>12</v>
      </c>
      <c r="D2437" t="s">
        <v>14</v>
      </c>
      <c r="E2437">
        <v>1</v>
      </c>
      <c r="F2437">
        <v>0.99947128382546502</v>
      </c>
      <c r="G2437">
        <v>30.179286241531301</v>
      </c>
      <c r="H2437">
        <v>12</v>
      </c>
      <c r="I2437">
        <v>11</v>
      </c>
      <c r="J2437">
        <v>30</v>
      </c>
    </row>
    <row r="2438" spans="1:10" x14ac:dyDescent="0.25">
      <c r="A2438" t="s">
        <v>23</v>
      </c>
      <c r="B2438" t="s">
        <v>11</v>
      </c>
      <c r="C2438" t="s">
        <v>12</v>
      </c>
      <c r="D2438" t="s">
        <v>14</v>
      </c>
      <c r="E2438">
        <v>1</v>
      </c>
      <c r="F2438">
        <v>0.99980937922745305</v>
      </c>
      <c r="G2438">
        <v>30.785534858703599</v>
      </c>
      <c r="H2438">
        <v>12</v>
      </c>
      <c r="I2438">
        <v>11</v>
      </c>
      <c r="J2438">
        <v>30</v>
      </c>
    </row>
    <row r="2439" spans="1:10" x14ac:dyDescent="0.25">
      <c r="A2439" t="s">
        <v>23</v>
      </c>
      <c r="B2439" t="s">
        <v>11</v>
      </c>
      <c r="C2439" t="s">
        <v>12</v>
      </c>
      <c r="D2439" t="s">
        <v>14</v>
      </c>
      <c r="E2439">
        <v>1</v>
      </c>
      <c r="F2439">
        <v>0.99923979111912997</v>
      </c>
      <c r="G2439">
        <v>30.678144454956001</v>
      </c>
      <c r="H2439">
        <v>13</v>
      </c>
      <c r="I2439">
        <v>13</v>
      </c>
      <c r="J2439">
        <v>30</v>
      </c>
    </row>
    <row r="2440" spans="1:10" x14ac:dyDescent="0.25">
      <c r="A2440" t="s">
        <v>23</v>
      </c>
      <c r="B2440" t="s">
        <v>11</v>
      </c>
      <c r="C2440" t="s">
        <v>12</v>
      </c>
      <c r="D2440" t="s">
        <v>14</v>
      </c>
      <c r="E2440">
        <v>0.99875776397515503</v>
      </c>
      <c r="F2440">
        <v>0.99858649842434699</v>
      </c>
      <c r="G2440">
        <v>30.585520267486501</v>
      </c>
      <c r="H2440">
        <v>12</v>
      </c>
      <c r="I2440">
        <v>11</v>
      </c>
      <c r="J2440">
        <v>30</v>
      </c>
    </row>
    <row r="2441" spans="1:10" x14ac:dyDescent="0.25">
      <c r="A2441" t="s">
        <v>23</v>
      </c>
      <c r="B2441" t="s">
        <v>11</v>
      </c>
      <c r="C2441" t="s">
        <v>12</v>
      </c>
      <c r="D2441" t="s">
        <v>14</v>
      </c>
      <c r="E2441">
        <v>1</v>
      </c>
      <c r="F2441">
        <v>0.99954561659875696</v>
      </c>
      <c r="G2441">
        <v>31.509116888046201</v>
      </c>
      <c r="H2441">
        <v>13</v>
      </c>
      <c r="I2441">
        <v>13</v>
      </c>
      <c r="J2441">
        <v>30</v>
      </c>
    </row>
    <row r="2442" spans="1:10" x14ac:dyDescent="0.25">
      <c r="A2442" t="s">
        <v>23</v>
      </c>
      <c r="B2442" t="s">
        <v>11</v>
      </c>
      <c r="C2442" t="s">
        <v>12</v>
      </c>
      <c r="D2442" t="s">
        <v>14</v>
      </c>
      <c r="E2442">
        <v>0.93540372670807403</v>
      </c>
      <c r="F2442">
        <v>0.94581724773093201</v>
      </c>
      <c r="G2442">
        <v>31.823217391967699</v>
      </c>
      <c r="H2442">
        <v>12</v>
      </c>
      <c r="I2442">
        <v>11</v>
      </c>
      <c r="J2442">
        <v>30</v>
      </c>
    </row>
    <row r="2443" spans="1:10" x14ac:dyDescent="0.25">
      <c r="A2443" t="s">
        <v>23</v>
      </c>
      <c r="B2443" t="s">
        <v>11</v>
      </c>
      <c r="C2443" t="s">
        <v>12</v>
      </c>
      <c r="D2443" t="s">
        <v>14</v>
      </c>
      <c r="E2443">
        <v>0.99751552795030995</v>
      </c>
      <c r="F2443">
        <v>0.99754207553291896</v>
      </c>
      <c r="G2443">
        <v>31.511325359344401</v>
      </c>
      <c r="H2443">
        <v>12</v>
      </c>
      <c r="I2443">
        <v>11</v>
      </c>
      <c r="J2443">
        <v>30</v>
      </c>
    </row>
    <row r="2444" spans="1:10" x14ac:dyDescent="0.25">
      <c r="A2444" t="s">
        <v>23</v>
      </c>
      <c r="B2444" t="s">
        <v>11</v>
      </c>
      <c r="C2444" t="s">
        <v>12</v>
      </c>
      <c r="D2444" t="s">
        <v>14</v>
      </c>
      <c r="E2444">
        <v>1</v>
      </c>
      <c r="F2444">
        <v>0.99980274706720496</v>
      </c>
      <c r="G2444">
        <v>31.50999045372</v>
      </c>
      <c r="H2444">
        <v>12</v>
      </c>
      <c r="I2444">
        <v>11</v>
      </c>
      <c r="J2444">
        <v>30</v>
      </c>
    </row>
    <row r="2445" spans="1:10" x14ac:dyDescent="0.25">
      <c r="A2445" t="s">
        <v>23</v>
      </c>
      <c r="B2445" t="s">
        <v>11</v>
      </c>
      <c r="C2445" t="s">
        <v>12</v>
      </c>
      <c r="D2445" t="s">
        <v>14</v>
      </c>
      <c r="E2445">
        <v>0.924223602484472</v>
      </c>
      <c r="F2445">
        <v>0.93724792718720495</v>
      </c>
      <c r="G2445">
        <v>31.996817588806099</v>
      </c>
      <c r="H2445">
        <v>12</v>
      </c>
      <c r="I2445">
        <v>11</v>
      </c>
      <c r="J2445">
        <v>30</v>
      </c>
    </row>
    <row r="2446" spans="1:10" x14ac:dyDescent="0.25">
      <c r="A2446" t="s">
        <v>23</v>
      </c>
      <c r="B2446" t="s">
        <v>11</v>
      </c>
      <c r="C2446" t="s">
        <v>12</v>
      </c>
      <c r="D2446" t="s">
        <v>14</v>
      </c>
      <c r="E2446">
        <v>1</v>
      </c>
      <c r="F2446">
        <v>0.99977391439639696</v>
      </c>
      <c r="G2446">
        <v>31.8790123462677</v>
      </c>
      <c r="H2446">
        <v>13</v>
      </c>
      <c r="I2446">
        <v>13</v>
      </c>
      <c r="J2446">
        <v>30</v>
      </c>
    </row>
    <row r="2447" spans="1:10" x14ac:dyDescent="0.25">
      <c r="A2447" t="s">
        <v>23</v>
      </c>
      <c r="B2447" t="s">
        <v>11</v>
      </c>
      <c r="C2447" t="s">
        <v>12</v>
      </c>
      <c r="D2447" t="s">
        <v>14</v>
      </c>
      <c r="E2447">
        <v>0.99751552795030995</v>
      </c>
      <c r="F2447">
        <v>0.99731783113043404</v>
      </c>
      <c r="G2447">
        <v>31.997251510620099</v>
      </c>
      <c r="H2447">
        <v>13</v>
      </c>
      <c r="I2447">
        <v>13</v>
      </c>
      <c r="J2447">
        <v>30</v>
      </c>
    </row>
    <row r="2448" spans="1:10" x14ac:dyDescent="0.25">
      <c r="A2448" t="s">
        <v>23</v>
      </c>
      <c r="B2448" t="s">
        <v>11</v>
      </c>
      <c r="C2448" t="s">
        <v>12</v>
      </c>
      <c r="D2448" t="s">
        <v>14</v>
      </c>
      <c r="E2448">
        <v>0.99751552795030995</v>
      </c>
      <c r="F2448">
        <v>0.99710526228223595</v>
      </c>
      <c r="G2448">
        <v>32.031656503677297</v>
      </c>
      <c r="H2448">
        <v>13</v>
      </c>
      <c r="I2448">
        <v>13</v>
      </c>
      <c r="J2448">
        <v>30</v>
      </c>
    </row>
    <row r="2449" spans="1:10" x14ac:dyDescent="0.25">
      <c r="A2449" t="s">
        <v>23</v>
      </c>
      <c r="B2449" t="s">
        <v>11</v>
      </c>
      <c r="C2449" t="s">
        <v>12</v>
      </c>
      <c r="D2449" t="s">
        <v>14</v>
      </c>
      <c r="E2449">
        <v>0.99751552795030995</v>
      </c>
      <c r="F2449">
        <v>0.99711319312074498</v>
      </c>
      <c r="G2449">
        <v>32.164603471755903</v>
      </c>
      <c r="H2449">
        <v>13</v>
      </c>
      <c r="I2449">
        <v>13</v>
      </c>
      <c r="J2449">
        <v>30</v>
      </c>
    </row>
    <row r="2450" spans="1:10" x14ac:dyDescent="0.25">
      <c r="A2450" t="s">
        <v>23</v>
      </c>
      <c r="B2450" t="s">
        <v>11</v>
      </c>
      <c r="C2450" t="s">
        <v>12</v>
      </c>
      <c r="D2450" t="s">
        <v>14</v>
      </c>
      <c r="E2450">
        <v>0.99751552795030995</v>
      </c>
      <c r="F2450">
        <v>0.99735975917242203</v>
      </c>
      <c r="G2450">
        <v>32.650940179824801</v>
      </c>
      <c r="H2450">
        <v>13</v>
      </c>
      <c r="I2450">
        <v>13</v>
      </c>
      <c r="J2450">
        <v>30</v>
      </c>
    </row>
    <row r="2451" spans="1:10" x14ac:dyDescent="0.25">
      <c r="A2451" t="s">
        <v>23</v>
      </c>
      <c r="B2451" t="s">
        <v>11</v>
      </c>
      <c r="C2451" t="s">
        <v>12</v>
      </c>
      <c r="D2451" t="s">
        <v>14</v>
      </c>
      <c r="E2451">
        <v>0.924223602484472</v>
      </c>
      <c r="F2451">
        <v>0.93710937980335296</v>
      </c>
      <c r="G2451">
        <v>32.778736352920497</v>
      </c>
      <c r="H2451">
        <v>13</v>
      </c>
      <c r="I2451">
        <v>12</v>
      </c>
      <c r="J2451">
        <v>30</v>
      </c>
    </row>
    <row r="2452" spans="1:10" x14ac:dyDescent="0.25">
      <c r="A2452" t="s">
        <v>23</v>
      </c>
      <c r="B2452" t="s">
        <v>11</v>
      </c>
      <c r="C2452" t="s">
        <v>12</v>
      </c>
      <c r="D2452" t="s">
        <v>14</v>
      </c>
      <c r="E2452">
        <v>0.99751552795030995</v>
      </c>
      <c r="F2452">
        <v>0.99738660800173895</v>
      </c>
      <c r="G2452">
        <v>32.965434551238999</v>
      </c>
      <c r="H2452">
        <v>13</v>
      </c>
      <c r="I2452">
        <v>13</v>
      </c>
      <c r="J2452">
        <v>30</v>
      </c>
    </row>
    <row r="2453" spans="1:10" x14ac:dyDescent="0.25">
      <c r="A2453" t="s">
        <v>23</v>
      </c>
      <c r="B2453" t="s">
        <v>11</v>
      </c>
      <c r="C2453" t="s">
        <v>12</v>
      </c>
      <c r="D2453" t="s">
        <v>14</v>
      </c>
      <c r="E2453">
        <v>1</v>
      </c>
      <c r="F2453">
        <v>0.99968733604844695</v>
      </c>
      <c r="G2453">
        <v>33.116363763809197</v>
      </c>
      <c r="H2453">
        <v>12</v>
      </c>
      <c r="I2453">
        <v>11</v>
      </c>
      <c r="J2453">
        <v>30</v>
      </c>
    </row>
    <row r="2454" spans="1:10" x14ac:dyDescent="0.25">
      <c r="A2454" t="s">
        <v>23</v>
      </c>
      <c r="B2454" t="s">
        <v>11</v>
      </c>
      <c r="C2454" t="s">
        <v>12</v>
      </c>
      <c r="D2454" t="s">
        <v>14</v>
      </c>
      <c r="E2454">
        <v>0.93291925465838499</v>
      </c>
      <c r="F2454">
        <v>0.94330719032310495</v>
      </c>
      <c r="G2454">
        <v>33.1951196193695</v>
      </c>
      <c r="H2454">
        <v>13</v>
      </c>
      <c r="I2454">
        <v>12</v>
      </c>
      <c r="J2454">
        <v>30</v>
      </c>
    </row>
    <row r="2455" spans="1:10" x14ac:dyDescent="0.25">
      <c r="A2455" t="s">
        <v>23</v>
      </c>
      <c r="B2455" t="s">
        <v>11</v>
      </c>
      <c r="C2455" t="s">
        <v>12</v>
      </c>
      <c r="D2455" t="s">
        <v>14</v>
      </c>
      <c r="E2455">
        <v>0.94409937888198703</v>
      </c>
      <c r="F2455">
        <v>0.950236309426707</v>
      </c>
      <c r="G2455">
        <v>33.297997236251803</v>
      </c>
      <c r="H2455">
        <v>13</v>
      </c>
      <c r="I2455">
        <v>12</v>
      </c>
      <c r="J2455">
        <v>30</v>
      </c>
    </row>
    <row r="2456" spans="1:10" x14ac:dyDescent="0.25">
      <c r="A2456" t="s">
        <v>23</v>
      </c>
      <c r="B2456" t="s">
        <v>11</v>
      </c>
      <c r="C2456" t="s">
        <v>12</v>
      </c>
      <c r="D2456" t="s">
        <v>14</v>
      </c>
      <c r="E2456">
        <v>0.92919254658385098</v>
      </c>
      <c r="F2456">
        <v>0.93999630518720501</v>
      </c>
      <c r="G2456">
        <v>33.554391145706099</v>
      </c>
      <c r="H2456">
        <v>14</v>
      </c>
      <c r="I2456">
        <v>13</v>
      </c>
      <c r="J2456">
        <v>30</v>
      </c>
    </row>
    <row r="2457" spans="1:10" x14ac:dyDescent="0.25">
      <c r="A2457" t="s">
        <v>23</v>
      </c>
      <c r="B2457" t="s">
        <v>11</v>
      </c>
      <c r="C2457" t="s">
        <v>12</v>
      </c>
      <c r="D2457" t="s">
        <v>14</v>
      </c>
      <c r="E2457">
        <v>0.99875776397515503</v>
      </c>
      <c r="F2457">
        <v>0.99821497899838496</v>
      </c>
      <c r="G2457">
        <v>33.3335378170013</v>
      </c>
      <c r="H2457">
        <v>12</v>
      </c>
      <c r="I2457">
        <v>11</v>
      </c>
      <c r="J2457">
        <v>30</v>
      </c>
    </row>
    <row r="2458" spans="1:10" x14ac:dyDescent="0.25">
      <c r="A2458" t="s">
        <v>23</v>
      </c>
      <c r="B2458" t="s">
        <v>11</v>
      </c>
      <c r="C2458" t="s">
        <v>12</v>
      </c>
      <c r="D2458" t="s">
        <v>14</v>
      </c>
      <c r="E2458">
        <v>0.94037267080745301</v>
      </c>
      <c r="F2458">
        <v>0.94867547876745295</v>
      </c>
      <c r="G2458">
        <v>33.275245666503899</v>
      </c>
      <c r="H2458">
        <v>13</v>
      </c>
      <c r="I2458">
        <v>12</v>
      </c>
      <c r="J2458">
        <v>30</v>
      </c>
    </row>
    <row r="2459" spans="1:10" x14ac:dyDescent="0.25">
      <c r="A2459" t="s">
        <v>23</v>
      </c>
      <c r="B2459" t="s">
        <v>11</v>
      </c>
      <c r="C2459" t="s">
        <v>12</v>
      </c>
      <c r="D2459" t="s">
        <v>14</v>
      </c>
      <c r="E2459">
        <v>0.936645962732919</v>
      </c>
      <c r="F2459">
        <v>0.94477701510521706</v>
      </c>
      <c r="G2459">
        <v>33.342592477798398</v>
      </c>
      <c r="H2459">
        <v>14</v>
      </c>
      <c r="I2459">
        <v>13</v>
      </c>
      <c r="J2459">
        <v>30</v>
      </c>
    </row>
    <row r="2460" spans="1:10" x14ac:dyDescent="0.25">
      <c r="A2460" t="s">
        <v>23</v>
      </c>
      <c r="B2460" t="s">
        <v>11</v>
      </c>
      <c r="C2460" t="s">
        <v>12</v>
      </c>
      <c r="D2460" t="s">
        <v>14</v>
      </c>
      <c r="E2460">
        <v>0.92546583850931596</v>
      </c>
      <c r="F2460">
        <v>0.93789969697900499</v>
      </c>
      <c r="G2460">
        <v>33.738354682922299</v>
      </c>
      <c r="H2460">
        <v>14</v>
      </c>
      <c r="I2460">
        <v>13</v>
      </c>
      <c r="J2460">
        <v>30</v>
      </c>
    </row>
    <row r="2461" spans="1:10" x14ac:dyDescent="0.25">
      <c r="A2461" t="s">
        <v>23</v>
      </c>
      <c r="B2461" t="s">
        <v>11</v>
      </c>
      <c r="C2461" t="s">
        <v>12</v>
      </c>
      <c r="D2461" t="s">
        <v>14</v>
      </c>
      <c r="E2461">
        <v>0.98385093167701798</v>
      </c>
      <c r="F2461">
        <v>0.98370291017975098</v>
      </c>
      <c r="G2461">
        <v>33.741597890853797</v>
      </c>
      <c r="H2461">
        <v>14</v>
      </c>
      <c r="I2461">
        <v>16</v>
      </c>
      <c r="J2461">
        <v>30</v>
      </c>
    </row>
    <row r="2462" spans="1:10" x14ac:dyDescent="0.25">
      <c r="A2462" t="s">
        <v>23</v>
      </c>
      <c r="B2462" t="s">
        <v>11</v>
      </c>
      <c r="C2462" t="s">
        <v>12</v>
      </c>
      <c r="D2462" t="s">
        <v>15</v>
      </c>
      <c r="E2462">
        <v>0</v>
      </c>
      <c r="F2462">
        <v>0.75</v>
      </c>
      <c r="G2462">
        <v>36.201407194137502</v>
      </c>
      <c r="H2462">
        <v>0</v>
      </c>
      <c r="I2462">
        <v>0</v>
      </c>
      <c r="J2462">
        <v>30</v>
      </c>
    </row>
    <row r="2463" spans="1:10" x14ac:dyDescent="0.25">
      <c r="A2463" t="s">
        <v>23</v>
      </c>
      <c r="B2463" t="s">
        <v>11</v>
      </c>
      <c r="C2463" t="s">
        <v>12</v>
      </c>
      <c r="D2463" t="s">
        <v>15</v>
      </c>
      <c r="E2463">
        <v>0</v>
      </c>
      <c r="F2463">
        <v>0.75</v>
      </c>
      <c r="G2463">
        <v>36.5410408973693</v>
      </c>
      <c r="H2463">
        <v>0</v>
      </c>
      <c r="I2463">
        <v>0</v>
      </c>
      <c r="J2463">
        <v>30</v>
      </c>
    </row>
    <row r="2464" spans="1:10" x14ac:dyDescent="0.25">
      <c r="A2464" t="s">
        <v>23</v>
      </c>
      <c r="B2464" t="s">
        <v>11</v>
      </c>
      <c r="C2464" t="s">
        <v>12</v>
      </c>
      <c r="D2464" t="s">
        <v>15</v>
      </c>
      <c r="E2464">
        <v>0</v>
      </c>
      <c r="F2464">
        <v>0.75</v>
      </c>
      <c r="G2464">
        <v>38.046715736389103</v>
      </c>
      <c r="H2464">
        <v>0</v>
      </c>
      <c r="I2464">
        <v>0</v>
      </c>
      <c r="J2464">
        <v>30</v>
      </c>
    </row>
    <row r="2465" spans="1:10" x14ac:dyDescent="0.25">
      <c r="A2465" t="s">
        <v>23</v>
      </c>
      <c r="B2465" t="s">
        <v>11</v>
      </c>
      <c r="C2465" t="s">
        <v>12</v>
      </c>
      <c r="D2465" t="s">
        <v>15</v>
      </c>
      <c r="E2465">
        <v>0</v>
      </c>
      <c r="F2465">
        <v>0.75</v>
      </c>
      <c r="G2465">
        <v>40.2336678504943</v>
      </c>
      <c r="H2465">
        <v>0</v>
      </c>
      <c r="I2465">
        <v>0</v>
      </c>
      <c r="J2465">
        <v>30</v>
      </c>
    </row>
    <row r="2466" spans="1:10" x14ac:dyDescent="0.25">
      <c r="A2466" t="s">
        <v>23</v>
      </c>
      <c r="B2466" t="s">
        <v>11</v>
      </c>
      <c r="C2466" t="s">
        <v>12</v>
      </c>
      <c r="D2466" t="s">
        <v>15</v>
      </c>
      <c r="E2466">
        <v>0</v>
      </c>
      <c r="F2466">
        <v>0.75</v>
      </c>
      <c r="G2466">
        <v>41.439433813095</v>
      </c>
      <c r="H2466">
        <v>0</v>
      </c>
      <c r="I2466">
        <v>0</v>
      </c>
      <c r="J2466">
        <v>30</v>
      </c>
    </row>
    <row r="2467" spans="1:10" x14ac:dyDescent="0.25">
      <c r="A2467" t="s">
        <v>23</v>
      </c>
      <c r="B2467" t="s">
        <v>11</v>
      </c>
      <c r="C2467" t="s">
        <v>12</v>
      </c>
      <c r="D2467" t="s">
        <v>15</v>
      </c>
      <c r="E2467">
        <v>0</v>
      </c>
      <c r="F2467">
        <v>0.75</v>
      </c>
      <c r="G2467">
        <v>42.2361674308776</v>
      </c>
      <c r="H2467">
        <v>1</v>
      </c>
      <c r="I2467">
        <v>3</v>
      </c>
      <c r="J2467">
        <v>30</v>
      </c>
    </row>
    <row r="2468" spans="1:10" x14ac:dyDescent="0.25">
      <c r="A2468" t="s">
        <v>23</v>
      </c>
      <c r="B2468" t="s">
        <v>11</v>
      </c>
      <c r="C2468" t="s">
        <v>12</v>
      </c>
      <c r="D2468" t="s">
        <v>15</v>
      </c>
      <c r="E2468">
        <v>0</v>
      </c>
      <c r="F2468">
        <v>0.75</v>
      </c>
      <c r="G2468">
        <v>43.088924169540398</v>
      </c>
      <c r="H2468">
        <v>1</v>
      </c>
      <c r="I2468">
        <v>3</v>
      </c>
      <c r="J2468">
        <v>30</v>
      </c>
    </row>
    <row r="2469" spans="1:10" x14ac:dyDescent="0.25">
      <c r="A2469" t="s">
        <v>23</v>
      </c>
      <c r="B2469" t="s">
        <v>11</v>
      </c>
      <c r="C2469" t="s">
        <v>12</v>
      </c>
      <c r="D2469" t="s">
        <v>15</v>
      </c>
      <c r="E2469">
        <v>2.4844720496894398E-3</v>
      </c>
      <c r="F2469">
        <v>0.75011801242235998</v>
      </c>
      <c r="G2469">
        <v>43.6047909259796</v>
      </c>
      <c r="H2469">
        <v>1</v>
      </c>
      <c r="I2469">
        <v>3</v>
      </c>
      <c r="J2469">
        <v>30</v>
      </c>
    </row>
    <row r="2470" spans="1:10" x14ac:dyDescent="0.25">
      <c r="A2470" t="s">
        <v>23</v>
      </c>
      <c r="B2470" t="s">
        <v>11</v>
      </c>
      <c r="C2470" t="s">
        <v>12</v>
      </c>
      <c r="D2470" t="s">
        <v>15</v>
      </c>
      <c r="E2470">
        <v>0</v>
      </c>
      <c r="F2470">
        <v>0.75</v>
      </c>
      <c r="G2470">
        <v>43.3961277008056</v>
      </c>
      <c r="H2470">
        <v>1</v>
      </c>
      <c r="I2470">
        <v>3</v>
      </c>
      <c r="J2470">
        <v>30</v>
      </c>
    </row>
    <row r="2471" spans="1:10" x14ac:dyDescent="0.25">
      <c r="A2471" t="s">
        <v>23</v>
      </c>
      <c r="B2471" t="s">
        <v>11</v>
      </c>
      <c r="C2471" t="s">
        <v>12</v>
      </c>
      <c r="D2471" t="s">
        <v>15</v>
      </c>
      <c r="E2471">
        <v>0</v>
      </c>
      <c r="F2471">
        <v>0.75</v>
      </c>
      <c r="G2471">
        <v>43.503011226654003</v>
      </c>
      <c r="H2471">
        <v>1</v>
      </c>
      <c r="I2471">
        <v>3</v>
      </c>
      <c r="J2471">
        <v>30</v>
      </c>
    </row>
    <row r="2472" spans="1:10" x14ac:dyDescent="0.25">
      <c r="A2472" t="s">
        <v>23</v>
      </c>
      <c r="B2472" t="s">
        <v>11</v>
      </c>
      <c r="C2472" t="s">
        <v>12</v>
      </c>
      <c r="D2472" t="s">
        <v>15</v>
      </c>
      <c r="E2472">
        <v>0</v>
      </c>
      <c r="F2472">
        <v>0.75</v>
      </c>
      <c r="G2472">
        <v>44.646510839462202</v>
      </c>
      <c r="H2472">
        <v>1</v>
      </c>
      <c r="I2472">
        <v>3</v>
      </c>
      <c r="J2472">
        <v>30</v>
      </c>
    </row>
    <row r="2473" spans="1:10" x14ac:dyDescent="0.25">
      <c r="A2473" t="s">
        <v>23</v>
      </c>
      <c r="B2473" t="s">
        <v>11</v>
      </c>
      <c r="C2473" t="s">
        <v>12</v>
      </c>
      <c r="D2473" t="s">
        <v>15</v>
      </c>
      <c r="E2473">
        <v>0</v>
      </c>
      <c r="F2473">
        <v>0.75</v>
      </c>
      <c r="G2473">
        <v>44.533971548080402</v>
      </c>
      <c r="H2473">
        <v>1</v>
      </c>
      <c r="I2473">
        <v>3</v>
      </c>
      <c r="J2473">
        <v>30</v>
      </c>
    </row>
    <row r="2474" spans="1:10" x14ac:dyDescent="0.25">
      <c r="A2474" t="s">
        <v>23</v>
      </c>
      <c r="B2474" t="s">
        <v>11</v>
      </c>
      <c r="C2474" t="s">
        <v>12</v>
      </c>
      <c r="D2474" t="s">
        <v>15</v>
      </c>
      <c r="E2474">
        <v>0</v>
      </c>
      <c r="F2474">
        <v>0.75</v>
      </c>
      <c r="G2474">
        <v>47.312902927398603</v>
      </c>
      <c r="H2474">
        <v>0</v>
      </c>
      <c r="I2474">
        <v>0</v>
      </c>
      <c r="J2474">
        <v>30</v>
      </c>
    </row>
    <row r="2475" spans="1:10" x14ac:dyDescent="0.25">
      <c r="A2475" t="s">
        <v>23</v>
      </c>
      <c r="B2475" t="s">
        <v>11</v>
      </c>
      <c r="C2475" t="s">
        <v>12</v>
      </c>
      <c r="D2475" t="s">
        <v>15</v>
      </c>
      <c r="E2475">
        <v>0</v>
      </c>
      <c r="F2475">
        <v>0.75</v>
      </c>
      <c r="G2475">
        <v>50.7028741836547</v>
      </c>
      <c r="H2475">
        <v>1</v>
      </c>
      <c r="I2475">
        <v>3</v>
      </c>
      <c r="J2475">
        <v>30</v>
      </c>
    </row>
    <row r="2476" spans="1:10" x14ac:dyDescent="0.25">
      <c r="A2476" t="s">
        <v>23</v>
      </c>
      <c r="B2476" t="s">
        <v>11</v>
      </c>
      <c r="C2476" t="s">
        <v>12</v>
      </c>
      <c r="D2476" t="s">
        <v>15</v>
      </c>
      <c r="E2476">
        <v>0</v>
      </c>
      <c r="F2476">
        <v>0.75</v>
      </c>
      <c r="G2476">
        <v>50.789232492446899</v>
      </c>
      <c r="H2476">
        <v>1</v>
      </c>
      <c r="I2476">
        <v>4</v>
      </c>
      <c r="J2476">
        <v>30</v>
      </c>
    </row>
    <row r="2477" spans="1:10" x14ac:dyDescent="0.25">
      <c r="A2477" t="s">
        <v>23</v>
      </c>
      <c r="B2477" t="s">
        <v>11</v>
      </c>
      <c r="C2477" t="s">
        <v>12</v>
      </c>
      <c r="D2477" t="s">
        <v>15</v>
      </c>
      <c r="E2477">
        <v>0</v>
      </c>
      <c r="F2477">
        <v>0.75</v>
      </c>
      <c r="G2477">
        <v>51.674648761749197</v>
      </c>
      <c r="H2477">
        <v>1</v>
      </c>
      <c r="I2477">
        <v>3</v>
      </c>
      <c r="J2477">
        <v>30</v>
      </c>
    </row>
    <row r="2478" spans="1:10" x14ac:dyDescent="0.25">
      <c r="A2478" t="s">
        <v>23</v>
      </c>
      <c r="B2478" t="s">
        <v>11</v>
      </c>
      <c r="C2478" t="s">
        <v>12</v>
      </c>
      <c r="D2478" t="s">
        <v>15</v>
      </c>
      <c r="E2478">
        <v>0</v>
      </c>
      <c r="F2478">
        <v>0.75</v>
      </c>
      <c r="G2478">
        <v>52.6278266906738</v>
      </c>
      <c r="H2478">
        <v>0</v>
      </c>
      <c r="I2478">
        <v>0</v>
      </c>
      <c r="J2478">
        <v>30</v>
      </c>
    </row>
    <row r="2479" spans="1:10" x14ac:dyDescent="0.25">
      <c r="A2479" t="s">
        <v>23</v>
      </c>
      <c r="B2479" t="s">
        <v>11</v>
      </c>
      <c r="C2479" t="s">
        <v>12</v>
      </c>
      <c r="D2479" t="s">
        <v>15</v>
      </c>
      <c r="E2479">
        <v>3.7267080745341601E-3</v>
      </c>
      <c r="F2479">
        <v>0.75017701863354003</v>
      </c>
      <c r="G2479">
        <v>54.540622949600198</v>
      </c>
      <c r="H2479">
        <v>3</v>
      </c>
      <c r="I2479">
        <v>7</v>
      </c>
      <c r="J2479">
        <v>30</v>
      </c>
    </row>
    <row r="2480" spans="1:10" x14ac:dyDescent="0.25">
      <c r="A2480" t="s">
        <v>23</v>
      </c>
      <c r="B2480" t="s">
        <v>11</v>
      </c>
      <c r="C2480" t="s">
        <v>12</v>
      </c>
      <c r="D2480" t="s">
        <v>15</v>
      </c>
      <c r="E2480">
        <v>3.7267080745341601E-3</v>
      </c>
      <c r="F2480">
        <v>0.75017701863354003</v>
      </c>
      <c r="G2480">
        <v>60.458834648132303</v>
      </c>
      <c r="H2480">
        <v>3</v>
      </c>
      <c r="I2480">
        <v>7</v>
      </c>
      <c r="J2480">
        <v>30</v>
      </c>
    </row>
    <row r="2481" spans="1:10" x14ac:dyDescent="0.25">
      <c r="A2481" t="s">
        <v>23</v>
      </c>
      <c r="B2481" t="s">
        <v>11</v>
      </c>
      <c r="C2481" t="s">
        <v>12</v>
      </c>
      <c r="D2481" t="s">
        <v>15</v>
      </c>
      <c r="E2481">
        <v>0</v>
      </c>
      <c r="F2481">
        <v>0.75</v>
      </c>
      <c r="G2481">
        <v>61.369554758071899</v>
      </c>
      <c r="H2481">
        <v>3</v>
      </c>
      <c r="I2481">
        <v>8</v>
      </c>
      <c r="J2481">
        <v>30</v>
      </c>
    </row>
    <row r="2482" spans="1:10" x14ac:dyDescent="0.25">
      <c r="A2482" t="s">
        <v>23</v>
      </c>
      <c r="B2482" t="s">
        <v>11</v>
      </c>
      <c r="C2482" t="s">
        <v>12</v>
      </c>
      <c r="D2482" t="s">
        <v>15</v>
      </c>
      <c r="E2482">
        <v>0</v>
      </c>
      <c r="F2482">
        <v>0.75</v>
      </c>
      <c r="G2482">
        <v>64.644975900649996</v>
      </c>
      <c r="H2482">
        <v>2</v>
      </c>
      <c r="I2482">
        <v>5</v>
      </c>
      <c r="J2482">
        <v>30</v>
      </c>
    </row>
    <row r="2483" spans="1:10" x14ac:dyDescent="0.25">
      <c r="A2483" t="s">
        <v>23</v>
      </c>
      <c r="B2483" t="s">
        <v>11</v>
      </c>
      <c r="C2483" t="s">
        <v>12</v>
      </c>
      <c r="D2483" t="s">
        <v>15</v>
      </c>
      <c r="E2483">
        <v>0</v>
      </c>
      <c r="F2483">
        <v>0.75</v>
      </c>
      <c r="G2483">
        <v>67.2014093399047</v>
      </c>
      <c r="H2483">
        <v>5</v>
      </c>
      <c r="I2483">
        <v>11</v>
      </c>
      <c r="J2483">
        <v>30</v>
      </c>
    </row>
    <row r="2484" spans="1:10" x14ac:dyDescent="0.25">
      <c r="A2484" t="s">
        <v>23</v>
      </c>
      <c r="B2484" t="s">
        <v>11</v>
      </c>
      <c r="C2484" t="s">
        <v>12</v>
      </c>
      <c r="D2484" t="s">
        <v>15</v>
      </c>
      <c r="E2484">
        <v>1.2422360248447199E-3</v>
      </c>
      <c r="F2484">
        <v>0.75005900621118005</v>
      </c>
      <c r="G2484">
        <v>72.708829402923499</v>
      </c>
      <c r="H2484">
        <v>5</v>
      </c>
      <c r="I2484">
        <v>13</v>
      </c>
      <c r="J2484">
        <v>30</v>
      </c>
    </row>
    <row r="2485" spans="1:10" x14ac:dyDescent="0.25">
      <c r="A2485" t="s">
        <v>23</v>
      </c>
      <c r="B2485" t="s">
        <v>11</v>
      </c>
      <c r="C2485" t="s">
        <v>12</v>
      </c>
      <c r="D2485" t="s">
        <v>15</v>
      </c>
      <c r="E2485">
        <v>0</v>
      </c>
      <c r="F2485">
        <v>0.75</v>
      </c>
      <c r="G2485">
        <v>72.790389776229802</v>
      </c>
      <c r="H2485">
        <v>7</v>
      </c>
      <c r="I2485">
        <v>15</v>
      </c>
      <c r="J2485">
        <v>30</v>
      </c>
    </row>
    <row r="2486" spans="1:10" x14ac:dyDescent="0.25">
      <c r="A2486" t="s">
        <v>23</v>
      </c>
      <c r="B2486" t="s">
        <v>11</v>
      </c>
      <c r="C2486" t="s">
        <v>12</v>
      </c>
      <c r="D2486" t="s">
        <v>15</v>
      </c>
      <c r="E2486">
        <v>0</v>
      </c>
      <c r="F2486">
        <v>0.75</v>
      </c>
      <c r="G2486">
        <v>73.504661798477102</v>
      </c>
      <c r="H2486">
        <v>6</v>
      </c>
      <c r="I2486">
        <v>14</v>
      </c>
      <c r="J2486">
        <v>30</v>
      </c>
    </row>
    <row r="2487" spans="1:10" x14ac:dyDescent="0.25">
      <c r="A2487" t="s">
        <v>23</v>
      </c>
      <c r="B2487" t="s">
        <v>11</v>
      </c>
      <c r="C2487" t="s">
        <v>12</v>
      </c>
      <c r="D2487" t="s">
        <v>15</v>
      </c>
      <c r="E2487">
        <v>0</v>
      </c>
      <c r="F2487">
        <v>0.74993478260869495</v>
      </c>
      <c r="G2487">
        <v>78.905615091323796</v>
      </c>
      <c r="H2487">
        <v>8</v>
      </c>
      <c r="I2487">
        <v>18</v>
      </c>
      <c r="J2487">
        <v>30</v>
      </c>
    </row>
    <row r="2488" spans="1:10" x14ac:dyDescent="0.25">
      <c r="A2488" t="s">
        <v>23</v>
      </c>
      <c r="B2488" t="s">
        <v>11</v>
      </c>
      <c r="C2488" t="s">
        <v>12</v>
      </c>
      <c r="D2488" t="s">
        <v>15</v>
      </c>
      <c r="E2488">
        <v>1.2422360248447199E-3</v>
      </c>
      <c r="F2488">
        <v>0.75005900621118005</v>
      </c>
      <c r="G2488">
        <v>82.076179504394503</v>
      </c>
      <c r="H2488">
        <v>9</v>
      </c>
      <c r="I2488">
        <v>20</v>
      </c>
      <c r="J2488">
        <v>30</v>
      </c>
    </row>
    <row r="2489" spans="1:10" x14ac:dyDescent="0.25">
      <c r="A2489" t="s">
        <v>23</v>
      </c>
      <c r="B2489" t="s">
        <v>11</v>
      </c>
      <c r="C2489" t="s">
        <v>12</v>
      </c>
      <c r="D2489" t="s">
        <v>15</v>
      </c>
      <c r="E2489">
        <v>2.4844720496894398E-3</v>
      </c>
      <c r="F2489">
        <v>0.75005279503105504</v>
      </c>
      <c r="G2489">
        <v>92.783976316451998</v>
      </c>
      <c r="H2489">
        <v>12</v>
      </c>
      <c r="I2489">
        <v>28</v>
      </c>
      <c r="J2489">
        <v>30</v>
      </c>
    </row>
    <row r="2490" spans="1:10" x14ac:dyDescent="0.25">
      <c r="A2490" t="s">
        <v>23</v>
      </c>
      <c r="B2490" t="s">
        <v>11</v>
      </c>
      <c r="C2490" t="s">
        <v>12</v>
      </c>
      <c r="D2490" t="s">
        <v>15</v>
      </c>
      <c r="E2490">
        <v>3.7267080745341601E-3</v>
      </c>
      <c r="F2490">
        <v>0.75017701863354003</v>
      </c>
      <c r="G2490">
        <v>96.090086221694904</v>
      </c>
      <c r="H2490">
        <v>17</v>
      </c>
      <c r="I2490">
        <v>37</v>
      </c>
      <c r="J2490">
        <v>30</v>
      </c>
    </row>
    <row r="2491" spans="1:10" x14ac:dyDescent="0.25">
      <c r="A2491" t="s">
        <v>23</v>
      </c>
      <c r="B2491" t="s">
        <v>11</v>
      </c>
      <c r="C2491" t="s">
        <v>12</v>
      </c>
      <c r="D2491" t="s">
        <v>15</v>
      </c>
      <c r="E2491">
        <v>1.2422360248447199E-3</v>
      </c>
      <c r="F2491">
        <v>0.75005900621118005</v>
      </c>
      <c r="G2491">
        <v>97.532231330871497</v>
      </c>
      <c r="H2491">
        <v>18</v>
      </c>
      <c r="I2491">
        <v>39</v>
      </c>
      <c r="J2491">
        <v>30</v>
      </c>
    </row>
    <row r="2492" spans="1:10" x14ac:dyDescent="0.25">
      <c r="A2492" t="s">
        <v>23</v>
      </c>
      <c r="B2492" t="s">
        <v>11</v>
      </c>
      <c r="C2492" t="s">
        <v>12</v>
      </c>
      <c r="D2492" t="s">
        <v>16</v>
      </c>
      <c r="E2492">
        <v>0</v>
      </c>
      <c r="F2492">
        <v>0.75</v>
      </c>
      <c r="G2492">
        <v>23.091636657714801</v>
      </c>
      <c r="H2492">
        <v>0</v>
      </c>
      <c r="I2492">
        <v>0</v>
      </c>
      <c r="J2492">
        <v>30</v>
      </c>
    </row>
    <row r="2493" spans="1:10" x14ac:dyDescent="0.25">
      <c r="A2493" t="s">
        <v>23</v>
      </c>
      <c r="B2493" t="s">
        <v>11</v>
      </c>
      <c r="C2493" t="s">
        <v>12</v>
      </c>
      <c r="D2493" t="s">
        <v>16</v>
      </c>
      <c r="E2493">
        <v>0</v>
      </c>
      <c r="F2493">
        <v>0.75</v>
      </c>
      <c r="G2493">
        <v>23.494314670562702</v>
      </c>
      <c r="H2493">
        <v>0</v>
      </c>
      <c r="I2493">
        <v>0</v>
      </c>
      <c r="J2493">
        <v>30</v>
      </c>
    </row>
    <row r="2494" spans="1:10" x14ac:dyDescent="0.25">
      <c r="A2494" t="s">
        <v>23</v>
      </c>
      <c r="B2494" t="s">
        <v>11</v>
      </c>
      <c r="C2494" t="s">
        <v>12</v>
      </c>
      <c r="D2494" t="s">
        <v>16</v>
      </c>
      <c r="E2494">
        <v>0</v>
      </c>
      <c r="F2494">
        <v>0.75</v>
      </c>
      <c r="G2494">
        <v>25.252248048782299</v>
      </c>
      <c r="H2494">
        <v>0</v>
      </c>
      <c r="I2494">
        <v>0</v>
      </c>
      <c r="J2494">
        <v>30</v>
      </c>
    </row>
    <row r="2495" spans="1:10" x14ac:dyDescent="0.25">
      <c r="A2495" t="s">
        <v>23</v>
      </c>
      <c r="B2495" t="s">
        <v>11</v>
      </c>
      <c r="C2495" t="s">
        <v>12</v>
      </c>
      <c r="D2495" t="s">
        <v>16</v>
      </c>
      <c r="E2495">
        <v>0</v>
      </c>
      <c r="F2495">
        <v>0.75</v>
      </c>
      <c r="G2495">
        <v>26.144614934921201</v>
      </c>
      <c r="H2495">
        <v>0</v>
      </c>
      <c r="I2495">
        <v>0</v>
      </c>
      <c r="J2495">
        <v>30</v>
      </c>
    </row>
    <row r="2496" spans="1:10" x14ac:dyDescent="0.25">
      <c r="A2496" t="s">
        <v>23</v>
      </c>
      <c r="B2496" t="s">
        <v>11</v>
      </c>
      <c r="C2496" t="s">
        <v>12</v>
      </c>
      <c r="D2496" t="s">
        <v>16</v>
      </c>
      <c r="E2496">
        <v>0</v>
      </c>
      <c r="F2496">
        <v>0.75</v>
      </c>
      <c r="G2496">
        <v>26.561774253845201</v>
      </c>
      <c r="H2496">
        <v>0</v>
      </c>
      <c r="I2496">
        <v>0</v>
      </c>
      <c r="J2496">
        <v>30</v>
      </c>
    </row>
    <row r="2497" spans="1:10" x14ac:dyDescent="0.25">
      <c r="A2497" t="s">
        <v>23</v>
      </c>
      <c r="B2497" t="s">
        <v>11</v>
      </c>
      <c r="C2497" t="s">
        <v>12</v>
      </c>
      <c r="D2497" t="s">
        <v>16</v>
      </c>
      <c r="E2497">
        <v>0</v>
      </c>
      <c r="F2497">
        <v>0.75</v>
      </c>
      <c r="G2497">
        <v>28.0189595222473</v>
      </c>
      <c r="H2497">
        <v>0</v>
      </c>
      <c r="I2497">
        <v>0</v>
      </c>
      <c r="J2497">
        <v>30</v>
      </c>
    </row>
    <row r="2498" spans="1:10" x14ac:dyDescent="0.25">
      <c r="A2498" t="s">
        <v>23</v>
      </c>
      <c r="B2498" t="s">
        <v>11</v>
      </c>
      <c r="C2498" t="s">
        <v>12</v>
      </c>
      <c r="D2498" t="s">
        <v>16</v>
      </c>
      <c r="E2498">
        <v>0</v>
      </c>
      <c r="F2498">
        <v>0.75</v>
      </c>
      <c r="G2498">
        <v>27.891152143478301</v>
      </c>
      <c r="H2498">
        <v>0</v>
      </c>
      <c r="I2498">
        <v>0</v>
      </c>
      <c r="J2498">
        <v>30</v>
      </c>
    </row>
    <row r="2499" spans="1:10" x14ac:dyDescent="0.25">
      <c r="A2499" t="s">
        <v>23</v>
      </c>
      <c r="B2499" t="s">
        <v>11</v>
      </c>
      <c r="C2499" t="s">
        <v>12</v>
      </c>
      <c r="D2499" t="s">
        <v>16</v>
      </c>
      <c r="E2499">
        <v>0</v>
      </c>
      <c r="F2499">
        <v>0.75</v>
      </c>
      <c r="G2499">
        <v>27.891752958297701</v>
      </c>
      <c r="H2499">
        <v>0</v>
      </c>
      <c r="I2499">
        <v>0</v>
      </c>
      <c r="J2499">
        <v>30</v>
      </c>
    </row>
    <row r="2500" spans="1:10" x14ac:dyDescent="0.25">
      <c r="A2500" t="s">
        <v>23</v>
      </c>
      <c r="B2500" t="s">
        <v>11</v>
      </c>
      <c r="C2500" t="s">
        <v>12</v>
      </c>
      <c r="D2500" t="s">
        <v>16</v>
      </c>
      <c r="E2500">
        <v>0</v>
      </c>
      <c r="F2500">
        <v>0.75</v>
      </c>
      <c r="G2500">
        <v>28.290560245513898</v>
      </c>
      <c r="H2500">
        <v>0</v>
      </c>
      <c r="I2500">
        <v>0</v>
      </c>
      <c r="J2500">
        <v>30</v>
      </c>
    </row>
    <row r="2501" spans="1:10" x14ac:dyDescent="0.25">
      <c r="A2501" t="s">
        <v>23</v>
      </c>
      <c r="B2501" t="s">
        <v>11</v>
      </c>
      <c r="C2501" t="s">
        <v>12</v>
      </c>
      <c r="D2501" t="s">
        <v>16</v>
      </c>
      <c r="E2501">
        <v>0</v>
      </c>
      <c r="F2501">
        <v>0.75</v>
      </c>
      <c r="G2501">
        <v>28.452006578445399</v>
      </c>
      <c r="H2501">
        <v>0</v>
      </c>
      <c r="I2501">
        <v>0</v>
      </c>
      <c r="J2501">
        <v>30</v>
      </c>
    </row>
    <row r="2502" spans="1:10" x14ac:dyDescent="0.25">
      <c r="A2502" t="s">
        <v>23</v>
      </c>
      <c r="B2502" t="s">
        <v>11</v>
      </c>
      <c r="C2502" t="s">
        <v>12</v>
      </c>
      <c r="D2502" t="s">
        <v>16</v>
      </c>
      <c r="E2502">
        <v>0</v>
      </c>
      <c r="F2502">
        <v>0.75</v>
      </c>
      <c r="G2502">
        <v>29.177824974060002</v>
      </c>
      <c r="H2502">
        <v>0</v>
      </c>
      <c r="I2502">
        <v>0</v>
      </c>
      <c r="J2502">
        <v>30</v>
      </c>
    </row>
    <row r="2503" spans="1:10" x14ac:dyDescent="0.25">
      <c r="A2503" t="s">
        <v>23</v>
      </c>
      <c r="B2503" t="s">
        <v>11</v>
      </c>
      <c r="C2503" t="s">
        <v>12</v>
      </c>
      <c r="D2503" t="s">
        <v>16</v>
      </c>
      <c r="E2503">
        <v>0</v>
      </c>
      <c r="F2503">
        <v>0.75</v>
      </c>
      <c r="G2503">
        <v>29.357753276824901</v>
      </c>
      <c r="H2503">
        <v>0</v>
      </c>
      <c r="I2503">
        <v>0</v>
      </c>
      <c r="J2503">
        <v>30</v>
      </c>
    </row>
    <row r="2504" spans="1:10" x14ac:dyDescent="0.25">
      <c r="A2504" t="s">
        <v>23</v>
      </c>
      <c r="B2504" t="s">
        <v>11</v>
      </c>
      <c r="C2504" t="s">
        <v>12</v>
      </c>
      <c r="D2504" t="s">
        <v>16</v>
      </c>
      <c r="E2504">
        <v>0</v>
      </c>
      <c r="F2504">
        <v>0.75</v>
      </c>
      <c r="G2504">
        <v>29.814506292343101</v>
      </c>
      <c r="H2504">
        <v>0</v>
      </c>
      <c r="I2504">
        <v>0</v>
      </c>
      <c r="J2504">
        <v>30</v>
      </c>
    </row>
    <row r="2505" spans="1:10" x14ac:dyDescent="0.25">
      <c r="A2505" t="s">
        <v>23</v>
      </c>
      <c r="B2505" t="s">
        <v>11</v>
      </c>
      <c r="C2505" t="s">
        <v>12</v>
      </c>
      <c r="D2505" t="s">
        <v>16</v>
      </c>
      <c r="E2505">
        <v>0</v>
      </c>
      <c r="F2505">
        <v>0.75</v>
      </c>
      <c r="G2505">
        <v>29.9112017154693</v>
      </c>
      <c r="H2505">
        <v>0</v>
      </c>
      <c r="I2505">
        <v>0</v>
      </c>
      <c r="J2505">
        <v>30</v>
      </c>
    </row>
    <row r="2506" spans="1:10" x14ac:dyDescent="0.25">
      <c r="A2506" t="s">
        <v>23</v>
      </c>
      <c r="B2506" t="s">
        <v>11</v>
      </c>
      <c r="C2506" t="s">
        <v>12</v>
      </c>
      <c r="D2506" t="s">
        <v>16</v>
      </c>
      <c r="E2506">
        <v>0</v>
      </c>
      <c r="F2506">
        <v>0.75</v>
      </c>
      <c r="G2506">
        <v>29.890875816345201</v>
      </c>
      <c r="H2506">
        <v>0</v>
      </c>
      <c r="I2506">
        <v>0</v>
      </c>
      <c r="J2506">
        <v>30</v>
      </c>
    </row>
    <row r="2507" spans="1:10" x14ac:dyDescent="0.25">
      <c r="A2507" t="s">
        <v>23</v>
      </c>
      <c r="B2507" t="s">
        <v>11</v>
      </c>
      <c r="C2507" t="s">
        <v>12</v>
      </c>
      <c r="D2507" t="s">
        <v>16</v>
      </c>
      <c r="E2507">
        <v>0</v>
      </c>
      <c r="F2507">
        <v>0.75</v>
      </c>
      <c r="G2507">
        <v>30.1430196762084</v>
      </c>
      <c r="H2507">
        <v>0</v>
      </c>
      <c r="I2507">
        <v>0</v>
      </c>
      <c r="J2507">
        <v>30</v>
      </c>
    </row>
    <row r="2508" spans="1:10" x14ac:dyDescent="0.25">
      <c r="A2508" t="s">
        <v>23</v>
      </c>
      <c r="B2508" t="s">
        <v>11</v>
      </c>
      <c r="C2508" t="s">
        <v>12</v>
      </c>
      <c r="D2508" t="s">
        <v>16</v>
      </c>
      <c r="E2508">
        <v>0</v>
      </c>
      <c r="F2508">
        <v>0.75</v>
      </c>
      <c r="G2508">
        <v>31.226015567779498</v>
      </c>
      <c r="H2508">
        <v>0</v>
      </c>
      <c r="I2508">
        <v>0</v>
      </c>
      <c r="J2508">
        <v>30</v>
      </c>
    </row>
    <row r="2509" spans="1:10" x14ac:dyDescent="0.25">
      <c r="A2509" t="s">
        <v>23</v>
      </c>
      <c r="B2509" t="s">
        <v>11</v>
      </c>
      <c r="C2509" t="s">
        <v>12</v>
      </c>
      <c r="D2509" t="s">
        <v>16</v>
      </c>
      <c r="E2509">
        <v>0</v>
      </c>
      <c r="F2509">
        <v>0.75</v>
      </c>
      <c r="G2509">
        <v>31.669023036956698</v>
      </c>
      <c r="H2509">
        <v>0</v>
      </c>
      <c r="I2509">
        <v>0</v>
      </c>
      <c r="J2509">
        <v>30</v>
      </c>
    </row>
    <row r="2510" spans="1:10" x14ac:dyDescent="0.25">
      <c r="A2510" t="s">
        <v>23</v>
      </c>
      <c r="B2510" t="s">
        <v>11</v>
      </c>
      <c r="C2510" t="s">
        <v>12</v>
      </c>
      <c r="D2510" t="s">
        <v>16</v>
      </c>
      <c r="E2510">
        <v>0</v>
      </c>
      <c r="F2510">
        <v>0.75</v>
      </c>
      <c r="G2510">
        <v>31.837311744689899</v>
      </c>
      <c r="H2510">
        <v>0</v>
      </c>
      <c r="I2510">
        <v>0</v>
      </c>
      <c r="J2510">
        <v>30</v>
      </c>
    </row>
    <row r="2511" spans="1:10" x14ac:dyDescent="0.25">
      <c r="A2511" t="s">
        <v>23</v>
      </c>
      <c r="B2511" t="s">
        <v>11</v>
      </c>
      <c r="C2511" t="s">
        <v>12</v>
      </c>
      <c r="D2511" t="s">
        <v>16</v>
      </c>
      <c r="E2511">
        <v>0</v>
      </c>
      <c r="F2511">
        <v>0.75</v>
      </c>
      <c r="G2511">
        <v>31.869902849197299</v>
      </c>
      <c r="H2511">
        <v>0</v>
      </c>
      <c r="I2511">
        <v>0</v>
      </c>
      <c r="J2511">
        <v>30</v>
      </c>
    </row>
    <row r="2512" spans="1:10" x14ac:dyDescent="0.25">
      <c r="A2512" t="s">
        <v>23</v>
      </c>
      <c r="B2512" t="s">
        <v>11</v>
      </c>
      <c r="C2512" t="s">
        <v>12</v>
      </c>
      <c r="D2512" t="s">
        <v>16</v>
      </c>
      <c r="E2512">
        <v>0</v>
      </c>
      <c r="F2512">
        <v>0.75</v>
      </c>
      <c r="G2512">
        <v>32.009980440139699</v>
      </c>
      <c r="H2512">
        <v>0</v>
      </c>
      <c r="I2512">
        <v>0</v>
      </c>
      <c r="J2512">
        <v>30</v>
      </c>
    </row>
    <row r="2513" spans="1:10" x14ac:dyDescent="0.25">
      <c r="A2513" t="s">
        <v>23</v>
      </c>
      <c r="B2513" t="s">
        <v>11</v>
      </c>
      <c r="C2513" t="s">
        <v>12</v>
      </c>
      <c r="D2513" t="s">
        <v>16</v>
      </c>
      <c r="E2513">
        <v>0</v>
      </c>
      <c r="F2513">
        <v>0.75</v>
      </c>
      <c r="G2513">
        <v>31.9761462211608</v>
      </c>
      <c r="H2513">
        <v>0</v>
      </c>
      <c r="I2513">
        <v>0</v>
      </c>
      <c r="J2513">
        <v>30</v>
      </c>
    </row>
    <row r="2514" spans="1:10" x14ac:dyDescent="0.25">
      <c r="A2514" t="s">
        <v>23</v>
      </c>
      <c r="B2514" t="s">
        <v>11</v>
      </c>
      <c r="C2514" t="s">
        <v>12</v>
      </c>
      <c r="D2514" t="s">
        <v>16</v>
      </c>
      <c r="E2514">
        <v>0</v>
      </c>
      <c r="F2514">
        <v>0.75</v>
      </c>
      <c r="G2514">
        <v>31.9410846233367</v>
      </c>
      <c r="H2514">
        <v>0</v>
      </c>
      <c r="I2514">
        <v>0</v>
      </c>
      <c r="J2514">
        <v>30</v>
      </c>
    </row>
    <row r="2515" spans="1:10" x14ac:dyDescent="0.25">
      <c r="A2515" t="s">
        <v>23</v>
      </c>
      <c r="B2515" t="s">
        <v>11</v>
      </c>
      <c r="C2515" t="s">
        <v>12</v>
      </c>
      <c r="D2515" t="s">
        <v>16</v>
      </c>
      <c r="E2515">
        <v>0</v>
      </c>
      <c r="F2515">
        <v>0.75</v>
      </c>
      <c r="G2515">
        <v>32.138823509216301</v>
      </c>
      <c r="H2515">
        <v>0</v>
      </c>
      <c r="I2515">
        <v>0</v>
      </c>
      <c r="J2515">
        <v>30</v>
      </c>
    </row>
    <row r="2516" spans="1:10" x14ac:dyDescent="0.25">
      <c r="A2516" t="s">
        <v>23</v>
      </c>
      <c r="B2516" t="s">
        <v>11</v>
      </c>
      <c r="C2516" t="s">
        <v>12</v>
      </c>
      <c r="D2516" t="s">
        <v>16</v>
      </c>
      <c r="E2516">
        <v>0</v>
      </c>
      <c r="F2516">
        <v>0.75</v>
      </c>
      <c r="G2516">
        <v>32.2261962890625</v>
      </c>
      <c r="H2516">
        <v>0</v>
      </c>
      <c r="I2516">
        <v>0</v>
      </c>
      <c r="J2516">
        <v>30</v>
      </c>
    </row>
    <row r="2517" spans="1:10" x14ac:dyDescent="0.25">
      <c r="A2517" t="s">
        <v>23</v>
      </c>
      <c r="B2517" t="s">
        <v>11</v>
      </c>
      <c r="C2517" t="s">
        <v>12</v>
      </c>
      <c r="D2517" t="s">
        <v>16</v>
      </c>
      <c r="E2517">
        <v>0</v>
      </c>
      <c r="F2517">
        <v>0.75</v>
      </c>
      <c r="G2517">
        <v>32.142220497131298</v>
      </c>
      <c r="H2517">
        <v>0</v>
      </c>
      <c r="I2517">
        <v>0</v>
      </c>
      <c r="J2517">
        <v>30</v>
      </c>
    </row>
    <row r="2518" spans="1:10" x14ac:dyDescent="0.25">
      <c r="A2518" t="s">
        <v>23</v>
      </c>
      <c r="B2518" t="s">
        <v>11</v>
      </c>
      <c r="C2518" t="s">
        <v>12</v>
      </c>
      <c r="D2518" t="s">
        <v>16</v>
      </c>
      <c r="E2518">
        <v>0</v>
      </c>
      <c r="F2518">
        <v>0.75</v>
      </c>
      <c r="G2518">
        <v>32.492240190505903</v>
      </c>
      <c r="H2518">
        <v>0</v>
      </c>
      <c r="I2518">
        <v>0</v>
      </c>
      <c r="J2518">
        <v>30</v>
      </c>
    </row>
    <row r="2519" spans="1:10" x14ac:dyDescent="0.25">
      <c r="A2519" t="s">
        <v>23</v>
      </c>
      <c r="B2519" t="s">
        <v>11</v>
      </c>
      <c r="C2519" t="s">
        <v>12</v>
      </c>
      <c r="D2519" t="s">
        <v>16</v>
      </c>
      <c r="E2519">
        <v>0</v>
      </c>
      <c r="F2519">
        <v>0.75</v>
      </c>
      <c r="G2519">
        <v>32.658289909362701</v>
      </c>
      <c r="H2519">
        <v>0</v>
      </c>
      <c r="I2519">
        <v>0</v>
      </c>
      <c r="J2519">
        <v>30</v>
      </c>
    </row>
    <row r="2520" spans="1:10" x14ac:dyDescent="0.25">
      <c r="A2520" t="s">
        <v>23</v>
      </c>
      <c r="B2520" t="s">
        <v>11</v>
      </c>
      <c r="C2520" t="s">
        <v>12</v>
      </c>
      <c r="D2520" t="s">
        <v>16</v>
      </c>
      <c r="E2520">
        <v>0</v>
      </c>
      <c r="F2520">
        <v>0.75</v>
      </c>
      <c r="G2520">
        <v>32.266206979751502</v>
      </c>
      <c r="H2520">
        <v>0</v>
      </c>
      <c r="I2520">
        <v>0</v>
      </c>
      <c r="J2520">
        <v>30</v>
      </c>
    </row>
    <row r="2521" spans="1:10" x14ac:dyDescent="0.25">
      <c r="A2521" t="s">
        <v>23</v>
      </c>
      <c r="B2521" t="s">
        <v>11</v>
      </c>
      <c r="C2521" t="s">
        <v>12</v>
      </c>
      <c r="D2521" t="s">
        <v>16</v>
      </c>
      <c r="E2521">
        <v>0</v>
      </c>
      <c r="F2521">
        <v>0.75</v>
      </c>
      <c r="G2521">
        <v>32.486214637756298</v>
      </c>
      <c r="H2521">
        <v>0</v>
      </c>
      <c r="I2521">
        <v>0</v>
      </c>
      <c r="J2521">
        <v>30</v>
      </c>
    </row>
    <row r="2522" spans="1:10" x14ac:dyDescent="0.25">
      <c r="A2522" t="s">
        <v>23</v>
      </c>
      <c r="B2522" t="s">
        <v>11</v>
      </c>
      <c r="C2522" t="s">
        <v>12</v>
      </c>
      <c r="D2522" t="s">
        <v>17</v>
      </c>
      <c r="E2522">
        <v>0.82111801242236004</v>
      </c>
      <c r="F2522">
        <v>0.86454398534558996</v>
      </c>
      <c r="G2522">
        <v>10697.633018255199</v>
      </c>
      <c r="H2522">
        <v>1001</v>
      </c>
      <c r="I2522">
        <v>917</v>
      </c>
      <c r="J2522">
        <v>30</v>
      </c>
    </row>
    <row r="2523" spans="1:10" x14ac:dyDescent="0.25">
      <c r="A2523" t="s">
        <v>23</v>
      </c>
      <c r="B2523" t="s">
        <v>11</v>
      </c>
      <c r="C2523" t="s">
        <v>12</v>
      </c>
      <c r="D2523" t="s">
        <v>17</v>
      </c>
      <c r="E2523">
        <v>0.78260869565217395</v>
      </c>
      <c r="F2523">
        <v>0.84743042412857095</v>
      </c>
      <c r="G2523">
        <v>11031.6173741817</v>
      </c>
      <c r="H2523">
        <v>993</v>
      </c>
      <c r="I2523">
        <v>894</v>
      </c>
      <c r="J2523">
        <v>30</v>
      </c>
    </row>
    <row r="2524" spans="1:10" x14ac:dyDescent="0.25">
      <c r="A2524" t="s">
        <v>23</v>
      </c>
      <c r="B2524" t="s">
        <v>11</v>
      </c>
      <c r="C2524" t="s">
        <v>12</v>
      </c>
      <c r="D2524" t="s">
        <v>17</v>
      </c>
      <c r="E2524">
        <v>0.80496894409937803</v>
      </c>
      <c r="F2524">
        <v>0.86482608708447195</v>
      </c>
      <c r="G2524">
        <v>11112.6136488914</v>
      </c>
      <c r="H2524">
        <v>1001</v>
      </c>
      <c r="I2524">
        <v>920</v>
      </c>
      <c r="J2524">
        <v>30</v>
      </c>
    </row>
    <row r="2525" spans="1:10" x14ac:dyDescent="0.25">
      <c r="A2525" t="s">
        <v>23</v>
      </c>
      <c r="B2525" t="s">
        <v>11</v>
      </c>
      <c r="C2525" t="s">
        <v>12</v>
      </c>
      <c r="D2525" t="s">
        <v>17</v>
      </c>
      <c r="E2525">
        <v>0.8</v>
      </c>
      <c r="F2525">
        <v>0.84897522899565203</v>
      </c>
      <c r="G2525">
        <v>11299.860886573701</v>
      </c>
      <c r="H2525">
        <v>979</v>
      </c>
      <c r="I2525">
        <v>906</v>
      </c>
      <c r="J2525">
        <v>30</v>
      </c>
    </row>
    <row r="2526" spans="1:10" x14ac:dyDescent="0.25">
      <c r="A2526" t="s">
        <v>23</v>
      </c>
      <c r="B2526" t="s">
        <v>11</v>
      </c>
      <c r="C2526" t="s">
        <v>12</v>
      </c>
      <c r="D2526" t="s">
        <v>17</v>
      </c>
      <c r="E2526">
        <v>0.80745341614906796</v>
      </c>
      <c r="F2526">
        <v>0.85391563206782595</v>
      </c>
      <c r="G2526">
        <v>11327.9044909477</v>
      </c>
      <c r="H2526">
        <v>1010</v>
      </c>
      <c r="I2526">
        <v>908</v>
      </c>
      <c r="J2526">
        <v>30</v>
      </c>
    </row>
    <row r="2527" spans="1:10" x14ac:dyDescent="0.25">
      <c r="A2527" t="s">
        <v>23</v>
      </c>
      <c r="B2527" t="s">
        <v>11</v>
      </c>
      <c r="C2527" t="s">
        <v>12</v>
      </c>
      <c r="D2527" t="s">
        <v>17</v>
      </c>
      <c r="E2527">
        <v>0.81118012422360197</v>
      </c>
      <c r="F2527">
        <v>0.86046847600931597</v>
      </c>
      <c r="G2527">
        <v>11502.639314174599</v>
      </c>
      <c r="H2527">
        <v>1014</v>
      </c>
      <c r="I2527">
        <v>903</v>
      </c>
      <c r="J2527">
        <v>30</v>
      </c>
    </row>
    <row r="2528" spans="1:10" x14ac:dyDescent="0.25">
      <c r="A2528" t="s">
        <v>23</v>
      </c>
      <c r="B2528" t="s">
        <v>11</v>
      </c>
      <c r="C2528" t="s">
        <v>12</v>
      </c>
      <c r="D2528" t="s">
        <v>17</v>
      </c>
      <c r="E2528">
        <v>0.82236024844720501</v>
      </c>
      <c r="F2528">
        <v>0.85798982728273299</v>
      </c>
      <c r="G2528">
        <v>11575.722398042601</v>
      </c>
      <c r="H2528">
        <v>1011</v>
      </c>
      <c r="I2528">
        <v>928</v>
      </c>
      <c r="J2528">
        <v>30</v>
      </c>
    </row>
    <row r="2529" spans="1:10" x14ac:dyDescent="0.25">
      <c r="A2529" t="s">
        <v>23</v>
      </c>
      <c r="B2529" t="s">
        <v>11</v>
      </c>
      <c r="C2529" t="s">
        <v>12</v>
      </c>
      <c r="D2529" t="s">
        <v>17</v>
      </c>
      <c r="E2529">
        <v>0.82111801242236004</v>
      </c>
      <c r="F2529">
        <v>0.86504845103726702</v>
      </c>
      <c r="G2529">
        <v>11643.3953704833</v>
      </c>
      <c r="H2529">
        <v>1000</v>
      </c>
      <c r="I2529">
        <v>930</v>
      </c>
      <c r="J2529">
        <v>30</v>
      </c>
    </row>
    <row r="2530" spans="1:10" x14ac:dyDescent="0.25">
      <c r="A2530" t="s">
        <v>23</v>
      </c>
      <c r="B2530" t="s">
        <v>11</v>
      </c>
      <c r="C2530" t="s">
        <v>12</v>
      </c>
      <c r="D2530" t="s">
        <v>17</v>
      </c>
      <c r="E2530">
        <v>0.82484472049689395</v>
      </c>
      <c r="F2530">
        <v>0.86246194126745301</v>
      </c>
      <c r="G2530">
        <v>11676.780555486601</v>
      </c>
      <c r="H2530">
        <v>1009</v>
      </c>
      <c r="I2530">
        <v>922</v>
      </c>
      <c r="J2530">
        <v>30</v>
      </c>
    </row>
    <row r="2531" spans="1:10" x14ac:dyDescent="0.25">
      <c r="A2531" t="s">
        <v>23</v>
      </c>
      <c r="B2531" t="s">
        <v>11</v>
      </c>
      <c r="C2531" t="s">
        <v>12</v>
      </c>
      <c r="D2531" t="s">
        <v>17</v>
      </c>
      <c r="E2531">
        <v>0.84223602484472004</v>
      </c>
      <c r="F2531">
        <v>0.87043505910136598</v>
      </c>
      <c r="G2531">
        <v>11689.408540725701</v>
      </c>
      <c r="H2531">
        <v>1041</v>
      </c>
      <c r="I2531">
        <v>941</v>
      </c>
      <c r="J2531">
        <v>30</v>
      </c>
    </row>
    <row r="2532" spans="1:10" x14ac:dyDescent="0.25">
      <c r="A2532" t="s">
        <v>23</v>
      </c>
      <c r="B2532" t="s">
        <v>11</v>
      </c>
      <c r="C2532" t="s">
        <v>12</v>
      </c>
      <c r="D2532" t="s">
        <v>17</v>
      </c>
      <c r="E2532">
        <v>0.81242236024844705</v>
      </c>
      <c r="F2532">
        <v>0.85455737399453402</v>
      </c>
      <c r="G2532">
        <v>11691.615782499301</v>
      </c>
      <c r="H2532">
        <v>983</v>
      </c>
      <c r="I2532">
        <v>887</v>
      </c>
      <c r="J2532">
        <v>30</v>
      </c>
    </row>
    <row r="2533" spans="1:10" x14ac:dyDescent="0.25">
      <c r="A2533" t="s">
        <v>23</v>
      </c>
      <c r="B2533" t="s">
        <v>11</v>
      </c>
      <c r="C2533" t="s">
        <v>12</v>
      </c>
      <c r="D2533" t="s">
        <v>17</v>
      </c>
      <c r="E2533">
        <v>0.83602484472049599</v>
      </c>
      <c r="F2533">
        <v>0.86549443769577605</v>
      </c>
      <c r="G2533">
        <v>11693.421886444001</v>
      </c>
      <c r="H2533">
        <v>998</v>
      </c>
      <c r="I2533">
        <v>919</v>
      </c>
      <c r="J2533">
        <v>30</v>
      </c>
    </row>
    <row r="2534" spans="1:10" x14ac:dyDescent="0.25">
      <c r="A2534" t="s">
        <v>23</v>
      </c>
      <c r="B2534" t="s">
        <v>11</v>
      </c>
      <c r="C2534" t="s">
        <v>12</v>
      </c>
      <c r="D2534" t="s">
        <v>17</v>
      </c>
      <c r="E2534">
        <v>0.82981366459627304</v>
      </c>
      <c r="F2534">
        <v>0.85999312330024802</v>
      </c>
      <c r="G2534">
        <v>11694.0385539531</v>
      </c>
      <c r="H2534">
        <v>1002</v>
      </c>
      <c r="I2534">
        <v>916</v>
      </c>
      <c r="J2534">
        <v>30</v>
      </c>
    </row>
    <row r="2535" spans="1:10" x14ac:dyDescent="0.25">
      <c r="A2535" t="s">
        <v>23</v>
      </c>
      <c r="B2535" t="s">
        <v>11</v>
      </c>
      <c r="C2535" t="s">
        <v>12</v>
      </c>
      <c r="D2535" t="s">
        <v>17</v>
      </c>
      <c r="E2535">
        <v>0.81614906832298095</v>
      </c>
      <c r="F2535">
        <v>0.86011143323863304</v>
      </c>
      <c r="G2535">
        <v>11743.3238937854</v>
      </c>
      <c r="H2535">
        <v>1005</v>
      </c>
      <c r="I2535">
        <v>921</v>
      </c>
      <c r="J2535">
        <v>30</v>
      </c>
    </row>
    <row r="2536" spans="1:10" x14ac:dyDescent="0.25">
      <c r="A2536" t="s">
        <v>23</v>
      </c>
      <c r="B2536" t="s">
        <v>11</v>
      </c>
      <c r="C2536" t="s">
        <v>12</v>
      </c>
      <c r="D2536" t="s">
        <v>17</v>
      </c>
      <c r="E2536">
        <v>0.82236024844720501</v>
      </c>
      <c r="F2536">
        <v>0.85904586381291903</v>
      </c>
      <c r="G2536">
        <v>11786.605202913201</v>
      </c>
      <c r="H2536">
        <v>1003</v>
      </c>
      <c r="I2536">
        <v>907</v>
      </c>
      <c r="J2536">
        <v>30</v>
      </c>
    </row>
    <row r="2537" spans="1:10" x14ac:dyDescent="0.25">
      <c r="A2537" t="s">
        <v>23</v>
      </c>
      <c r="B2537" t="s">
        <v>11</v>
      </c>
      <c r="C2537" t="s">
        <v>12</v>
      </c>
      <c r="D2537" t="s">
        <v>17</v>
      </c>
      <c r="E2537">
        <v>0.80124223602484401</v>
      </c>
      <c r="F2537">
        <v>0.85610413106434702</v>
      </c>
      <c r="G2537">
        <v>11812.958927154499</v>
      </c>
      <c r="H2537">
        <v>963</v>
      </c>
      <c r="I2537">
        <v>905</v>
      </c>
      <c r="J2537">
        <v>30</v>
      </c>
    </row>
    <row r="2538" spans="1:10" x14ac:dyDescent="0.25">
      <c r="A2538" t="s">
        <v>23</v>
      </c>
      <c r="B2538" t="s">
        <v>11</v>
      </c>
      <c r="C2538" t="s">
        <v>12</v>
      </c>
      <c r="D2538" t="s">
        <v>17</v>
      </c>
      <c r="E2538">
        <v>0.83354037267080705</v>
      </c>
      <c r="F2538">
        <v>0.865695062009192</v>
      </c>
      <c r="G2538">
        <v>11823.273951292</v>
      </c>
      <c r="H2538">
        <v>986</v>
      </c>
      <c r="I2538">
        <v>919</v>
      </c>
      <c r="J2538">
        <v>30</v>
      </c>
    </row>
    <row r="2539" spans="1:10" x14ac:dyDescent="0.25">
      <c r="A2539" t="s">
        <v>23</v>
      </c>
      <c r="B2539" t="s">
        <v>11</v>
      </c>
      <c r="C2539" t="s">
        <v>12</v>
      </c>
      <c r="D2539" t="s">
        <v>17</v>
      </c>
      <c r="E2539">
        <v>0.80124223602484401</v>
      </c>
      <c r="F2539">
        <v>0.85247881788794999</v>
      </c>
      <c r="G2539">
        <v>11841.3037352561</v>
      </c>
      <c r="H2539">
        <v>988</v>
      </c>
      <c r="I2539">
        <v>905</v>
      </c>
      <c r="J2539">
        <v>30</v>
      </c>
    </row>
    <row r="2540" spans="1:10" x14ac:dyDescent="0.25">
      <c r="A2540" t="s">
        <v>23</v>
      </c>
      <c r="B2540" t="s">
        <v>11</v>
      </c>
      <c r="C2540" t="s">
        <v>12</v>
      </c>
      <c r="D2540" t="s">
        <v>17</v>
      </c>
      <c r="E2540">
        <v>0.80372670807453395</v>
      </c>
      <c r="F2540">
        <v>0.85068297579577601</v>
      </c>
      <c r="G2540">
        <v>11886.744738101899</v>
      </c>
      <c r="H2540">
        <v>989</v>
      </c>
      <c r="I2540">
        <v>917</v>
      </c>
      <c r="J2540">
        <v>30</v>
      </c>
    </row>
    <row r="2541" spans="1:10" x14ac:dyDescent="0.25">
      <c r="A2541" t="s">
        <v>23</v>
      </c>
      <c r="B2541" t="s">
        <v>11</v>
      </c>
      <c r="C2541" t="s">
        <v>12</v>
      </c>
      <c r="D2541" t="s">
        <v>17</v>
      </c>
      <c r="E2541">
        <v>0.81118012422360197</v>
      </c>
      <c r="F2541">
        <v>0.84956709639714301</v>
      </c>
      <c r="G2541">
        <v>11907.9583461284</v>
      </c>
      <c r="H2541">
        <v>971</v>
      </c>
      <c r="I2541">
        <v>895</v>
      </c>
      <c r="J2541">
        <v>30</v>
      </c>
    </row>
    <row r="2542" spans="1:10" x14ac:dyDescent="0.25">
      <c r="A2542" t="s">
        <v>23</v>
      </c>
      <c r="B2542" t="s">
        <v>11</v>
      </c>
      <c r="C2542" t="s">
        <v>12</v>
      </c>
      <c r="D2542" t="s">
        <v>17</v>
      </c>
      <c r="E2542">
        <v>0.79751552795031</v>
      </c>
      <c r="F2542">
        <v>0.852565931599502</v>
      </c>
      <c r="G2542">
        <v>11918.773372650099</v>
      </c>
      <c r="H2542">
        <v>973</v>
      </c>
      <c r="I2542">
        <v>905</v>
      </c>
      <c r="J2542">
        <v>30</v>
      </c>
    </row>
    <row r="2543" spans="1:10" x14ac:dyDescent="0.25">
      <c r="A2543" t="s">
        <v>23</v>
      </c>
      <c r="B2543" t="s">
        <v>11</v>
      </c>
      <c r="C2543" t="s">
        <v>12</v>
      </c>
      <c r="D2543" t="s">
        <v>17</v>
      </c>
      <c r="E2543">
        <v>0.80496894409937803</v>
      </c>
      <c r="F2543">
        <v>0.85312415402707997</v>
      </c>
      <c r="G2543">
        <v>11926.884147643999</v>
      </c>
      <c r="H2543">
        <v>963</v>
      </c>
      <c r="I2543">
        <v>898</v>
      </c>
      <c r="J2543">
        <v>30</v>
      </c>
    </row>
    <row r="2544" spans="1:10" x14ac:dyDescent="0.25">
      <c r="A2544" t="s">
        <v>23</v>
      </c>
      <c r="B2544" t="s">
        <v>11</v>
      </c>
      <c r="C2544" t="s">
        <v>12</v>
      </c>
      <c r="D2544" t="s">
        <v>17</v>
      </c>
      <c r="E2544">
        <v>0.81987577639751497</v>
      </c>
      <c r="F2544">
        <v>0.86115513404459598</v>
      </c>
      <c r="G2544">
        <v>11961.3087129592</v>
      </c>
      <c r="H2544">
        <v>1033</v>
      </c>
      <c r="I2544">
        <v>932</v>
      </c>
      <c r="J2544">
        <v>30</v>
      </c>
    </row>
    <row r="2545" spans="1:10" x14ac:dyDescent="0.25">
      <c r="A2545" t="s">
        <v>23</v>
      </c>
      <c r="B2545" t="s">
        <v>11</v>
      </c>
      <c r="C2545" t="s">
        <v>12</v>
      </c>
      <c r="D2545" t="s">
        <v>17</v>
      </c>
      <c r="E2545">
        <v>0.81490683229813599</v>
      </c>
      <c r="F2545">
        <v>0.85021473455142804</v>
      </c>
      <c r="G2545">
        <v>11964.1905703544</v>
      </c>
      <c r="H2545">
        <v>986</v>
      </c>
      <c r="I2545">
        <v>893</v>
      </c>
      <c r="J2545">
        <v>30</v>
      </c>
    </row>
    <row r="2546" spans="1:10" x14ac:dyDescent="0.25">
      <c r="A2546" t="s">
        <v>23</v>
      </c>
      <c r="B2546" t="s">
        <v>11</v>
      </c>
      <c r="C2546" t="s">
        <v>12</v>
      </c>
      <c r="D2546" t="s">
        <v>17</v>
      </c>
      <c r="E2546">
        <v>0.81366459627329102</v>
      </c>
      <c r="F2546">
        <v>0.85124997212086895</v>
      </c>
      <c r="G2546">
        <v>11970.078108072201</v>
      </c>
      <c r="H2546">
        <v>994</v>
      </c>
      <c r="I2546">
        <v>895</v>
      </c>
      <c r="J2546">
        <v>30</v>
      </c>
    </row>
    <row r="2547" spans="1:10" x14ac:dyDescent="0.25">
      <c r="A2547" t="s">
        <v>23</v>
      </c>
      <c r="B2547" t="s">
        <v>11</v>
      </c>
      <c r="C2547" t="s">
        <v>12</v>
      </c>
      <c r="D2547" t="s">
        <v>17</v>
      </c>
      <c r="E2547">
        <v>0.82857142857142796</v>
      </c>
      <c r="F2547">
        <v>0.85709387151689398</v>
      </c>
      <c r="G2547">
        <v>11970.5201675891</v>
      </c>
      <c r="H2547">
        <v>983</v>
      </c>
      <c r="I2547">
        <v>882</v>
      </c>
      <c r="J2547">
        <v>30</v>
      </c>
    </row>
    <row r="2548" spans="1:10" x14ac:dyDescent="0.25">
      <c r="A2548" t="s">
        <v>23</v>
      </c>
      <c r="B2548" t="s">
        <v>11</v>
      </c>
      <c r="C2548" t="s">
        <v>12</v>
      </c>
      <c r="D2548" t="s">
        <v>17</v>
      </c>
      <c r="E2548">
        <v>0.80248447204968898</v>
      </c>
      <c r="F2548">
        <v>0.85023807716136601</v>
      </c>
      <c r="G2548">
        <v>11977.3484635353</v>
      </c>
      <c r="H2548">
        <v>969</v>
      </c>
      <c r="I2548">
        <v>897</v>
      </c>
      <c r="J2548">
        <v>30</v>
      </c>
    </row>
    <row r="2549" spans="1:10" x14ac:dyDescent="0.25">
      <c r="A2549" t="s">
        <v>23</v>
      </c>
      <c r="B2549" t="s">
        <v>11</v>
      </c>
      <c r="C2549" t="s">
        <v>12</v>
      </c>
      <c r="D2549" t="s">
        <v>17</v>
      </c>
      <c r="E2549">
        <v>0.83850931677018603</v>
      </c>
      <c r="F2549">
        <v>0.85611377696583801</v>
      </c>
      <c r="G2549">
        <v>11977.4891073703</v>
      </c>
      <c r="H2549">
        <v>987</v>
      </c>
      <c r="I2549">
        <v>924</v>
      </c>
      <c r="J2549">
        <v>30</v>
      </c>
    </row>
    <row r="2550" spans="1:10" x14ac:dyDescent="0.25">
      <c r="A2550" t="s">
        <v>23</v>
      </c>
      <c r="B2550" t="s">
        <v>11</v>
      </c>
      <c r="C2550" t="s">
        <v>12</v>
      </c>
      <c r="D2550" t="s">
        <v>17</v>
      </c>
      <c r="E2550">
        <v>0.83726708074534095</v>
      </c>
      <c r="F2550">
        <v>0.86416202636707995</v>
      </c>
      <c r="G2550">
        <v>11989.0561714172</v>
      </c>
      <c r="H2550">
        <v>977</v>
      </c>
      <c r="I2550">
        <v>914</v>
      </c>
      <c r="J2550">
        <v>30</v>
      </c>
    </row>
    <row r="2551" spans="1:10" x14ac:dyDescent="0.25">
      <c r="A2551" t="s">
        <v>23</v>
      </c>
      <c r="B2551" t="s">
        <v>11</v>
      </c>
      <c r="C2551" t="s">
        <v>12</v>
      </c>
      <c r="D2551" t="s">
        <v>17</v>
      </c>
      <c r="E2551">
        <v>0.84099378881987497</v>
      </c>
      <c r="F2551">
        <v>0.85795456546236004</v>
      </c>
      <c r="G2551">
        <v>11996.600485086399</v>
      </c>
      <c r="H2551">
        <v>982</v>
      </c>
      <c r="I2551">
        <v>908</v>
      </c>
      <c r="J2551">
        <v>30</v>
      </c>
    </row>
    <row r="2552" spans="1:10" x14ac:dyDescent="0.25">
      <c r="A2552" t="s">
        <v>23</v>
      </c>
      <c r="B2552" t="s">
        <v>11</v>
      </c>
      <c r="C2552" t="s">
        <v>18</v>
      </c>
      <c r="D2552" t="s">
        <v>13</v>
      </c>
      <c r="E2552">
        <v>1</v>
      </c>
      <c r="F2552">
        <v>0.99988631488894397</v>
      </c>
      <c r="G2552">
        <v>97.991514205932603</v>
      </c>
      <c r="H2552">
        <v>9</v>
      </c>
      <c r="I2552">
        <v>11</v>
      </c>
      <c r="J2552">
        <v>30</v>
      </c>
    </row>
    <row r="2553" spans="1:10" x14ac:dyDescent="0.25">
      <c r="A2553" t="s">
        <v>23</v>
      </c>
      <c r="B2553" t="s">
        <v>11</v>
      </c>
      <c r="C2553" t="s">
        <v>18</v>
      </c>
      <c r="D2553" t="s">
        <v>13</v>
      </c>
      <c r="E2553">
        <v>0.99130434782608701</v>
      </c>
      <c r="F2553">
        <v>0.99110058825341596</v>
      </c>
      <c r="G2553">
        <v>104.983500003814</v>
      </c>
      <c r="H2553">
        <v>12</v>
      </c>
      <c r="I2553">
        <v>12</v>
      </c>
      <c r="J2553">
        <v>30</v>
      </c>
    </row>
    <row r="2554" spans="1:10" x14ac:dyDescent="0.25">
      <c r="A2554" t="s">
        <v>23</v>
      </c>
      <c r="B2554" t="s">
        <v>11</v>
      </c>
      <c r="C2554" t="s">
        <v>18</v>
      </c>
      <c r="D2554" t="s">
        <v>13</v>
      </c>
      <c r="E2554">
        <v>0.99378881987577605</v>
      </c>
      <c r="F2554">
        <v>0.99373863064621104</v>
      </c>
      <c r="G2554">
        <v>106.015142917633</v>
      </c>
      <c r="H2554">
        <v>12</v>
      </c>
      <c r="I2554">
        <v>12</v>
      </c>
      <c r="J2554">
        <v>30</v>
      </c>
    </row>
    <row r="2555" spans="1:10" x14ac:dyDescent="0.25">
      <c r="A2555" t="s">
        <v>23</v>
      </c>
      <c r="B2555" t="s">
        <v>11</v>
      </c>
      <c r="C2555" t="s">
        <v>18</v>
      </c>
      <c r="D2555" t="s">
        <v>13</v>
      </c>
      <c r="E2555">
        <v>0.99130434782608701</v>
      </c>
      <c r="F2555">
        <v>0.99111950907080704</v>
      </c>
      <c r="G2555">
        <v>106.56340479850699</v>
      </c>
      <c r="H2555">
        <v>12</v>
      </c>
      <c r="I2555">
        <v>12</v>
      </c>
      <c r="J2555">
        <v>30</v>
      </c>
    </row>
    <row r="2556" spans="1:10" x14ac:dyDescent="0.25">
      <c r="A2556" t="s">
        <v>23</v>
      </c>
      <c r="B2556" t="s">
        <v>11</v>
      </c>
      <c r="C2556" t="s">
        <v>18</v>
      </c>
      <c r="D2556" t="s">
        <v>13</v>
      </c>
      <c r="E2556">
        <v>0.99627329192546499</v>
      </c>
      <c r="F2556">
        <v>0.99598385933552702</v>
      </c>
      <c r="G2556">
        <v>108.930227041244</v>
      </c>
      <c r="H2556">
        <v>13</v>
      </c>
      <c r="I2556">
        <v>15</v>
      </c>
      <c r="J2556">
        <v>30</v>
      </c>
    </row>
    <row r="2557" spans="1:10" x14ac:dyDescent="0.25">
      <c r="A2557" t="s">
        <v>23</v>
      </c>
      <c r="B2557" t="s">
        <v>11</v>
      </c>
      <c r="C2557" t="s">
        <v>18</v>
      </c>
      <c r="D2557" t="s">
        <v>13</v>
      </c>
      <c r="E2557">
        <v>0.99006211180124204</v>
      </c>
      <c r="F2557">
        <v>0.99015208956360201</v>
      </c>
      <c r="G2557">
        <v>114.027183055877</v>
      </c>
      <c r="H2557">
        <v>13</v>
      </c>
      <c r="I2557">
        <v>13</v>
      </c>
      <c r="J2557">
        <v>30</v>
      </c>
    </row>
    <row r="2558" spans="1:10" x14ac:dyDescent="0.25">
      <c r="A2558" t="s">
        <v>23</v>
      </c>
      <c r="B2558" t="s">
        <v>11</v>
      </c>
      <c r="C2558" t="s">
        <v>18</v>
      </c>
      <c r="D2558" t="s">
        <v>13</v>
      </c>
      <c r="E2558">
        <v>0.99503105590062102</v>
      </c>
      <c r="F2558">
        <v>0.99454915695055901</v>
      </c>
      <c r="G2558">
        <v>116.329335927963</v>
      </c>
      <c r="H2558">
        <v>10</v>
      </c>
      <c r="I2558">
        <v>13</v>
      </c>
      <c r="J2558">
        <v>30</v>
      </c>
    </row>
    <row r="2559" spans="1:10" x14ac:dyDescent="0.25">
      <c r="A2559" t="s">
        <v>23</v>
      </c>
      <c r="B2559" t="s">
        <v>11</v>
      </c>
      <c r="C2559" t="s">
        <v>18</v>
      </c>
      <c r="D2559" t="s">
        <v>13</v>
      </c>
      <c r="E2559">
        <v>0.99254658385093097</v>
      </c>
      <c r="F2559">
        <v>0.99251575755229804</v>
      </c>
      <c r="G2559">
        <v>115.636100292205</v>
      </c>
      <c r="H2559">
        <v>12</v>
      </c>
      <c r="I2559">
        <v>12</v>
      </c>
      <c r="J2559">
        <v>30</v>
      </c>
    </row>
    <row r="2560" spans="1:10" x14ac:dyDescent="0.25">
      <c r="A2560" t="s">
        <v>23</v>
      </c>
      <c r="B2560" t="s">
        <v>11</v>
      </c>
      <c r="C2560" t="s">
        <v>18</v>
      </c>
      <c r="D2560" t="s">
        <v>13</v>
      </c>
      <c r="E2560">
        <v>0.99751552795030995</v>
      </c>
      <c r="F2560">
        <v>0.99716883705403703</v>
      </c>
      <c r="G2560">
        <v>117.87314414978</v>
      </c>
      <c r="H2560">
        <v>13</v>
      </c>
      <c r="I2560">
        <v>14</v>
      </c>
      <c r="J2560">
        <v>30</v>
      </c>
    </row>
    <row r="2561" spans="1:10" x14ac:dyDescent="0.25">
      <c r="A2561" t="s">
        <v>23</v>
      </c>
      <c r="B2561" t="s">
        <v>11</v>
      </c>
      <c r="C2561" t="s">
        <v>18</v>
      </c>
      <c r="D2561" t="s">
        <v>13</v>
      </c>
      <c r="E2561">
        <v>0.99503105590062102</v>
      </c>
      <c r="F2561">
        <v>0.99503560832968896</v>
      </c>
      <c r="G2561">
        <v>117.840687990188</v>
      </c>
      <c r="H2561">
        <v>10</v>
      </c>
      <c r="I2561">
        <v>13</v>
      </c>
      <c r="J2561">
        <v>30</v>
      </c>
    </row>
    <row r="2562" spans="1:10" x14ac:dyDescent="0.25">
      <c r="A2562" t="s">
        <v>23</v>
      </c>
      <c r="B2562" t="s">
        <v>11</v>
      </c>
      <c r="C2562" t="s">
        <v>18</v>
      </c>
      <c r="D2562" t="s">
        <v>13</v>
      </c>
      <c r="E2562">
        <v>0.99378881987577605</v>
      </c>
      <c r="F2562">
        <v>0.993807804524099</v>
      </c>
      <c r="G2562">
        <v>117.717318296432</v>
      </c>
      <c r="H2562">
        <v>13</v>
      </c>
      <c r="I2562">
        <v>14</v>
      </c>
      <c r="J2562">
        <v>30</v>
      </c>
    </row>
    <row r="2563" spans="1:10" x14ac:dyDescent="0.25">
      <c r="A2563" t="s">
        <v>23</v>
      </c>
      <c r="B2563" t="s">
        <v>11</v>
      </c>
      <c r="C2563" t="s">
        <v>18</v>
      </c>
      <c r="D2563" t="s">
        <v>13</v>
      </c>
      <c r="E2563">
        <v>0.99254658385093097</v>
      </c>
      <c r="F2563">
        <v>0.99230708192931605</v>
      </c>
      <c r="G2563">
        <v>119.64026951789801</v>
      </c>
      <c r="H2563">
        <v>13</v>
      </c>
      <c r="I2563">
        <v>14</v>
      </c>
      <c r="J2563">
        <v>30</v>
      </c>
    </row>
    <row r="2564" spans="1:10" x14ac:dyDescent="0.25">
      <c r="A2564" t="s">
        <v>23</v>
      </c>
      <c r="B2564" t="s">
        <v>11</v>
      </c>
      <c r="C2564" t="s">
        <v>18</v>
      </c>
      <c r="D2564" t="s">
        <v>13</v>
      </c>
      <c r="E2564">
        <v>0.99503105590062102</v>
      </c>
      <c r="F2564">
        <v>0.99471753663739104</v>
      </c>
      <c r="G2564">
        <v>122.17163681983899</v>
      </c>
      <c r="H2564">
        <v>13</v>
      </c>
      <c r="I2564">
        <v>14</v>
      </c>
      <c r="J2564">
        <v>30</v>
      </c>
    </row>
    <row r="2565" spans="1:10" x14ac:dyDescent="0.25">
      <c r="A2565" t="s">
        <v>23</v>
      </c>
      <c r="B2565" t="s">
        <v>11</v>
      </c>
      <c r="C2565" t="s">
        <v>18</v>
      </c>
      <c r="D2565" t="s">
        <v>13</v>
      </c>
      <c r="E2565">
        <v>0.99378881987577605</v>
      </c>
      <c r="F2565">
        <v>0.99355601818347805</v>
      </c>
      <c r="G2565">
        <v>123.16452956199601</v>
      </c>
      <c r="H2565">
        <v>13</v>
      </c>
      <c r="I2565">
        <v>14</v>
      </c>
      <c r="J2565">
        <v>30</v>
      </c>
    </row>
    <row r="2566" spans="1:10" x14ac:dyDescent="0.25">
      <c r="A2566" t="s">
        <v>23</v>
      </c>
      <c r="B2566" t="s">
        <v>11</v>
      </c>
      <c r="C2566" t="s">
        <v>18</v>
      </c>
      <c r="D2566" t="s">
        <v>13</v>
      </c>
      <c r="E2566">
        <v>0.99006211180124204</v>
      </c>
      <c r="F2566">
        <v>0.98984823362136598</v>
      </c>
      <c r="G2566">
        <v>122.704721689224</v>
      </c>
      <c r="H2566">
        <v>12</v>
      </c>
      <c r="I2566">
        <v>12</v>
      </c>
      <c r="J2566">
        <v>30</v>
      </c>
    </row>
    <row r="2567" spans="1:10" x14ac:dyDescent="0.25">
      <c r="A2567" t="s">
        <v>23</v>
      </c>
      <c r="B2567" t="s">
        <v>11</v>
      </c>
      <c r="C2567" t="s">
        <v>18</v>
      </c>
      <c r="D2567" t="s">
        <v>13</v>
      </c>
      <c r="E2567">
        <v>0.98509316770186295</v>
      </c>
      <c r="F2567">
        <v>0.98521759349589999</v>
      </c>
      <c r="G2567">
        <v>124.396653890609</v>
      </c>
      <c r="H2567">
        <v>13</v>
      </c>
      <c r="I2567">
        <v>14</v>
      </c>
      <c r="J2567">
        <v>30</v>
      </c>
    </row>
    <row r="2568" spans="1:10" x14ac:dyDescent="0.25">
      <c r="A2568" t="s">
        <v>23</v>
      </c>
      <c r="B2568" t="s">
        <v>11</v>
      </c>
      <c r="C2568" t="s">
        <v>18</v>
      </c>
      <c r="D2568" t="s">
        <v>13</v>
      </c>
      <c r="E2568">
        <v>0.99627329192546499</v>
      </c>
      <c r="F2568">
        <v>0.99603853292447198</v>
      </c>
      <c r="G2568">
        <v>126.84246730804399</v>
      </c>
      <c r="H2568">
        <v>11</v>
      </c>
      <c r="I2568">
        <v>14</v>
      </c>
      <c r="J2568">
        <v>30</v>
      </c>
    </row>
    <row r="2569" spans="1:10" x14ac:dyDescent="0.25">
      <c r="A2569" t="s">
        <v>23</v>
      </c>
      <c r="B2569" t="s">
        <v>11</v>
      </c>
      <c r="C2569" t="s">
        <v>18</v>
      </c>
      <c r="D2569" t="s">
        <v>13</v>
      </c>
      <c r="E2569">
        <v>0.99006211180124204</v>
      </c>
      <c r="F2569">
        <v>0.99002456989416099</v>
      </c>
      <c r="G2569">
        <v>126.36399698257399</v>
      </c>
      <c r="H2569">
        <v>13</v>
      </c>
      <c r="I2569">
        <v>15</v>
      </c>
      <c r="J2569">
        <v>30</v>
      </c>
    </row>
    <row r="2570" spans="1:10" x14ac:dyDescent="0.25">
      <c r="A2570" t="s">
        <v>23</v>
      </c>
      <c r="B2570" t="s">
        <v>11</v>
      </c>
      <c r="C2570" t="s">
        <v>18</v>
      </c>
      <c r="D2570" t="s">
        <v>13</v>
      </c>
      <c r="E2570">
        <v>0.98633540372670803</v>
      </c>
      <c r="F2570">
        <v>0.98621804286099302</v>
      </c>
      <c r="G2570">
        <v>127.251991748809</v>
      </c>
      <c r="H2570">
        <v>12</v>
      </c>
      <c r="I2570">
        <v>14</v>
      </c>
      <c r="J2570">
        <v>30</v>
      </c>
    </row>
    <row r="2571" spans="1:10" x14ac:dyDescent="0.25">
      <c r="A2571" t="s">
        <v>23</v>
      </c>
      <c r="B2571" t="s">
        <v>11</v>
      </c>
      <c r="C2571" t="s">
        <v>18</v>
      </c>
      <c r="D2571" t="s">
        <v>13</v>
      </c>
      <c r="E2571">
        <v>0.99503105590062102</v>
      </c>
      <c r="F2571">
        <v>0.99498084246024798</v>
      </c>
      <c r="G2571">
        <v>127.303776025772</v>
      </c>
      <c r="H2571">
        <v>13</v>
      </c>
      <c r="I2571">
        <v>14</v>
      </c>
      <c r="J2571">
        <v>30</v>
      </c>
    </row>
    <row r="2572" spans="1:10" x14ac:dyDescent="0.25">
      <c r="A2572" t="s">
        <v>23</v>
      </c>
      <c r="B2572" t="s">
        <v>11</v>
      </c>
      <c r="C2572" t="s">
        <v>18</v>
      </c>
      <c r="D2572" t="s">
        <v>13</v>
      </c>
      <c r="E2572">
        <v>0.99503105590062102</v>
      </c>
      <c r="F2572">
        <v>0.99502525594409896</v>
      </c>
      <c r="G2572">
        <v>127.502997875213</v>
      </c>
      <c r="H2572">
        <v>10</v>
      </c>
      <c r="I2572">
        <v>13</v>
      </c>
      <c r="J2572">
        <v>30</v>
      </c>
    </row>
    <row r="2573" spans="1:10" x14ac:dyDescent="0.25">
      <c r="A2573" t="s">
        <v>23</v>
      </c>
      <c r="B2573" t="s">
        <v>11</v>
      </c>
      <c r="C2573" t="s">
        <v>18</v>
      </c>
      <c r="D2573" t="s">
        <v>13</v>
      </c>
      <c r="E2573">
        <v>0.98385093167701798</v>
      </c>
      <c r="F2573">
        <v>0.984237049044968</v>
      </c>
      <c r="G2573">
        <v>129.161780118942</v>
      </c>
      <c r="H2573">
        <v>13</v>
      </c>
      <c r="I2573">
        <v>14</v>
      </c>
      <c r="J2573">
        <v>30</v>
      </c>
    </row>
    <row r="2574" spans="1:10" x14ac:dyDescent="0.25">
      <c r="A2574" t="s">
        <v>23</v>
      </c>
      <c r="B2574" t="s">
        <v>11</v>
      </c>
      <c r="C2574" t="s">
        <v>18</v>
      </c>
      <c r="D2574" t="s">
        <v>13</v>
      </c>
      <c r="E2574">
        <v>0.99254658385093097</v>
      </c>
      <c r="F2574">
        <v>0.99253587699577595</v>
      </c>
      <c r="G2574">
        <v>130.13577437400801</v>
      </c>
      <c r="H2574">
        <v>13</v>
      </c>
      <c r="I2574">
        <v>14</v>
      </c>
      <c r="J2574">
        <v>30</v>
      </c>
    </row>
    <row r="2575" spans="1:10" x14ac:dyDescent="0.25">
      <c r="A2575" t="s">
        <v>23</v>
      </c>
      <c r="B2575" t="s">
        <v>11</v>
      </c>
      <c r="C2575" t="s">
        <v>18</v>
      </c>
      <c r="D2575" t="s">
        <v>13</v>
      </c>
      <c r="E2575">
        <v>0.99130434782608701</v>
      </c>
      <c r="F2575">
        <v>0.99109578819354005</v>
      </c>
      <c r="G2575">
        <v>131.19509339332501</v>
      </c>
      <c r="H2575">
        <v>12</v>
      </c>
      <c r="I2575">
        <v>14</v>
      </c>
      <c r="J2575">
        <v>30</v>
      </c>
    </row>
    <row r="2576" spans="1:10" x14ac:dyDescent="0.25">
      <c r="A2576" t="s">
        <v>23</v>
      </c>
      <c r="B2576" t="s">
        <v>11</v>
      </c>
      <c r="C2576" t="s">
        <v>18</v>
      </c>
      <c r="D2576" t="s">
        <v>13</v>
      </c>
      <c r="E2576">
        <v>0.99006211180124204</v>
      </c>
      <c r="F2576">
        <v>0.99005438702906801</v>
      </c>
      <c r="G2576">
        <v>131.219910383224</v>
      </c>
      <c r="H2576">
        <v>12</v>
      </c>
      <c r="I2576">
        <v>12</v>
      </c>
      <c r="J2576">
        <v>30</v>
      </c>
    </row>
    <row r="2577" spans="1:10" x14ac:dyDescent="0.25">
      <c r="A2577" t="s">
        <v>23</v>
      </c>
      <c r="B2577" t="s">
        <v>11</v>
      </c>
      <c r="C2577" t="s">
        <v>18</v>
      </c>
      <c r="D2577" t="s">
        <v>13</v>
      </c>
      <c r="E2577">
        <v>0.98881987577639696</v>
      </c>
      <c r="F2577">
        <v>0.98891687631900604</v>
      </c>
      <c r="G2577">
        <v>131.61563062667801</v>
      </c>
      <c r="H2577">
        <v>13</v>
      </c>
      <c r="I2577">
        <v>14</v>
      </c>
      <c r="J2577">
        <v>30</v>
      </c>
    </row>
    <row r="2578" spans="1:10" x14ac:dyDescent="0.25">
      <c r="A2578" t="s">
        <v>23</v>
      </c>
      <c r="B2578" t="s">
        <v>11</v>
      </c>
      <c r="C2578" t="s">
        <v>18</v>
      </c>
      <c r="D2578" t="s">
        <v>13</v>
      </c>
      <c r="E2578">
        <v>0.978881987577639</v>
      </c>
      <c r="F2578">
        <v>0.97903951895490604</v>
      </c>
      <c r="G2578">
        <v>132.03382611274699</v>
      </c>
      <c r="H2578">
        <v>12</v>
      </c>
      <c r="I2578">
        <v>15</v>
      </c>
      <c r="J2578">
        <v>30</v>
      </c>
    </row>
    <row r="2579" spans="1:10" x14ac:dyDescent="0.25">
      <c r="A2579" t="s">
        <v>23</v>
      </c>
      <c r="B2579" t="s">
        <v>11</v>
      </c>
      <c r="C2579" t="s">
        <v>18</v>
      </c>
      <c r="D2579" t="s">
        <v>13</v>
      </c>
      <c r="E2579">
        <v>0.99378881987577605</v>
      </c>
      <c r="F2579">
        <v>0.99352282564509298</v>
      </c>
      <c r="G2579">
        <v>132.04115033149699</v>
      </c>
      <c r="H2579">
        <v>13</v>
      </c>
      <c r="I2579">
        <v>14</v>
      </c>
      <c r="J2579">
        <v>30</v>
      </c>
    </row>
    <row r="2580" spans="1:10" x14ac:dyDescent="0.25">
      <c r="A2580" t="s">
        <v>23</v>
      </c>
      <c r="B2580" t="s">
        <v>11</v>
      </c>
      <c r="C2580" t="s">
        <v>18</v>
      </c>
      <c r="D2580" t="s">
        <v>13</v>
      </c>
      <c r="E2580">
        <v>0.98633540372670803</v>
      </c>
      <c r="F2580">
        <v>0.98633580437204904</v>
      </c>
      <c r="G2580">
        <v>132.21814584731999</v>
      </c>
      <c r="H2580">
        <v>12</v>
      </c>
      <c r="I2580">
        <v>15</v>
      </c>
      <c r="J2580">
        <v>30</v>
      </c>
    </row>
    <row r="2581" spans="1:10" x14ac:dyDescent="0.25">
      <c r="A2581" t="s">
        <v>23</v>
      </c>
      <c r="B2581" t="s">
        <v>11</v>
      </c>
      <c r="C2581" t="s">
        <v>18</v>
      </c>
      <c r="D2581" t="s">
        <v>13</v>
      </c>
      <c r="E2581">
        <v>0.99130434782608701</v>
      </c>
      <c r="F2581">
        <v>0.99082809047813603</v>
      </c>
      <c r="G2581">
        <v>132.731398105621</v>
      </c>
      <c r="H2581">
        <v>12</v>
      </c>
      <c r="I2581">
        <v>14</v>
      </c>
      <c r="J2581">
        <v>30</v>
      </c>
    </row>
    <row r="2582" spans="1:10" x14ac:dyDescent="0.25">
      <c r="A2582" t="s">
        <v>23</v>
      </c>
      <c r="B2582" t="s">
        <v>11</v>
      </c>
      <c r="C2582" t="s">
        <v>18</v>
      </c>
      <c r="D2582" t="s">
        <v>14</v>
      </c>
      <c r="E2582">
        <v>0.91428571428571404</v>
      </c>
      <c r="F2582">
        <v>0.93099689394148999</v>
      </c>
      <c r="G2582">
        <v>26.832498073577799</v>
      </c>
      <c r="H2582">
        <v>6</v>
      </c>
      <c r="I2582">
        <v>6</v>
      </c>
      <c r="J2582">
        <v>30</v>
      </c>
    </row>
    <row r="2583" spans="1:10" x14ac:dyDescent="0.25">
      <c r="A2583" t="s">
        <v>23</v>
      </c>
      <c r="B2583" t="s">
        <v>11</v>
      </c>
      <c r="C2583" t="s">
        <v>18</v>
      </c>
      <c r="D2583" t="s">
        <v>14</v>
      </c>
      <c r="E2583">
        <v>0.94285714285714195</v>
      </c>
      <c r="F2583">
        <v>0.94967447967391305</v>
      </c>
      <c r="G2583">
        <v>27.476379871368401</v>
      </c>
      <c r="H2583">
        <v>6</v>
      </c>
      <c r="I2583">
        <v>6</v>
      </c>
      <c r="J2583">
        <v>30</v>
      </c>
    </row>
    <row r="2584" spans="1:10" x14ac:dyDescent="0.25">
      <c r="A2584" t="s">
        <v>23</v>
      </c>
      <c r="B2584" t="s">
        <v>11</v>
      </c>
      <c r="C2584" t="s">
        <v>18</v>
      </c>
      <c r="D2584" t="s">
        <v>14</v>
      </c>
      <c r="E2584">
        <v>0.93167701863354002</v>
      </c>
      <c r="F2584">
        <v>0.94282300915676998</v>
      </c>
      <c r="G2584">
        <v>29.120726823806699</v>
      </c>
      <c r="H2584">
        <v>6</v>
      </c>
      <c r="I2584">
        <v>6</v>
      </c>
      <c r="J2584">
        <v>30</v>
      </c>
    </row>
    <row r="2585" spans="1:10" x14ac:dyDescent="0.25">
      <c r="A2585" t="s">
        <v>23</v>
      </c>
      <c r="B2585" t="s">
        <v>11</v>
      </c>
      <c r="C2585" t="s">
        <v>18</v>
      </c>
      <c r="D2585" t="s">
        <v>14</v>
      </c>
      <c r="E2585">
        <v>0.92049689440993698</v>
      </c>
      <c r="F2585">
        <v>0.93418798987875695</v>
      </c>
      <c r="G2585">
        <v>29.671729087829501</v>
      </c>
      <c r="H2585">
        <v>6</v>
      </c>
      <c r="I2585">
        <v>6</v>
      </c>
      <c r="J2585">
        <v>30</v>
      </c>
    </row>
    <row r="2586" spans="1:10" x14ac:dyDescent="0.25">
      <c r="A2586" t="s">
        <v>23</v>
      </c>
      <c r="B2586" t="s">
        <v>11</v>
      </c>
      <c r="C2586" t="s">
        <v>18</v>
      </c>
      <c r="D2586" t="s">
        <v>14</v>
      </c>
      <c r="E2586">
        <v>0.92173913043478195</v>
      </c>
      <c r="F2586">
        <v>0.93599175436496895</v>
      </c>
      <c r="G2586">
        <v>29.819540500640802</v>
      </c>
      <c r="H2586">
        <v>6</v>
      </c>
      <c r="I2586">
        <v>6</v>
      </c>
      <c r="J2586">
        <v>30</v>
      </c>
    </row>
    <row r="2587" spans="1:10" x14ac:dyDescent="0.25">
      <c r="A2587" t="s">
        <v>23</v>
      </c>
      <c r="B2587" t="s">
        <v>11</v>
      </c>
      <c r="C2587" t="s">
        <v>18</v>
      </c>
      <c r="D2587" t="s">
        <v>14</v>
      </c>
      <c r="E2587">
        <v>1</v>
      </c>
      <c r="F2587">
        <v>0.99944107311614905</v>
      </c>
      <c r="G2587">
        <v>30.2706313133239</v>
      </c>
      <c r="H2587">
        <v>12</v>
      </c>
      <c r="I2587">
        <v>11</v>
      </c>
      <c r="J2587">
        <v>30</v>
      </c>
    </row>
    <row r="2588" spans="1:10" x14ac:dyDescent="0.25">
      <c r="A2588" t="s">
        <v>23</v>
      </c>
      <c r="B2588" t="s">
        <v>11</v>
      </c>
      <c r="C2588" t="s">
        <v>18</v>
      </c>
      <c r="D2588" t="s">
        <v>14</v>
      </c>
      <c r="E2588">
        <v>0.92049689440993698</v>
      </c>
      <c r="F2588">
        <v>0.93441778570670797</v>
      </c>
      <c r="G2588">
        <v>30.808858871459901</v>
      </c>
      <c r="H2588">
        <v>6</v>
      </c>
      <c r="I2588">
        <v>6</v>
      </c>
      <c r="J2588">
        <v>30</v>
      </c>
    </row>
    <row r="2589" spans="1:10" x14ac:dyDescent="0.25">
      <c r="A2589" t="s">
        <v>23</v>
      </c>
      <c r="B2589" t="s">
        <v>11</v>
      </c>
      <c r="C2589" t="s">
        <v>18</v>
      </c>
      <c r="D2589" t="s">
        <v>14</v>
      </c>
      <c r="E2589">
        <v>0.93540372670807403</v>
      </c>
      <c r="F2589">
        <v>0.94522449682571397</v>
      </c>
      <c r="G2589">
        <v>30.907186031341499</v>
      </c>
      <c r="H2589">
        <v>6</v>
      </c>
      <c r="I2589">
        <v>6</v>
      </c>
      <c r="J2589">
        <v>30</v>
      </c>
    </row>
    <row r="2590" spans="1:10" x14ac:dyDescent="0.25">
      <c r="A2590" t="s">
        <v>23</v>
      </c>
      <c r="B2590" t="s">
        <v>11</v>
      </c>
      <c r="C2590" t="s">
        <v>18</v>
      </c>
      <c r="D2590" t="s">
        <v>14</v>
      </c>
      <c r="E2590">
        <v>1</v>
      </c>
      <c r="F2590">
        <v>0.99937996030931597</v>
      </c>
      <c r="G2590">
        <v>31.054005146026601</v>
      </c>
      <c r="H2590">
        <v>12</v>
      </c>
      <c r="I2590">
        <v>12</v>
      </c>
      <c r="J2590">
        <v>30</v>
      </c>
    </row>
    <row r="2591" spans="1:10" x14ac:dyDescent="0.25">
      <c r="A2591" t="s">
        <v>23</v>
      </c>
      <c r="B2591" t="s">
        <v>11</v>
      </c>
      <c r="C2591" t="s">
        <v>18</v>
      </c>
      <c r="D2591" t="s">
        <v>14</v>
      </c>
      <c r="E2591">
        <v>0.99875776397515503</v>
      </c>
      <c r="F2591">
        <v>0.99845410777850896</v>
      </c>
      <c r="G2591">
        <v>31.033672809600802</v>
      </c>
      <c r="H2591">
        <v>12</v>
      </c>
      <c r="I2591">
        <v>11</v>
      </c>
      <c r="J2591">
        <v>30</v>
      </c>
    </row>
    <row r="2592" spans="1:10" x14ac:dyDescent="0.25">
      <c r="A2592" t="s">
        <v>23</v>
      </c>
      <c r="B2592" t="s">
        <v>11</v>
      </c>
      <c r="C2592" t="s">
        <v>18</v>
      </c>
      <c r="D2592" t="s">
        <v>14</v>
      </c>
      <c r="E2592">
        <v>1</v>
      </c>
      <c r="F2592">
        <v>0.99920782469304303</v>
      </c>
      <c r="G2592">
        <v>31.293910741805998</v>
      </c>
      <c r="H2592">
        <v>12</v>
      </c>
      <c r="I2592">
        <v>11</v>
      </c>
      <c r="J2592">
        <v>30</v>
      </c>
    </row>
    <row r="2593" spans="1:10" x14ac:dyDescent="0.25">
      <c r="A2593" t="s">
        <v>23</v>
      </c>
      <c r="B2593" t="s">
        <v>11</v>
      </c>
      <c r="C2593" t="s">
        <v>18</v>
      </c>
      <c r="D2593" t="s">
        <v>14</v>
      </c>
      <c r="E2593">
        <v>0.93788819875776397</v>
      </c>
      <c r="F2593">
        <v>0.94655207719192502</v>
      </c>
      <c r="G2593">
        <v>31.5080823898315</v>
      </c>
      <c r="H2593">
        <v>6</v>
      </c>
      <c r="I2593">
        <v>6</v>
      </c>
      <c r="J2593">
        <v>30</v>
      </c>
    </row>
    <row r="2594" spans="1:10" x14ac:dyDescent="0.25">
      <c r="A2594" t="s">
        <v>23</v>
      </c>
      <c r="B2594" t="s">
        <v>11</v>
      </c>
      <c r="C2594" t="s">
        <v>18</v>
      </c>
      <c r="D2594" t="s">
        <v>14</v>
      </c>
      <c r="E2594">
        <v>1</v>
      </c>
      <c r="F2594">
        <v>0.99984495777726701</v>
      </c>
      <c r="G2594">
        <v>31.802805185317901</v>
      </c>
      <c r="H2594">
        <v>12</v>
      </c>
      <c r="I2594">
        <v>11</v>
      </c>
      <c r="J2594">
        <v>30</v>
      </c>
    </row>
    <row r="2595" spans="1:10" x14ac:dyDescent="0.25">
      <c r="A2595" t="s">
        <v>23</v>
      </c>
      <c r="B2595" t="s">
        <v>11</v>
      </c>
      <c r="C2595" t="s">
        <v>18</v>
      </c>
      <c r="D2595" t="s">
        <v>14</v>
      </c>
      <c r="E2595">
        <v>0.93540372670807403</v>
      </c>
      <c r="F2595">
        <v>0.94519060828819801</v>
      </c>
      <c r="G2595">
        <v>31.894516468048</v>
      </c>
      <c r="H2595">
        <v>6</v>
      </c>
      <c r="I2595">
        <v>6</v>
      </c>
      <c r="J2595">
        <v>30</v>
      </c>
    </row>
    <row r="2596" spans="1:10" x14ac:dyDescent="0.25">
      <c r="A2596" t="s">
        <v>23</v>
      </c>
      <c r="B2596" t="s">
        <v>11</v>
      </c>
      <c r="C2596" t="s">
        <v>18</v>
      </c>
      <c r="D2596" t="s">
        <v>14</v>
      </c>
      <c r="E2596">
        <v>0.93167701863354002</v>
      </c>
      <c r="F2596">
        <v>0.94272420109006105</v>
      </c>
      <c r="G2596">
        <v>32.0289433002471</v>
      </c>
      <c r="H2596">
        <v>6</v>
      </c>
      <c r="I2596">
        <v>6</v>
      </c>
      <c r="J2596">
        <v>30</v>
      </c>
    </row>
    <row r="2597" spans="1:10" x14ac:dyDescent="0.25">
      <c r="A2597" t="s">
        <v>23</v>
      </c>
      <c r="B2597" t="s">
        <v>11</v>
      </c>
      <c r="C2597" t="s">
        <v>18</v>
      </c>
      <c r="D2597" t="s">
        <v>14</v>
      </c>
      <c r="E2597">
        <v>0.99751552795030995</v>
      </c>
      <c r="F2597">
        <v>0.99731546542757699</v>
      </c>
      <c r="G2597">
        <v>32.528316020965498</v>
      </c>
      <c r="H2597">
        <v>12</v>
      </c>
      <c r="I2597">
        <v>12</v>
      </c>
      <c r="J2597">
        <v>30</v>
      </c>
    </row>
    <row r="2598" spans="1:10" x14ac:dyDescent="0.25">
      <c r="A2598" t="s">
        <v>23</v>
      </c>
      <c r="B2598" t="s">
        <v>11</v>
      </c>
      <c r="C2598" t="s">
        <v>18</v>
      </c>
      <c r="D2598" t="s">
        <v>14</v>
      </c>
      <c r="E2598">
        <v>1</v>
      </c>
      <c r="F2598">
        <v>0.99980247842397496</v>
      </c>
      <c r="G2598">
        <v>32.764428615569997</v>
      </c>
      <c r="H2598">
        <v>12</v>
      </c>
      <c r="I2598">
        <v>11</v>
      </c>
      <c r="J2598">
        <v>30</v>
      </c>
    </row>
    <row r="2599" spans="1:10" x14ac:dyDescent="0.25">
      <c r="A2599" t="s">
        <v>23</v>
      </c>
      <c r="B2599" t="s">
        <v>11</v>
      </c>
      <c r="C2599" t="s">
        <v>18</v>
      </c>
      <c r="D2599" t="s">
        <v>14</v>
      </c>
      <c r="E2599">
        <v>0.93788819875776397</v>
      </c>
      <c r="F2599">
        <v>0.94718525724857106</v>
      </c>
      <c r="G2599">
        <v>33.214124679565401</v>
      </c>
      <c r="H2599">
        <v>6</v>
      </c>
      <c r="I2599">
        <v>6</v>
      </c>
      <c r="J2599">
        <v>30</v>
      </c>
    </row>
    <row r="2600" spans="1:10" x14ac:dyDescent="0.25">
      <c r="A2600" t="s">
        <v>23</v>
      </c>
      <c r="B2600" t="s">
        <v>11</v>
      </c>
      <c r="C2600" t="s">
        <v>18</v>
      </c>
      <c r="D2600" t="s">
        <v>14</v>
      </c>
      <c r="E2600">
        <v>0.99751552795030995</v>
      </c>
      <c r="F2600">
        <v>0.99721794608621095</v>
      </c>
      <c r="G2600">
        <v>33.789555788040097</v>
      </c>
      <c r="H2600">
        <v>12</v>
      </c>
      <c r="I2600">
        <v>11</v>
      </c>
      <c r="J2600">
        <v>30</v>
      </c>
    </row>
    <row r="2601" spans="1:10" x14ac:dyDescent="0.25">
      <c r="A2601" t="s">
        <v>23</v>
      </c>
      <c r="B2601" t="s">
        <v>11</v>
      </c>
      <c r="C2601" t="s">
        <v>18</v>
      </c>
      <c r="D2601" t="s">
        <v>14</v>
      </c>
      <c r="E2601">
        <v>0.99503105590062102</v>
      </c>
      <c r="F2601">
        <v>0.99514396837763897</v>
      </c>
      <c r="G2601">
        <v>34.088195323943999</v>
      </c>
      <c r="H2601">
        <v>12</v>
      </c>
      <c r="I2601">
        <v>12</v>
      </c>
      <c r="J2601">
        <v>30</v>
      </c>
    </row>
    <row r="2602" spans="1:10" x14ac:dyDescent="0.25">
      <c r="A2602" t="s">
        <v>23</v>
      </c>
      <c r="B2602" t="s">
        <v>11</v>
      </c>
      <c r="C2602" t="s">
        <v>18</v>
      </c>
      <c r="D2602" t="s">
        <v>14</v>
      </c>
      <c r="E2602">
        <v>0.936645962732919</v>
      </c>
      <c r="F2602">
        <v>0.94628438164260797</v>
      </c>
      <c r="G2602">
        <v>34.418615102767902</v>
      </c>
      <c r="H2602">
        <v>6</v>
      </c>
      <c r="I2602">
        <v>6</v>
      </c>
      <c r="J2602">
        <v>30</v>
      </c>
    </row>
    <row r="2603" spans="1:10" x14ac:dyDescent="0.25">
      <c r="A2603" t="s">
        <v>23</v>
      </c>
      <c r="B2603" t="s">
        <v>11</v>
      </c>
      <c r="C2603" t="s">
        <v>18</v>
      </c>
      <c r="D2603" t="s">
        <v>14</v>
      </c>
      <c r="E2603">
        <v>0.99378881987577605</v>
      </c>
      <c r="F2603">
        <v>0.99549952613912995</v>
      </c>
      <c r="G2603">
        <v>34.619874238967803</v>
      </c>
      <c r="H2603">
        <v>11</v>
      </c>
      <c r="I2603">
        <v>11</v>
      </c>
      <c r="J2603">
        <v>30</v>
      </c>
    </row>
    <row r="2604" spans="1:10" x14ac:dyDescent="0.25">
      <c r="A2604" t="s">
        <v>23</v>
      </c>
      <c r="B2604" t="s">
        <v>11</v>
      </c>
      <c r="C2604" t="s">
        <v>18</v>
      </c>
      <c r="D2604" t="s">
        <v>14</v>
      </c>
      <c r="E2604">
        <v>0.99503105590062102</v>
      </c>
      <c r="F2604">
        <v>0.99498471528173904</v>
      </c>
      <c r="G2604">
        <v>34.9747056961059</v>
      </c>
      <c r="H2604">
        <v>11</v>
      </c>
      <c r="I2604">
        <v>12</v>
      </c>
      <c r="J2604">
        <v>30</v>
      </c>
    </row>
    <row r="2605" spans="1:10" x14ac:dyDescent="0.25">
      <c r="A2605" t="s">
        <v>23</v>
      </c>
      <c r="B2605" t="s">
        <v>11</v>
      </c>
      <c r="C2605" t="s">
        <v>18</v>
      </c>
      <c r="D2605" t="s">
        <v>14</v>
      </c>
      <c r="E2605">
        <v>0.99751552795030995</v>
      </c>
      <c r="F2605">
        <v>0.99738787608000001</v>
      </c>
      <c r="G2605">
        <v>35.463689088821397</v>
      </c>
      <c r="H2605">
        <v>11</v>
      </c>
      <c r="I2605">
        <v>12</v>
      </c>
      <c r="J2605">
        <v>30</v>
      </c>
    </row>
    <row r="2606" spans="1:10" x14ac:dyDescent="0.25">
      <c r="A2606" t="s">
        <v>23</v>
      </c>
      <c r="B2606" t="s">
        <v>11</v>
      </c>
      <c r="C2606" t="s">
        <v>18</v>
      </c>
      <c r="D2606" t="s">
        <v>14</v>
      </c>
      <c r="E2606">
        <v>0.99503105590062102</v>
      </c>
      <c r="F2606">
        <v>0.99493065311602402</v>
      </c>
      <c r="G2606">
        <v>35.040031194686797</v>
      </c>
      <c r="H2606">
        <v>12</v>
      </c>
      <c r="I2606">
        <v>12</v>
      </c>
      <c r="J2606">
        <v>30</v>
      </c>
    </row>
    <row r="2607" spans="1:10" x14ac:dyDescent="0.25">
      <c r="A2607" t="s">
        <v>23</v>
      </c>
      <c r="B2607" t="s">
        <v>11</v>
      </c>
      <c r="C2607" t="s">
        <v>18</v>
      </c>
      <c r="D2607" t="s">
        <v>14</v>
      </c>
      <c r="E2607">
        <v>0.99378881987577605</v>
      </c>
      <c r="F2607">
        <v>0.99338050444869497</v>
      </c>
      <c r="G2607">
        <v>35.606280326843198</v>
      </c>
      <c r="H2607">
        <v>11</v>
      </c>
      <c r="I2607">
        <v>12</v>
      </c>
      <c r="J2607">
        <v>30</v>
      </c>
    </row>
    <row r="2608" spans="1:10" x14ac:dyDescent="0.25">
      <c r="A2608" t="s">
        <v>23</v>
      </c>
      <c r="B2608" t="s">
        <v>11</v>
      </c>
      <c r="C2608" t="s">
        <v>18</v>
      </c>
      <c r="D2608" t="s">
        <v>14</v>
      </c>
      <c r="E2608">
        <v>0.99627329192546499</v>
      </c>
      <c r="F2608">
        <v>0.99605872950198704</v>
      </c>
      <c r="G2608">
        <v>35.617786645889197</v>
      </c>
      <c r="H2608">
        <v>11</v>
      </c>
      <c r="I2608">
        <v>12</v>
      </c>
      <c r="J2608">
        <v>30</v>
      </c>
    </row>
    <row r="2609" spans="1:10" x14ac:dyDescent="0.25">
      <c r="A2609" t="s">
        <v>23</v>
      </c>
      <c r="B2609" t="s">
        <v>11</v>
      </c>
      <c r="C2609" t="s">
        <v>18</v>
      </c>
      <c r="D2609" t="s">
        <v>14</v>
      </c>
      <c r="E2609">
        <v>0.99254658385093097</v>
      </c>
      <c r="F2609">
        <v>0.99212690234397505</v>
      </c>
      <c r="G2609">
        <v>35.788864135742102</v>
      </c>
      <c r="H2609">
        <v>12</v>
      </c>
      <c r="I2609">
        <v>14</v>
      </c>
      <c r="J2609">
        <v>30</v>
      </c>
    </row>
    <row r="2610" spans="1:10" x14ac:dyDescent="0.25">
      <c r="A2610" t="s">
        <v>23</v>
      </c>
      <c r="B2610" t="s">
        <v>11</v>
      </c>
      <c r="C2610" t="s">
        <v>18</v>
      </c>
      <c r="D2610" t="s">
        <v>14</v>
      </c>
      <c r="E2610">
        <v>0.99875776397515503</v>
      </c>
      <c r="F2610">
        <v>0.99845907330161399</v>
      </c>
      <c r="G2610">
        <v>35.8188474178314</v>
      </c>
      <c r="H2610">
        <v>11</v>
      </c>
      <c r="I2610">
        <v>12</v>
      </c>
      <c r="J2610">
        <v>30</v>
      </c>
    </row>
    <row r="2611" spans="1:10" x14ac:dyDescent="0.25">
      <c r="A2611" t="s">
        <v>23</v>
      </c>
      <c r="B2611" t="s">
        <v>11</v>
      </c>
      <c r="C2611" t="s">
        <v>18</v>
      </c>
      <c r="D2611" t="s">
        <v>14</v>
      </c>
      <c r="E2611">
        <v>0.99503105590062102</v>
      </c>
      <c r="F2611">
        <v>0.99493351683602405</v>
      </c>
      <c r="G2611">
        <v>35.900905609130803</v>
      </c>
      <c r="H2611">
        <v>11</v>
      </c>
      <c r="I2611">
        <v>12</v>
      </c>
      <c r="J2611">
        <v>30</v>
      </c>
    </row>
    <row r="2612" spans="1:10" x14ac:dyDescent="0.25">
      <c r="A2612" t="s">
        <v>23</v>
      </c>
      <c r="B2612" t="s">
        <v>11</v>
      </c>
      <c r="C2612" t="s">
        <v>18</v>
      </c>
      <c r="D2612" t="s">
        <v>15</v>
      </c>
      <c r="E2612">
        <v>0</v>
      </c>
      <c r="F2612">
        <v>0.75</v>
      </c>
      <c r="G2612">
        <v>36.666152715682898</v>
      </c>
      <c r="H2612">
        <v>0</v>
      </c>
      <c r="I2612">
        <v>0</v>
      </c>
      <c r="J2612">
        <v>30</v>
      </c>
    </row>
    <row r="2613" spans="1:10" x14ac:dyDescent="0.25">
      <c r="A2613" t="s">
        <v>23</v>
      </c>
      <c r="B2613" t="s">
        <v>11</v>
      </c>
      <c r="C2613" t="s">
        <v>18</v>
      </c>
      <c r="D2613" t="s">
        <v>15</v>
      </c>
      <c r="E2613">
        <v>0</v>
      </c>
      <c r="F2613">
        <v>0.75</v>
      </c>
      <c r="G2613">
        <v>37.184642791747997</v>
      </c>
      <c r="H2613">
        <v>0</v>
      </c>
      <c r="I2613">
        <v>0</v>
      </c>
      <c r="J2613">
        <v>30</v>
      </c>
    </row>
    <row r="2614" spans="1:10" x14ac:dyDescent="0.25">
      <c r="A2614" t="s">
        <v>23</v>
      </c>
      <c r="B2614" t="s">
        <v>11</v>
      </c>
      <c r="C2614" t="s">
        <v>18</v>
      </c>
      <c r="D2614" t="s">
        <v>15</v>
      </c>
      <c r="E2614">
        <v>0</v>
      </c>
      <c r="F2614">
        <v>0.75</v>
      </c>
      <c r="G2614">
        <v>37.593769550323401</v>
      </c>
      <c r="H2614">
        <v>0</v>
      </c>
      <c r="I2614">
        <v>0</v>
      </c>
      <c r="J2614">
        <v>30</v>
      </c>
    </row>
    <row r="2615" spans="1:10" x14ac:dyDescent="0.25">
      <c r="A2615" t="s">
        <v>23</v>
      </c>
      <c r="B2615" t="s">
        <v>11</v>
      </c>
      <c r="C2615" t="s">
        <v>18</v>
      </c>
      <c r="D2615" t="s">
        <v>15</v>
      </c>
      <c r="E2615">
        <v>0</v>
      </c>
      <c r="F2615">
        <v>0.75</v>
      </c>
      <c r="G2615">
        <v>44.9815545082092</v>
      </c>
      <c r="H2615">
        <v>1</v>
      </c>
      <c r="I2615">
        <v>3</v>
      </c>
      <c r="J2615">
        <v>30</v>
      </c>
    </row>
    <row r="2616" spans="1:10" x14ac:dyDescent="0.25">
      <c r="A2616" t="s">
        <v>23</v>
      </c>
      <c r="B2616" t="s">
        <v>11</v>
      </c>
      <c r="C2616" t="s">
        <v>18</v>
      </c>
      <c r="D2616" t="s">
        <v>15</v>
      </c>
      <c r="E2616">
        <v>0</v>
      </c>
      <c r="F2616">
        <v>0.75</v>
      </c>
      <c r="G2616">
        <v>44.966547012329102</v>
      </c>
      <c r="H2616">
        <v>0</v>
      </c>
      <c r="I2616">
        <v>0</v>
      </c>
      <c r="J2616">
        <v>30</v>
      </c>
    </row>
    <row r="2617" spans="1:10" x14ac:dyDescent="0.25">
      <c r="A2617" t="s">
        <v>23</v>
      </c>
      <c r="B2617" t="s">
        <v>11</v>
      </c>
      <c r="C2617" t="s">
        <v>18</v>
      </c>
      <c r="D2617" t="s">
        <v>15</v>
      </c>
      <c r="E2617">
        <v>0</v>
      </c>
      <c r="F2617">
        <v>0.75</v>
      </c>
      <c r="G2617">
        <v>46.462200164794901</v>
      </c>
      <c r="H2617">
        <v>1</v>
      </c>
      <c r="I2617">
        <v>3</v>
      </c>
      <c r="J2617">
        <v>30</v>
      </c>
    </row>
    <row r="2618" spans="1:10" x14ac:dyDescent="0.25">
      <c r="A2618" t="s">
        <v>23</v>
      </c>
      <c r="B2618" t="s">
        <v>11</v>
      </c>
      <c r="C2618" t="s">
        <v>18</v>
      </c>
      <c r="D2618" t="s">
        <v>15</v>
      </c>
      <c r="E2618">
        <v>0</v>
      </c>
      <c r="F2618">
        <v>0.75</v>
      </c>
      <c r="G2618">
        <v>47.214406967163001</v>
      </c>
      <c r="H2618">
        <v>0</v>
      </c>
      <c r="I2618">
        <v>0</v>
      </c>
      <c r="J2618">
        <v>30</v>
      </c>
    </row>
    <row r="2619" spans="1:10" x14ac:dyDescent="0.25">
      <c r="A2619" t="s">
        <v>23</v>
      </c>
      <c r="B2619" t="s">
        <v>11</v>
      </c>
      <c r="C2619" t="s">
        <v>18</v>
      </c>
      <c r="D2619" t="s">
        <v>15</v>
      </c>
      <c r="E2619">
        <v>0</v>
      </c>
      <c r="F2619">
        <v>0.75</v>
      </c>
      <c r="G2619">
        <v>50.968422889709402</v>
      </c>
      <c r="H2619">
        <v>0</v>
      </c>
      <c r="I2619">
        <v>0</v>
      </c>
      <c r="J2619">
        <v>30</v>
      </c>
    </row>
    <row r="2620" spans="1:10" x14ac:dyDescent="0.25">
      <c r="A2620" t="s">
        <v>23</v>
      </c>
      <c r="B2620" t="s">
        <v>11</v>
      </c>
      <c r="C2620" t="s">
        <v>18</v>
      </c>
      <c r="D2620" t="s">
        <v>15</v>
      </c>
      <c r="E2620">
        <v>0</v>
      </c>
      <c r="F2620">
        <v>0.75</v>
      </c>
      <c r="G2620">
        <v>51.6183631420135</v>
      </c>
      <c r="H2620">
        <v>0</v>
      </c>
      <c r="I2620">
        <v>0</v>
      </c>
      <c r="J2620">
        <v>30</v>
      </c>
    </row>
    <row r="2621" spans="1:10" x14ac:dyDescent="0.25">
      <c r="A2621" t="s">
        <v>23</v>
      </c>
      <c r="B2621" t="s">
        <v>11</v>
      </c>
      <c r="C2621" t="s">
        <v>18</v>
      </c>
      <c r="D2621" t="s">
        <v>15</v>
      </c>
      <c r="E2621">
        <v>0</v>
      </c>
      <c r="F2621">
        <v>0.75</v>
      </c>
      <c r="G2621">
        <v>57.504542589187601</v>
      </c>
      <c r="H2621">
        <v>2</v>
      </c>
      <c r="I2621">
        <v>5</v>
      </c>
      <c r="J2621">
        <v>30</v>
      </c>
    </row>
    <row r="2622" spans="1:10" x14ac:dyDescent="0.25">
      <c r="A2622" t="s">
        <v>23</v>
      </c>
      <c r="B2622" t="s">
        <v>11</v>
      </c>
      <c r="C2622" t="s">
        <v>18</v>
      </c>
      <c r="D2622" t="s">
        <v>15</v>
      </c>
      <c r="E2622">
        <v>0</v>
      </c>
      <c r="F2622">
        <v>0.75</v>
      </c>
      <c r="G2622">
        <v>60.342324018478301</v>
      </c>
      <c r="H2622">
        <v>0</v>
      </c>
      <c r="I2622">
        <v>0</v>
      </c>
      <c r="J2622">
        <v>30</v>
      </c>
    </row>
    <row r="2623" spans="1:10" x14ac:dyDescent="0.25">
      <c r="A2623" t="s">
        <v>23</v>
      </c>
      <c r="B2623" t="s">
        <v>11</v>
      </c>
      <c r="C2623" t="s">
        <v>18</v>
      </c>
      <c r="D2623" t="s">
        <v>15</v>
      </c>
      <c r="E2623">
        <v>2.4844720496894398E-3</v>
      </c>
      <c r="F2623">
        <v>0.75011801242235998</v>
      </c>
      <c r="G2623">
        <v>62.280763387679997</v>
      </c>
      <c r="H2623">
        <v>1</v>
      </c>
      <c r="I2623">
        <v>3</v>
      </c>
      <c r="J2623">
        <v>30</v>
      </c>
    </row>
    <row r="2624" spans="1:10" x14ac:dyDescent="0.25">
      <c r="A2624" t="s">
        <v>23</v>
      </c>
      <c r="B2624" t="s">
        <v>11</v>
      </c>
      <c r="C2624" t="s">
        <v>18</v>
      </c>
      <c r="D2624" t="s">
        <v>15</v>
      </c>
      <c r="E2624">
        <v>0</v>
      </c>
      <c r="F2624">
        <v>0.75</v>
      </c>
      <c r="G2624">
        <v>67.4524245262146</v>
      </c>
      <c r="H2624">
        <v>0</v>
      </c>
      <c r="I2624">
        <v>0</v>
      </c>
      <c r="J2624">
        <v>30</v>
      </c>
    </row>
    <row r="2625" spans="1:10" x14ac:dyDescent="0.25">
      <c r="A2625" t="s">
        <v>23</v>
      </c>
      <c r="B2625" t="s">
        <v>11</v>
      </c>
      <c r="C2625" t="s">
        <v>18</v>
      </c>
      <c r="D2625" t="s">
        <v>15</v>
      </c>
      <c r="E2625">
        <v>1.2422360248447199E-3</v>
      </c>
      <c r="F2625">
        <v>0.749993788819875</v>
      </c>
      <c r="G2625">
        <v>81.429652452468801</v>
      </c>
      <c r="H2625">
        <v>4</v>
      </c>
      <c r="I2625">
        <v>9</v>
      </c>
      <c r="J2625">
        <v>30</v>
      </c>
    </row>
    <row r="2626" spans="1:10" x14ac:dyDescent="0.25">
      <c r="A2626" t="s">
        <v>23</v>
      </c>
      <c r="B2626" t="s">
        <v>11</v>
      </c>
      <c r="C2626" t="s">
        <v>18</v>
      </c>
      <c r="D2626" t="s">
        <v>15</v>
      </c>
      <c r="E2626">
        <v>1.2422360248447199E-3</v>
      </c>
      <c r="F2626">
        <v>0.75005900621118005</v>
      </c>
      <c r="G2626">
        <v>81.477342367172199</v>
      </c>
      <c r="H2626">
        <v>4</v>
      </c>
      <c r="I2626">
        <v>9</v>
      </c>
      <c r="J2626">
        <v>30</v>
      </c>
    </row>
    <row r="2627" spans="1:10" x14ac:dyDescent="0.25">
      <c r="A2627" t="s">
        <v>23</v>
      </c>
      <c r="B2627" t="s">
        <v>11</v>
      </c>
      <c r="C2627" t="s">
        <v>18</v>
      </c>
      <c r="D2627" t="s">
        <v>15</v>
      </c>
      <c r="E2627">
        <v>1.2422360248447199E-3</v>
      </c>
      <c r="F2627">
        <v>0.75005900621118005</v>
      </c>
      <c r="G2627">
        <v>83.563320159912095</v>
      </c>
      <c r="H2627">
        <v>4</v>
      </c>
      <c r="I2627">
        <v>9</v>
      </c>
      <c r="J2627">
        <v>30</v>
      </c>
    </row>
    <row r="2628" spans="1:10" x14ac:dyDescent="0.25">
      <c r="A2628" t="s">
        <v>23</v>
      </c>
      <c r="B2628" t="s">
        <v>11</v>
      </c>
      <c r="C2628" t="s">
        <v>18</v>
      </c>
      <c r="D2628" t="s">
        <v>15</v>
      </c>
      <c r="E2628">
        <v>1.2422360248447199E-3</v>
      </c>
      <c r="F2628">
        <v>0.75005900621118005</v>
      </c>
      <c r="G2628">
        <v>83.550611257553101</v>
      </c>
      <c r="H2628">
        <v>4</v>
      </c>
      <c r="I2628">
        <v>9</v>
      </c>
      <c r="J2628">
        <v>30</v>
      </c>
    </row>
    <row r="2629" spans="1:10" x14ac:dyDescent="0.25">
      <c r="A2629" t="s">
        <v>23</v>
      </c>
      <c r="B2629" t="s">
        <v>11</v>
      </c>
      <c r="C2629" t="s">
        <v>18</v>
      </c>
      <c r="D2629" t="s">
        <v>15</v>
      </c>
      <c r="E2629">
        <v>0</v>
      </c>
      <c r="F2629">
        <v>0.75</v>
      </c>
      <c r="G2629">
        <v>83.563660860061603</v>
      </c>
      <c r="H2629">
        <v>3</v>
      </c>
      <c r="I2629">
        <v>7</v>
      </c>
      <c r="J2629">
        <v>30</v>
      </c>
    </row>
    <row r="2630" spans="1:10" x14ac:dyDescent="0.25">
      <c r="A2630" t="s">
        <v>23</v>
      </c>
      <c r="B2630" t="s">
        <v>11</v>
      </c>
      <c r="C2630" t="s">
        <v>18</v>
      </c>
      <c r="D2630" t="s">
        <v>15</v>
      </c>
      <c r="E2630">
        <v>0</v>
      </c>
      <c r="F2630">
        <v>0.75</v>
      </c>
      <c r="G2630">
        <v>84.019995927810598</v>
      </c>
      <c r="H2630">
        <v>3</v>
      </c>
      <c r="I2630">
        <v>7</v>
      </c>
      <c r="J2630">
        <v>30</v>
      </c>
    </row>
    <row r="2631" spans="1:10" x14ac:dyDescent="0.25">
      <c r="A2631" t="s">
        <v>23</v>
      </c>
      <c r="B2631" t="s">
        <v>11</v>
      </c>
      <c r="C2631" t="s">
        <v>18</v>
      </c>
      <c r="D2631" t="s">
        <v>15</v>
      </c>
      <c r="E2631">
        <v>1.2422360248447199E-3</v>
      </c>
      <c r="F2631">
        <v>0.75005900621118005</v>
      </c>
      <c r="G2631">
        <v>84.943526983261094</v>
      </c>
      <c r="H2631">
        <v>5</v>
      </c>
      <c r="I2631">
        <v>11</v>
      </c>
      <c r="J2631">
        <v>30</v>
      </c>
    </row>
    <row r="2632" spans="1:10" x14ac:dyDescent="0.25">
      <c r="A2632" t="s">
        <v>23</v>
      </c>
      <c r="B2632" t="s">
        <v>11</v>
      </c>
      <c r="C2632" t="s">
        <v>18</v>
      </c>
      <c r="D2632" t="s">
        <v>15</v>
      </c>
      <c r="E2632">
        <v>1.2422360248447199E-3</v>
      </c>
      <c r="F2632">
        <v>0.75005900621118005</v>
      </c>
      <c r="G2632">
        <v>88.372536659240694</v>
      </c>
      <c r="H2632">
        <v>5</v>
      </c>
      <c r="I2632">
        <v>11</v>
      </c>
      <c r="J2632">
        <v>30</v>
      </c>
    </row>
    <row r="2633" spans="1:10" x14ac:dyDescent="0.25">
      <c r="A2633" t="s">
        <v>23</v>
      </c>
      <c r="B2633" t="s">
        <v>11</v>
      </c>
      <c r="C2633" t="s">
        <v>18</v>
      </c>
      <c r="D2633" t="s">
        <v>15</v>
      </c>
      <c r="E2633">
        <v>1.2422360248447199E-3</v>
      </c>
      <c r="F2633">
        <v>0.75005900621118005</v>
      </c>
      <c r="G2633">
        <v>89.264578819274902</v>
      </c>
      <c r="H2633">
        <v>5</v>
      </c>
      <c r="I2633">
        <v>12</v>
      </c>
      <c r="J2633">
        <v>30</v>
      </c>
    </row>
    <row r="2634" spans="1:10" x14ac:dyDescent="0.25">
      <c r="A2634" t="s">
        <v>23</v>
      </c>
      <c r="B2634" t="s">
        <v>11</v>
      </c>
      <c r="C2634" t="s">
        <v>18</v>
      </c>
      <c r="D2634" t="s">
        <v>15</v>
      </c>
      <c r="E2634">
        <v>0</v>
      </c>
      <c r="F2634">
        <v>0.75</v>
      </c>
      <c r="G2634">
        <v>89.622099637985201</v>
      </c>
      <c r="H2634">
        <v>5</v>
      </c>
      <c r="I2634">
        <v>11</v>
      </c>
      <c r="J2634">
        <v>30</v>
      </c>
    </row>
    <row r="2635" spans="1:10" x14ac:dyDescent="0.25">
      <c r="A2635" t="s">
        <v>23</v>
      </c>
      <c r="B2635" t="s">
        <v>11</v>
      </c>
      <c r="C2635" t="s">
        <v>18</v>
      </c>
      <c r="D2635" t="s">
        <v>15</v>
      </c>
      <c r="E2635">
        <v>0</v>
      </c>
      <c r="F2635">
        <v>0.75</v>
      </c>
      <c r="G2635">
        <v>90.410567045211707</v>
      </c>
      <c r="H2635">
        <v>5</v>
      </c>
      <c r="I2635">
        <v>11</v>
      </c>
      <c r="J2635">
        <v>30</v>
      </c>
    </row>
    <row r="2636" spans="1:10" x14ac:dyDescent="0.25">
      <c r="A2636" t="s">
        <v>23</v>
      </c>
      <c r="B2636" t="s">
        <v>11</v>
      </c>
      <c r="C2636" t="s">
        <v>18</v>
      </c>
      <c r="D2636" t="s">
        <v>15</v>
      </c>
      <c r="E2636">
        <v>0</v>
      </c>
      <c r="F2636">
        <v>0.75</v>
      </c>
      <c r="G2636">
        <v>94.263608217239295</v>
      </c>
      <c r="H2636">
        <v>7</v>
      </c>
      <c r="I2636">
        <v>15</v>
      </c>
      <c r="J2636">
        <v>30</v>
      </c>
    </row>
    <row r="2637" spans="1:10" x14ac:dyDescent="0.25">
      <c r="A2637" t="s">
        <v>23</v>
      </c>
      <c r="B2637" t="s">
        <v>11</v>
      </c>
      <c r="C2637" t="s">
        <v>18</v>
      </c>
      <c r="D2637" t="s">
        <v>15</v>
      </c>
      <c r="E2637">
        <v>1.2422360248447199E-3</v>
      </c>
      <c r="F2637">
        <v>0.75005900621118005</v>
      </c>
      <c r="G2637">
        <v>94.613337039947496</v>
      </c>
      <c r="H2637">
        <v>6</v>
      </c>
      <c r="I2637">
        <v>13</v>
      </c>
      <c r="J2637">
        <v>30</v>
      </c>
    </row>
    <row r="2638" spans="1:10" x14ac:dyDescent="0.25">
      <c r="A2638" t="s">
        <v>23</v>
      </c>
      <c r="B2638" t="s">
        <v>11</v>
      </c>
      <c r="C2638" t="s">
        <v>18</v>
      </c>
      <c r="D2638" t="s">
        <v>15</v>
      </c>
      <c r="E2638">
        <v>1.2422360248447199E-3</v>
      </c>
      <c r="F2638">
        <v>0.75005900621118005</v>
      </c>
      <c r="G2638">
        <v>96.695382118225098</v>
      </c>
      <c r="H2638">
        <v>4</v>
      </c>
      <c r="I2638">
        <v>12</v>
      </c>
      <c r="J2638">
        <v>30</v>
      </c>
    </row>
    <row r="2639" spans="1:10" x14ac:dyDescent="0.25">
      <c r="A2639" t="s">
        <v>23</v>
      </c>
      <c r="B2639" t="s">
        <v>11</v>
      </c>
      <c r="C2639" t="s">
        <v>18</v>
      </c>
      <c r="D2639" t="s">
        <v>15</v>
      </c>
      <c r="E2639">
        <v>3.7267080745341601E-3</v>
      </c>
      <c r="F2639">
        <v>0.75017701863354003</v>
      </c>
      <c r="G2639">
        <v>98.848978996276799</v>
      </c>
      <c r="H2639">
        <v>8</v>
      </c>
      <c r="I2639">
        <v>19</v>
      </c>
      <c r="J2639">
        <v>30</v>
      </c>
    </row>
    <row r="2640" spans="1:10" x14ac:dyDescent="0.25">
      <c r="A2640" t="s">
        <v>23</v>
      </c>
      <c r="B2640" t="s">
        <v>11</v>
      </c>
      <c r="C2640" t="s">
        <v>18</v>
      </c>
      <c r="D2640" t="s">
        <v>15</v>
      </c>
      <c r="E2640">
        <v>4.9689440993788796E-3</v>
      </c>
      <c r="F2640">
        <v>0.75023602484471996</v>
      </c>
      <c r="G2640">
        <v>99.786221265792804</v>
      </c>
      <c r="H2640">
        <v>8</v>
      </c>
      <c r="I2640">
        <v>18</v>
      </c>
      <c r="J2640">
        <v>30</v>
      </c>
    </row>
    <row r="2641" spans="1:10" x14ac:dyDescent="0.25">
      <c r="A2641" t="s">
        <v>23</v>
      </c>
      <c r="B2641" t="s">
        <v>11</v>
      </c>
      <c r="C2641" t="s">
        <v>18</v>
      </c>
      <c r="D2641" t="s">
        <v>15</v>
      </c>
      <c r="E2641">
        <v>1.2422360248447199E-3</v>
      </c>
      <c r="F2641">
        <v>0.749993788819875</v>
      </c>
      <c r="G2641">
        <v>107.525551795959</v>
      </c>
      <c r="H2641">
        <v>14</v>
      </c>
      <c r="I2641">
        <v>32</v>
      </c>
      <c r="J2641">
        <v>30</v>
      </c>
    </row>
    <row r="2642" spans="1:10" x14ac:dyDescent="0.25">
      <c r="A2642" t="s">
        <v>23</v>
      </c>
      <c r="B2642" t="s">
        <v>11</v>
      </c>
      <c r="C2642" t="s">
        <v>18</v>
      </c>
      <c r="D2642" t="s">
        <v>16</v>
      </c>
      <c r="E2642">
        <v>0</v>
      </c>
      <c r="F2642">
        <v>0.75</v>
      </c>
      <c r="G2642">
        <v>23.462420940399099</v>
      </c>
      <c r="H2642">
        <v>0</v>
      </c>
      <c r="I2642">
        <v>0</v>
      </c>
      <c r="J2642">
        <v>30</v>
      </c>
    </row>
    <row r="2643" spans="1:10" x14ac:dyDescent="0.25">
      <c r="A2643" t="s">
        <v>23</v>
      </c>
      <c r="B2643" t="s">
        <v>11</v>
      </c>
      <c r="C2643" t="s">
        <v>18</v>
      </c>
      <c r="D2643" t="s">
        <v>16</v>
      </c>
      <c r="E2643">
        <v>0</v>
      </c>
      <c r="F2643">
        <v>0.75</v>
      </c>
      <c r="G2643">
        <v>24.6304047107696</v>
      </c>
      <c r="H2643">
        <v>0</v>
      </c>
      <c r="I2643">
        <v>0</v>
      </c>
      <c r="J2643">
        <v>30</v>
      </c>
    </row>
    <row r="2644" spans="1:10" x14ac:dyDescent="0.25">
      <c r="A2644" t="s">
        <v>23</v>
      </c>
      <c r="B2644" t="s">
        <v>11</v>
      </c>
      <c r="C2644" t="s">
        <v>18</v>
      </c>
      <c r="D2644" t="s">
        <v>16</v>
      </c>
      <c r="E2644">
        <v>0</v>
      </c>
      <c r="F2644">
        <v>0.75</v>
      </c>
      <c r="G2644">
        <v>26.7614986896514</v>
      </c>
      <c r="H2644">
        <v>0</v>
      </c>
      <c r="I2644">
        <v>0</v>
      </c>
      <c r="J2644">
        <v>30</v>
      </c>
    </row>
    <row r="2645" spans="1:10" x14ac:dyDescent="0.25">
      <c r="A2645" t="s">
        <v>23</v>
      </c>
      <c r="B2645" t="s">
        <v>11</v>
      </c>
      <c r="C2645" t="s">
        <v>18</v>
      </c>
      <c r="D2645" t="s">
        <v>16</v>
      </c>
      <c r="E2645">
        <v>0</v>
      </c>
      <c r="F2645">
        <v>0.75</v>
      </c>
      <c r="G2645">
        <v>27.158815622329701</v>
      </c>
      <c r="H2645">
        <v>0</v>
      </c>
      <c r="I2645">
        <v>0</v>
      </c>
      <c r="J2645">
        <v>30</v>
      </c>
    </row>
    <row r="2646" spans="1:10" x14ac:dyDescent="0.25">
      <c r="A2646" t="s">
        <v>23</v>
      </c>
      <c r="B2646" t="s">
        <v>11</v>
      </c>
      <c r="C2646" t="s">
        <v>18</v>
      </c>
      <c r="D2646" t="s">
        <v>16</v>
      </c>
      <c r="E2646">
        <v>0</v>
      </c>
      <c r="F2646">
        <v>0.75</v>
      </c>
      <c r="G2646">
        <v>29.641948938369701</v>
      </c>
      <c r="H2646">
        <v>0</v>
      </c>
      <c r="I2646">
        <v>0</v>
      </c>
      <c r="J2646">
        <v>30</v>
      </c>
    </row>
    <row r="2647" spans="1:10" x14ac:dyDescent="0.25">
      <c r="A2647" t="s">
        <v>23</v>
      </c>
      <c r="B2647" t="s">
        <v>11</v>
      </c>
      <c r="C2647" t="s">
        <v>18</v>
      </c>
      <c r="D2647" t="s">
        <v>16</v>
      </c>
      <c r="E2647">
        <v>0</v>
      </c>
      <c r="F2647">
        <v>0.75</v>
      </c>
      <c r="G2647">
        <v>30.482481002807599</v>
      </c>
      <c r="H2647">
        <v>0</v>
      </c>
      <c r="I2647">
        <v>0</v>
      </c>
      <c r="J2647">
        <v>30</v>
      </c>
    </row>
    <row r="2648" spans="1:10" x14ac:dyDescent="0.25">
      <c r="A2648" t="s">
        <v>23</v>
      </c>
      <c r="B2648" t="s">
        <v>11</v>
      </c>
      <c r="C2648" t="s">
        <v>18</v>
      </c>
      <c r="D2648" t="s">
        <v>16</v>
      </c>
      <c r="E2648">
        <v>0</v>
      </c>
      <c r="F2648">
        <v>0.75</v>
      </c>
      <c r="G2648">
        <v>31.6277222633361</v>
      </c>
      <c r="H2648">
        <v>0</v>
      </c>
      <c r="I2648">
        <v>0</v>
      </c>
      <c r="J2648">
        <v>30</v>
      </c>
    </row>
    <row r="2649" spans="1:10" x14ac:dyDescent="0.25">
      <c r="A2649" t="s">
        <v>23</v>
      </c>
      <c r="B2649" t="s">
        <v>11</v>
      </c>
      <c r="C2649" t="s">
        <v>18</v>
      </c>
      <c r="D2649" t="s">
        <v>16</v>
      </c>
      <c r="E2649">
        <v>0</v>
      </c>
      <c r="F2649">
        <v>0.75</v>
      </c>
      <c r="G2649">
        <v>31.794170618057201</v>
      </c>
      <c r="H2649">
        <v>0</v>
      </c>
      <c r="I2649">
        <v>0</v>
      </c>
      <c r="J2649">
        <v>30</v>
      </c>
    </row>
    <row r="2650" spans="1:10" x14ac:dyDescent="0.25">
      <c r="A2650" t="s">
        <v>23</v>
      </c>
      <c r="B2650" t="s">
        <v>11</v>
      </c>
      <c r="C2650" t="s">
        <v>18</v>
      </c>
      <c r="D2650" t="s">
        <v>16</v>
      </c>
      <c r="E2650">
        <v>0</v>
      </c>
      <c r="F2650">
        <v>0.75</v>
      </c>
      <c r="G2650">
        <v>32.001808643341001</v>
      </c>
      <c r="H2650">
        <v>0</v>
      </c>
      <c r="I2650">
        <v>0</v>
      </c>
      <c r="J2650">
        <v>30</v>
      </c>
    </row>
    <row r="2651" spans="1:10" x14ac:dyDescent="0.25">
      <c r="A2651" t="s">
        <v>23</v>
      </c>
      <c r="B2651" t="s">
        <v>11</v>
      </c>
      <c r="C2651" t="s">
        <v>18</v>
      </c>
      <c r="D2651" t="s">
        <v>16</v>
      </c>
      <c r="E2651">
        <v>0</v>
      </c>
      <c r="F2651">
        <v>0.75</v>
      </c>
      <c r="G2651">
        <v>32.2846195697784</v>
      </c>
      <c r="H2651">
        <v>0</v>
      </c>
      <c r="I2651">
        <v>0</v>
      </c>
      <c r="J2651">
        <v>30</v>
      </c>
    </row>
    <row r="2652" spans="1:10" x14ac:dyDescent="0.25">
      <c r="A2652" t="s">
        <v>23</v>
      </c>
      <c r="B2652" t="s">
        <v>11</v>
      </c>
      <c r="C2652" t="s">
        <v>18</v>
      </c>
      <c r="D2652" t="s">
        <v>16</v>
      </c>
      <c r="E2652">
        <v>0</v>
      </c>
      <c r="F2652">
        <v>0.75</v>
      </c>
      <c r="G2652">
        <v>32.186191320419297</v>
      </c>
      <c r="H2652">
        <v>0</v>
      </c>
      <c r="I2652">
        <v>0</v>
      </c>
      <c r="J2652">
        <v>30</v>
      </c>
    </row>
    <row r="2653" spans="1:10" x14ac:dyDescent="0.25">
      <c r="A2653" t="s">
        <v>23</v>
      </c>
      <c r="B2653" t="s">
        <v>11</v>
      </c>
      <c r="C2653" t="s">
        <v>18</v>
      </c>
      <c r="D2653" t="s">
        <v>16</v>
      </c>
      <c r="E2653">
        <v>0</v>
      </c>
      <c r="F2653">
        <v>0.75</v>
      </c>
      <c r="G2653">
        <v>32.599009037017801</v>
      </c>
      <c r="H2653">
        <v>0</v>
      </c>
      <c r="I2653">
        <v>0</v>
      </c>
      <c r="J2653">
        <v>30</v>
      </c>
    </row>
    <row r="2654" spans="1:10" x14ac:dyDescent="0.25">
      <c r="A2654" t="s">
        <v>23</v>
      </c>
      <c r="B2654" t="s">
        <v>11</v>
      </c>
      <c r="C2654" t="s">
        <v>18</v>
      </c>
      <c r="D2654" t="s">
        <v>16</v>
      </c>
      <c r="E2654">
        <v>0</v>
      </c>
      <c r="F2654">
        <v>0.75</v>
      </c>
      <c r="G2654">
        <v>32.491593837738002</v>
      </c>
      <c r="H2654">
        <v>0</v>
      </c>
      <c r="I2654">
        <v>0</v>
      </c>
      <c r="J2654">
        <v>30</v>
      </c>
    </row>
    <row r="2655" spans="1:10" x14ac:dyDescent="0.25">
      <c r="A2655" t="s">
        <v>23</v>
      </c>
      <c r="B2655" t="s">
        <v>11</v>
      </c>
      <c r="C2655" t="s">
        <v>18</v>
      </c>
      <c r="D2655" t="s">
        <v>16</v>
      </c>
      <c r="E2655">
        <v>0</v>
      </c>
      <c r="F2655">
        <v>0.75</v>
      </c>
      <c r="G2655">
        <v>33.101744413375798</v>
      </c>
      <c r="H2655">
        <v>0</v>
      </c>
      <c r="I2655">
        <v>0</v>
      </c>
      <c r="J2655">
        <v>30</v>
      </c>
    </row>
    <row r="2656" spans="1:10" x14ac:dyDescent="0.25">
      <c r="A2656" t="s">
        <v>23</v>
      </c>
      <c r="B2656" t="s">
        <v>11</v>
      </c>
      <c r="C2656" t="s">
        <v>18</v>
      </c>
      <c r="D2656" t="s">
        <v>16</v>
      </c>
      <c r="E2656">
        <v>0</v>
      </c>
      <c r="F2656">
        <v>0.75</v>
      </c>
      <c r="G2656">
        <v>33.080435037612901</v>
      </c>
      <c r="H2656">
        <v>0</v>
      </c>
      <c r="I2656">
        <v>0</v>
      </c>
      <c r="J2656">
        <v>30</v>
      </c>
    </row>
    <row r="2657" spans="1:10" x14ac:dyDescent="0.25">
      <c r="A2657" t="s">
        <v>23</v>
      </c>
      <c r="B2657" t="s">
        <v>11</v>
      </c>
      <c r="C2657" t="s">
        <v>18</v>
      </c>
      <c r="D2657" t="s">
        <v>16</v>
      </c>
      <c r="E2657">
        <v>0</v>
      </c>
      <c r="F2657">
        <v>0.75</v>
      </c>
      <c r="G2657">
        <v>33.018434762954698</v>
      </c>
      <c r="H2657">
        <v>0</v>
      </c>
      <c r="I2657">
        <v>0</v>
      </c>
      <c r="J2657">
        <v>30</v>
      </c>
    </row>
    <row r="2658" spans="1:10" x14ac:dyDescent="0.25">
      <c r="A2658" t="s">
        <v>23</v>
      </c>
      <c r="B2658" t="s">
        <v>11</v>
      </c>
      <c r="C2658" t="s">
        <v>18</v>
      </c>
      <c r="D2658" t="s">
        <v>16</v>
      </c>
      <c r="E2658">
        <v>0</v>
      </c>
      <c r="F2658">
        <v>0.75</v>
      </c>
      <c r="G2658">
        <v>33.803415060043299</v>
      </c>
      <c r="H2658">
        <v>0</v>
      </c>
      <c r="I2658">
        <v>0</v>
      </c>
      <c r="J2658">
        <v>30</v>
      </c>
    </row>
    <row r="2659" spans="1:10" x14ac:dyDescent="0.25">
      <c r="A2659" t="s">
        <v>23</v>
      </c>
      <c r="B2659" t="s">
        <v>11</v>
      </c>
      <c r="C2659" t="s">
        <v>18</v>
      </c>
      <c r="D2659" t="s">
        <v>16</v>
      </c>
      <c r="E2659">
        <v>0</v>
      </c>
      <c r="F2659">
        <v>0.75</v>
      </c>
      <c r="G2659">
        <v>34.023887872695902</v>
      </c>
      <c r="H2659">
        <v>0</v>
      </c>
      <c r="I2659">
        <v>0</v>
      </c>
      <c r="J2659">
        <v>30</v>
      </c>
    </row>
    <row r="2660" spans="1:10" x14ac:dyDescent="0.25">
      <c r="A2660" t="s">
        <v>23</v>
      </c>
      <c r="B2660" t="s">
        <v>11</v>
      </c>
      <c r="C2660" t="s">
        <v>18</v>
      </c>
      <c r="D2660" t="s">
        <v>16</v>
      </c>
      <c r="E2660">
        <v>0</v>
      </c>
      <c r="F2660">
        <v>0.75</v>
      </c>
      <c r="G2660">
        <v>34.1876187324523</v>
      </c>
      <c r="H2660">
        <v>0</v>
      </c>
      <c r="I2660">
        <v>0</v>
      </c>
      <c r="J2660">
        <v>30</v>
      </c>
    </row>
    <row r="2661" spans="1:10" x14ac:dyDescent="0.25">
      <c r="A2661" t="s">
        <v>23</v>
      </c>
      <c r="B2661" t="s">
        <v>11</v>
      </c>
      <c r="C2661" t="s">
        <v>18</v>
      </c>
      <c r="D2661" t="s">
        <v>16</v>
      </c>
      <c r="E2661">
        <v>0</v>
      </c>
      <c r="F2661">
        <v>0.75</v>
      </c>
      <c r="G2661">
        <v>34.403099536895702</v>
      </c>
      <c r="H2661">
        <v>0</v>
      </c>
      <c r="I2661">
        <v>0</v>
      </c>
      <c r="J2661">
        <v>30</v>
      </c>
    </row>
    <row r="2662" spans="1:10" x14ac:dyDescent="0.25">
      <c r="A2662" t="s">
        <v>23</v>
      </c>
      <c r="B2662" t="s">
        <v>11</v>
      </c>
      <c r="C2662" t="s">
        <v>18</v>
      </c>
      <c r="D2662" t="s">
        <v>16</v>
      </c>
      <c r="E2662">
        <v>0</v>
      </c>
      <c r="F2662">
        <v>0.75</v>
      </c>
      <c r="G2662">
        <v>34.6608245372772</v>
      </c>
      <c r="H2662">
        <v>0</v>
      </c>
      <c r="I2662">
        <v>0</v>
      </c>
      <c r="J2662">
        <v>30</v>
      </c>
    </row>
    <row r="2663" spans="1:10" x14ac:dyDescent="0.25">
      <c r="A2663" t="s">
        <v>23</v>
      </c>
      <c r="B2663" t="s">
        <v>11</v>
      </c>
      <c r="C2663" t="s">
        <v>18</v>
      </c>
      <c r="D2663" t="s">
        <v>16</v>
      </c>
      <c r="E2663">
        <v>0</v>
      </c>
      <c r="F2663">
        <v>0.75</v>
      </c>
      <c r="G2663">
        <v>35.080877065658498</v>
      </c>
      <c r="H2663">
        <v>0</v>
      </c>
      <c r="I2663">
        <v>0</v>
      </c>
      <c r="J2663">
        <v>30</v>
      </c>
    </row>
    <row r="2664" spans="1:10" x14ac:dyDescent="0.25">
      <c r="A2664" t="s">
        <v>23</v>
      </c>
      <c r="B2664" t="s">
        <v>11</v>
      </c>
      <c r="C2664" t="s">
        <v>18</v>
      </c>
      <c r="D2664" t="s">
        <v>16</v>
      </c>
      <c r="E2664">
        <v>0</v>
      </c>
      <c r="F2664">
        <v>0.75</v>
      </c>
      <c r="G2664">
        <v>35.3644020557403</v>
      </c>
      <c r="H2664">
        <v>0</v>
      </c>
      <c r="I2664">
        <v>0</v>
      </c>
      <c r="J2664">
        <v>30</v>
      </c>
    </row>
    <row r="2665" spans="1:10" x14ac:dyDescent="0.25">
      <c r="A2665" t="s">
        <v>23</v>
      </c>
      <c r="B2665" t="s">
        <v>11</v>
      </c>
      <c r="C2665" t="s">
        <v>18</v>
      </c>
      <c r="D2665" t="s">
        <v>16</v>
      </c>
      <c r="E2665">
        <v>0</v>
      </c>
      <c r="F2665">
        <v>0.75</v>
      </c>
      <c r="G2665">
        <v>35.683593034744199</v>
      </c>
      <c r="H2665">
        <v>0</v>
      </c>
      <c r="I2665">
        <v>0</v>
      </c>
      <c r="J2665">
        <v>30</v>
      </c>
    </row>
    <row r="2666" spans="1:10" x14ac:dyDescent="0.25">
      <c r="A2666" t="s">
        <v>23</v>
      </c>
      <c r="B2666" t="s">
        <v>11</v>
      </c>
      <c r="C2666" t="s">
        <v>18</v>
      </c>
      <c r="D2666" t="s">
        <v>16</v>
      </c>
      <c r="E2666">
        <v>0</v>
      </c>
      <c r="F2666">
        <v>0.75</v>
      </c>
      <c r="G2666">
        <v>35.507526159286499</v>
      </c>
      <c r="H2666">
        <v>0</v>
      </c>
      <c r="I2666">
        <v>0</v>
      </c>
      <c r="J2666">
        <v>30</v>
      </c>
    </row>
    <row r="2667" spans="1:10" x14ac:dyDescent="0.25">
      <c r="A2667" t="s">
        <v>23</v>
      </c>
      <c r="B2667" t="s">
        <v>11</v>
      </c>
      <c r="C2667" t="s">
        <v>18</v>
      </c>
      <c r="D2667" t="s">
        <v>16</v>
      </c>
      <c r="E2667">
        <v>0</v>
      </c>
      <c r="F2667">
        <v>0.75</v>
      </c>
      <c r="G2667">
        <v>35.4792931079864</v>
      </c>
      <c r="H2667">
        <v>0</v>
      </c>
      <c r="I2667">
        <v>0</v>
      </c>
      <c r="J2667">
        <v>30</v>
      </c>
    </row>
    <row r="2668" spans="1:10" x14ac:dyDescent="0.25">
      <c r="A2668" t="s">
        <v>23</v>
      </c>
      <c r="B2668" t="s">
        <v>11</v>
      </c>
      <c r="C2668" t="s">
        <v>18</v>
      </c>
      <c r="D2668" t="s">
        <v>16</v>
      </c>
      <c r="E2668">
        <v>0</v>
      </c>
      <c r="F2668">
        <v>0.75</v>
      </c>
      <c r="G2668">
        <v>35.532366514205897</v>
      </c>
      <c r="H2668">
        <v>0</v>
      </c>
      <c r="I2668">
        <v>0</v>
      </c>
      <c r="J2668">
        <v>30</v>
      </c>
    </row>
    <row r="2669" spans="1:10" x14ac:dyDescent="0.25">
      <c r="A2669" t="s">
        <v>23</v>
      </c>
      <c r="B2669" t="s">
        <v>11</v>
      </c>
      <c r="C2669" t="s">
        <v>18</v>
      </c>
      <c r="D2669" t="s">
        <v>16</v>
      </c>
      <c r="E2669">
        <v>0</v>
      </c>
      <c r="F2669">
        <v>0.75</v>
      </c>
      <c r="G2669">
        <v>35.724711418151799</v>
      </c>
      <c r="H2669">
        <v>0</v>
      </c>
      <c r="I2669">
        <v>0</v>
      </c>
      <c r="J2669">
        <v>30</v>
      </c>
    </row>
    <row r="2670" spans="1:10" x14ac:dyDescent="0.25">
      <c r="A2670" t="s">
        <v>23</v>
      </c>
      <c r="B2670" t="s">
        <v>11</v>
      </c>
      <c r="C2670" t="s">
        <v>18</v>
      </c>
      <c r="D2670" t="s">
        <v>16</v>
      </c>
      <c r="E2670">
        <v>0</v>
      </c>
      <c r="F2670">
        <v>0.75</v>
      </c>
      <c r="G2670">
        <v>35.465763092041001</v>
      </c>
      <c r="H2670">
        <v>0</v>
      </c>
      <c r="I2670">
        <v>0</v>
      </c>
      <c r="J2670">
        <v>30</v>
      </c>
    </row>
    <row r="2671" spans="1:10" x14ac:dyDescent="0.25">
      <c r="A2671" t="s">
        <v>23</v>
      </c>
      <c r="B2671" t="s">
        <v>11</v>
      </c>
      <c r="C2671" t="s">
        <v>18</v>
      </c>
      <c r="D2671" t="s">
        <v>16</v>
      </c>
      <c r="E2671">
        <v>0</v>
      </c>
      <c r="F2671">
        <v>0.75</v>
      </c>
      <c r="G2671">
        <v>35.807405471801701</v>
      </c>
      <c r="H2671">
        <v>0</v>
      </c>
      <c r="I2671">
        <v>0</v>
      </c>
      <c r="J2671">
        <v>30</v>
      </c>
    </row>
    <row r="2672" spans="1:10" x14ac:dyDescent="0.25">
      <c r="A2672" t="s">
        <v>23</v>
      </c>
      <c r="B2672" t="s">
        <v>11</v>
      </c>
      <c r="C2672" t="s">
        <v>18</v>
      </c>
      <c r="D2672" t="s">
        <v>17</v>
      </c>
      <c r="E2672">
        <v>0.82981366459627304</v>
      </c>
      <c r="F2672">
        <v>0.86299672288384999</v>
      </c>
      <c r="G2672">
        <v>11617.8682849407</v>
      </c>
      <c r="H2672">
        <v>752</v>
      </c>
      <c r="I2672">
        <v>703</v>
      </c>
      <c r="J2672">
        <v>30</v>
      </c>
    </row>
    <row r="2673" spans="1:10" x14ac:dyDescent="0.25">
      <c r="A2673" t="s">
        <v>23</v>
      </c>
      <c r="B2673" t="s">
        <v>11</v>
      </c>
      <c r="C2673" t="s">
        <v>18</v>
      </c>
      <c r="D2673" t="s">
        <v>17</v>
      </c>
      <c r="E2673">
        <v>0.80869565217391304</v>
      </c>
      <c r="F2673">
        <v>0.85170288987987597</v>
      </c>
      <c r="G2673">
        <v>11673.6851963996</v>
      </c>
      <c r="H2673">
        <v>764</v>
      </c>
      <c r="I2673">
        <v>723</v>
      </c>
      <c r="J2673">
        <v>30</v>
      </c>
    </row>
    <row r="2674" spans="1:10" x14ac:dyDescent="0.25">
      <c r="A2674" t="s">
        <v>23</v>
      </c>
      <c r="B2674" t="s">
        <v>11</v>
      </c>
      <c r="C2674" t="s">
        <v>18</v>
      </c>
      <c r="D2674" t="s">
        <v>17</v>
      </c>
      <c r="E2674">
        <v>0.81118012422360197</v>
      </c>
      <c r="F2674">
        <v>0.854771429466335</v>
      </c>
      <c r="G2674">
        <v>11861.9953429698</v>
      </c>
      <c r="H2674">
        <v>723</v>
      </c>
      <c r="I2674">
        <v>695</v>
      </c>
      <c r="J2674">
        <v>30</v>
      </c>
    </row>
    <row r="2675" spans="1:10" x14ac:dyDescent="0.25">
      <c r="A2675" t="s">
        <v>23</v>
      </c>
      <c r="B2675" t="s">
        <v>11</v>
      </c>
      <c r="C2675" t="s">
        <v>18</v>
      </c>
      <c r="D2675" t="s">
        <v>17</v>
      </c>
      <c r="E2675">
        <v>0.81366459627329102</v>
      </c>
      <c r="F2675">
        <v>0.85228867992931601</v>
      </c>
      <c r="G2675">
        <v>11932.1606199741</v>
      </c>
      <c r="H2675">
        <v>731</v>
      </c>
      <c r="I2675">
        <v>697</v>
      </c>
      <c r="J2675">
        <v>30</v>
      </c>
    </row>
    <row r="2676" spans="1:10" x14ac:dyDescent="0.25">
      <c r="A2676" t="s">
        <v>23</v>
      </c>
      <c r="B2676" t="s">
        <v>11</v>
      </c>
      <c r="C2676" t="s">
        <v>18</v>
      </c>
      <c r="D2676" t="s">
        <v>17</v>
      </c>
      <c r="E2676">
        <v>0.80869565217391304</v>
      </c>
      <c r="F2676">
        <v>0.85315819005403704</v>
      </c>
      <c r="G2676">
        <v>11942.5439202785</v>
      </c>
      <c r="H2676">
        <v>747</v>
      </c>
      <c r="I2676">
        <v>712</v>
      </c>
      <c r="J2676">
        <v>30</v>
      </c>
    </row>
    <row r="2677" spans="1:10" x14ac:dyDescent="0.25">
      <c r="A2677" t="s">
        <v>23</v>
      </c>
      <c r="B2677" t="s">
        <v>11</v>
      </c>
      <c r="C2677" t="s">
        <v>18</v>
      </c>
      <c r="D2677" t="s">
        <v>17</v>
      </c>
      <c r="E2677">
        <v>0.84223602484472004</v>
      </c>
      <c r="F2677">
        <v>0.86492355797999998</v>
      </c>
      <c r="G2677">
        <v>11942.9088566303</v>
      </c>
      <c r="H2677">
        <v>764</v>
      </c>
      <c r="I2677">
        <v>734</v>
      </c>
      <c r="J2677">
        <v>30</v>
      </c>
    </row>
    <row r="2678" spans="1:10" x14ac:dyDescent="0.25">
      <c r="A2678" t="s">
        <v>23</v>
      </c>
      <c r="B2678" t="s">
        <v>11</v>
      </c>
      <c r="C2678" t="s">
        <v>18</v>
      </c>
      <c r="D2678" t="s">
        <v>17</v>
      </c>
      <c r="E2678">
        <v>0.83229813664596197</v>
      </c>
      <c r="F2678">
        <v>0.85823094081465801</v>
      </c>
      <c r="G2678">
        <v>11983.4510126113</v>
      </c>
      <c r="H2678">
        <v>718</v>
      </c>
      <c r="I2678">
        <v>676</v>
      </c>
      <c r="J2678">
        <v>30</v>
      </c>
    </row>
    <row r="2679" spans="1:10" x14ac:dyDescent="0.25">
      <c r="A2679" t="s">
        <v>23</v>
      </c>
      <c r="B2679" t="s">
        <v>11</v>
      </c>
      <c r="C2679" t="s">
        <v>18</v>
      </c>
      <c r="D2679" t="s">
        <v>17</v>
      </c>
      <c r="E2679">
        <v>0.80869565217391304</v>
      </c>
      <c r="F2679">
        <v>0.85116167398198705</v>
      </c>
      <c r="G2679">
        <v>12052.276341438201</v>
      </c>
      <c r="H2679">
        <v>800</v>
      </c>
      <c r="I2679">
        <v>756</v>
      </c>
      <c r="J2679">
        <v>30</v>
      </c>
    </row>
    <row r="2680" spans="1:10" x14ac:dyDescent="0.25">
      <c r="A2680" t="s">
        <v>23</v>
      </c>
      <c r="B2680" t="s">
        <v>11</v>
      </c>
      <c r="C2680" t="s">
        <v>18</v>
      </c>
      <c r="D2680" t="s">
        <v>17</v>
      </c>
      <c r="E2680">
        <v>0.82236024844720501</v>
      </c>
      <c r="F2680">
        <v>0.85302933198111697</v>
      </c>
      <c r="G2680">
        <v>12069.498344182901</v>
      </c>
      <c r="H2680">
        <v>776</v>
      </c>
      <c r="I2680">
        <v>742</v>
      </c>
      <c r="J2680">
        <v>30</v>
      </c>
    </row>
    <row r="2681" spans="1:10" x14ac:dyDescent="0.25">
      <c r="A2681" t="s">
        <v>23</v>
      </c>
      <c r="B2681" t="s">
        <v>11</v>
      </c>
      <c r="C2681" t="s">
        <v>18</v>
      </c>
      <c r="D2681" t="s">
        <v>17</v>
      </c>
      <c r="E2681">
        <v>0.81614906832298095</v>
      </c>
      <c r="F2681">
        <v>0.85602602107391301</v>
      </c>
      <c r="G2681">
        <v>12075.831928253099</v>
      </c>
      <c r="H2681">
        <v>766</v>
      </c>
      <c r="I2681">
        <v>726</v>
      </c>
      <c r="J2681">
        <v>30</v>
      </c>
    </row>
    <row r="2682" spans="1:10" x14ac:dyDescent="0.25">
      <c r="A2682" t="s">
        <v>23</v>
      </c>
      <c r="B2682" t="s">
        <v>11</v>
      </c>
      <c r="C2682" t="s">
        <v>18</v>
      </c>
      <c r="D2682" t="s">
        <v>17</v>
      </c>
      <c r="E2682">
        <v>0.81242236024844705</v>
      </c>
      <c r="F2682">
        <v>0.85463035533291898</v>
      </c>
      <c r="G2682">
        <v>12144.213904857599</v>
      </c>
      <c r="H2682">
        <v>770</v>
      </c>
      <c r="I2682">
        <v>714</v>
      </c>
      <c r="J2682">
        <v>30</v>
      </c>
    </row>
    <row r="2683" spans="1:10" x14ac:dyDescent="0.25">
      <c r="A2683" t="s">
        <v>23</v>
      </c>
      <c r="B2683" t="s">
        <v>11</v>
      </c>
      <c r="C2683" t="s">
        <v>18</v>
      </c>
      <c r="D2683" t="s">
        <v>17</v>
      </c>
      <c r="E2683">
        <v>0.78385093167701803</v>
      </c>
      <c r="F2683">
        <v>0.83991505039242198</v>
      </c>
      <c r="G2683">
        <v>12144.7886214256</v>
      </c>
      <c r="H2683">
        <v>768</v>
      </c>
      <c r="I2683">
        <v>705</v>
      </c>
      <c r="J2683">
        <v>30</v>
      </c>
    </row>
    <row r="2684" spans="1:10" x14ac:dyDescent="0.25">
      <c r="A2684" t="s">
        <v>23</v>
      </c>
      <c r="B2684" t="s">
        <v>11</v>
      </c>
      <c r="C2684" t="s">
        <v>18</v>
      </c>
      <c r="D2684" t="s">
        <v>17</v>
      </c>
      <c r="E2684">
        <v>0.81739130434782603</v>
      </c>
      <c r="F2684">
        <v>0.86080364161627299</v>
      </c>
      <c r="G2684">
        <v>12179.857601881</v>
      </c>
      <c r="H2684">
        <v>744</v>
      </c>
      <c r="I2684">
        <v>712</v>
      </c>
      <c r="J2684">
        <v>30</v>
      </c>
    </row>
    <row r="2685" spans="1:10" x14ac:dyDescent="0.25">
      <c r="A2685" t="s">
        <v>23</v>
      </c>
      <c r="B2685" t="s">
        <v>11</v>
      </c>
      <c r="C2685" t="s">
        <v>18</v>
      </c>
      <c r="D2685" t="s">
        <v>17</v>
      </c>
      <c r="E2685">
        <v>0.78385093167701803</v>
      </c>
      <c r="F2685">
        <v>0.84447349250422299</v>
      </c>
      <c r="G2685">
        <v>12302.1031794548</v>
      </c>
      <c r="H2685">
        <v>805</v>
      </c>
      <c r="I2685">
        <v>743</v>
      </c>
      <c r="J2685">
        <v>30</v>
      </c>
    </row>
    <row r="2686" spans="1:10" x14ac:dyDescent="0.25">
      <c r="A2686" t="s">
        <v>23</v>
      </c>
      <c r="B2686" t="s">
        <v>11</v>
      </c>
      <c r="C2686" t="s">
        <v>18</v>
      </c>
      <c r="D2686" t="s">
        <v>17</v>
      </c>
      <c r="E2686">
        <v>0.81118012422360197</v>
      </c>
      <c r="F2686">
        <v>0.85165969738149006</v>
      </c>
      <c r="G2686">
        <v>12336.1199960708</v>
      </c>
      <c r="H2686">
        <v>744</v>
      </c>
      <c r="I2686">
        <v>715</v>
      </c>
      <c r="J2686">
        <v>30</v>
      </c>
    </row>
    <row r="2687" spans="1:10" x14ac:dyDescent="0.25">
      <c r="A2687" t="s">
        <v>23</v>
      </c>
      <c r="B2687" t="s">
        <v>11</v>
      </c>
      <c r="C2687" t="s">
        <v>18</v>
      </c>
      <c r="D2687" t="s">
        <v>17</v>
      </c>
      <c r="E2687">
        <v>0.84347826086956501</v>
      </c>
      <c r="F2687">
        <v>0.86445672729689405</v>
      </c>
      <c r="G2687">
        <v>12409.650174140899</v>
      </c>
      <c r="H2687">
        <v>771</v>
      </c>
      <c r="I2687">
        <v>725</v>
      </c>
      <c r="J2687">
        <v>30</v>
      </c>
    </row>
    <row r="2688" spans="1:10" x14ac:dyDescent="0.25">
      <c r="A2688" t="s">
        <v>23</v>
      </c>
      <c r="B2688" t="s">
        <v>11</v>
      </c>
      <c r="C2688" t="s">
        <v>18</v>
      </c>
      <c r="D2688" t="s">
        <v>17</v>
      </c>
      <c r="E2688">
        <v>0.82732919254658299</v>
      </c>
      <c r="F2688">
        <v>0.85111706597416104</v>
      </c>
      <c r="G2688">
        <v>12455.5106890201</v>
      </c>
      <c r="H2688">
        <v>768</v>
      </c>
      <c r="I2688">
        <v>738</v>
      </c>
      <c r="J2688">
        <v>30</v>
      </c>
    </row>
    <row r="2689" spans="1:10" x14ac:dyDescent="0.25">
      <c r="A2689" t="s">
        <v>23</v>
      </c>
      <c r="B2689" t="s">
        <v>11</v>
      </c>
      <c r="C2689" t="s">
        <v>18</v>
      </c>
      <c r="D2689" t="s">
        <v>17</v>
      </c>
      <c r="E2689">
        <v>0.81490683229813599</v>
      </c>
      <c r="F2689">
        <v>0.86292689456211102</v>
      </c>
      <c r="G2689">
        <v>13018.627863645501</v>
      </c>
      <c r="H2689">
        <v>736</v>
      </c>
      <c r="I2689">
        <v>719</v>
      </c>
      <c r="J2689">
        <v>30</v>
      </c>
    </row>
    <row r="2690" spans="1:10" x14ac:dyDescent="0.25">
      <c r="A2690" t="s">
        <v>23</v>
      </c>
      <c r="B2690" t="s">
        <v>11</v>
      </c>
      <c r="C2690" t="s">
        <v>18</v>
      </c>
      <c r="D2690" t="s">
        <v>17</v>
      </c>
      <c r="E2690">
        <v>0.80496894409937803</v>
      </c>
      <c r="F2690">
        <v>0.85473652002049705</v>
      </c>
      <c r="G2690">
        <v>13189.357186555801</v>
      </c>
      <c r="H2690">
        <v>771</v>
      </c>
      <c r="I2690">
        <v>742</v>
      </c>
      <c r="J2690">
        <v>30</v>
      </c>
    </row>
    <row r="2691" spans="1:10" x14ac:dyDescent="0.25">
      <c r="A2691" t="s">
        <v>23</v>
      </c>
      <c r="B2691" t="s">
        <v>11</v>
      </c>
      <c r="C2691" t="s">
        <v>18</v>
      </c>
      <c r="D2691" t="s">
        <v>17</v>
      </c>
      <c r="E2691">
        <v>0.83602484472049599</v>
      </c>
      <c r="F2691">
        <v>0.86220335267838499</v>
      </c>
      <c r="G2691">
        <v>13257.253257751399</v>
      </c>
      <c r="H2691">
        <v>793</v>
      </c>
      <c r="I2691">
        <v>725</v>
      </c>
      <c r="J2691">
        <v>30</v>
      </c>
    </row>
    <row r="2692" spans="1:10" x14ac:dyDescent="0.25">
      <c r="A2692" t="s">
        <v>23</v>
      </c>
      <c r="B2692" t="s">
        <v>11</v>
      </c>
      <c r="C2692" t="s">
        <v>18</v>
      </c>
      <c r="D2692" t="s">
        <v>17</v>
      </c>
      <c r="E2692">
        <v>0.81614906832298095</v>
      </c>
      <c r="F2692">
        <v>0.85139332673788803</v>
      </c>
      <c r="G2692">
        <v>13270.933286666799</v>
      </c>
      <c r="H2692">
        <v>760</v>
      </c>
      <c r="I2692">
        <v>711</v>
      </c>
      <c r="J2692">
        <v>30</v>
      </c>
    </row>
    <row r="2693" spans="1:10" x14ac:dyDescent="0.25">
      <c r="A2693" t="s">
        <v>23</v>
      </c>
      <c r="B2693" t="s">
        <v>11</v>
      </c>
      <c r="C2693" t="s">
        <v>18</v>
      </c>
      <c r="D2693" t="s">
        <v>17</v>
      </c>
      <c r="E2693">
        <v>0.83229813664596197</v>
      </c>
      <c r="F2693">
        <v>0.85631953881341605</v>
      </c>
      <c r="G2693">
        <v>13306.3577601909</v>
      </c>
      <c r="H2693">
        <v>720</v>
      </c>
      <c r="I2693">
        <v>690</v>
      </c>
      <c r="J2693">
        <v>30</v>
      </c>
    </row>
    <row r="2694" spans="1:10" x14ac:dyDescent="0.25">
      <c r="A2694" t="s">
        <v>23</v>
      </c>
      <c r="B2694" t="s">
        <v>11</v>
      </c>
      <c r="C2694" t="s">
        <v>18</v>
      </c>
      <c r="D2694" t="s">
        <v>17</v>
      </c>
      <c r="E2694">
        <v>0.84472049689440998</v>
      </c>
      <c r="F2694">
        <v>0.86882967837701797</v>
      </c>
      <c r="G2694">
        <v>13382.593113422299</v>
      </c>
      <c r="H2694">
        <v>724</v>
      </c>
      <c r="I2694">
        <v>696</v>
      </c>
      <c r="J2694">
        <v>30</v>
      </c>
    </row>
    <row r="2695" spans="1:10" x14ac:dyDescent="0.25">
      <c r="A2695" t="s">
        <v>23</v>
      </c>
      <c r="B2695" t="s">
        <v>11</v>
      </c>
      <c r="C2695" t="s">
        <v>18</v>
      </c>
      <c r="D2695" t="s">
        <v>17</v>
      </c>
      <c r="E2695">
        <v>0.83850931677018603</v>
      </c>
      <c r="F2695">
        <v>0.86251366487416103</v>
      </c>
      <c r="G2695">
        <v>13384.886205196301</v>
      </c>
      <c r="H2695">
        <v>754</v>
      </c>
      <c r="I2695">
        <v>710</v>
      </c>
      <c r="J2695">
        <v>30</v>
      </c>
    </row>
    <row r="2696" spans="1:10" x14ac:dyDescent="0.25">
      <c r="A2696" t="s">
        <v>23</v>
      </c>
      <c r="B2696" t="s">
        <v>11</v>
      </c>
      <c r="C2696" t="s">
        <v>18</v>
      </c>
      <c r="D2696" t="s">
        <v>17</v>
      </c>
      <c r="E2696">
        <v>0.85838509316770095</v>
      </c>
      <c r="F2696">
        <v>0.86947316987316703</v>
      </c>
      <c r="G2696">
        <v>13412.7815084457</v>
      </c>
      <c r="H2696">
        <v>762</v>
      </c>
      <c r="I2696">
        <v>739</v>
      </c>
      <c r="J2696">
        <v>30</v>
      </c>
    </row>
    <row r="2697" spans="1:10" x14ac:dyDescent="0.25">
      <c r="A2697" t="s">
        <v>23</v>
      </c>
      <c r="B2697" t="s">
        <v>11</v>
      </c>
      <c r="C2697" t="s">
        <v>18</v>
      </c>
      <c r="D2697" t="s">
        <v>17</v>
      </c>
      <c r="E2697">
        <v>0.82484472049689395</v>
      </c>
      <c r="F2697">
        <v>0.85446534134944097</v>
      </c>
      <c r="G2697">
        <v>13418.5020132064</v>
      </c>
      <c r="H2697">
        <v>729</v>
      </c>
      <c r="I2697">
        <v>706</v>
      </c>
      <c r="J2697">
        <v>30</v>
      </c>
    </row>
    <row r="2698" spans="1:10" x14ac:dyDescent="0.25">
      <c r="A2698" t="s">
        <v>23</v>
      </c>
      <c r="B2698" t="s">
        <v>11</v>
      </c>
      <c r="C2698" t="s">
        <v>18</v>
      </c>
      <c r="D2698" t="s">
        <v>17</v>
      </c>
      <c r="E2698">
        <v>0.82981366459627304</v>
      </c>
      <c r="F2698">
        <v>0.86506091634273197</v>
      </c>
      <c r="G2698">
        <v>13426.540118217399</v>
      </c>
      <c r="H2698">
        <v>746</v>
      </c>
      <c r="I2698">
        <v>712</v>
      </c>
      <c r="J2698">
        <v>30</v>
      </c>
    </row>
    <row r="2699" spans="1:10" x14ac:dyDescent="0.25">
      <c r="A2699" t="s">
        <v>23</v>
      </c>
      <c r="B2699" t="s">
        <v>11</v>
      </c>
      <c r="C2699" t="s">
        <v>18</v>
      </c>
      <c r="D2699" t="s">
        <v>17</v>
      </c>
      <c r="E2699">
        <v>0.79254658385093102</v>
      </c>
      <c r="F2699">
        <v>0.84335645459217301</v>
      </c>
      <c r="G2699">
        <v>13432.6599030494</v>
      </c>
      <c r="H2699">
        <v>756</v>
      </c>
      <c r="I2699">
        <v>730</v>
      </c>
      <c r="J2699">
        <v>30</v>
      </c>
    </row>
    <row r="2700" spans="1:10" x14ac:dyDescent="0.25">
      <c r="A2700" t="s">
        <v>23</v>
      </c>
      <c r="B2700" t="s">
        <v>11</v>
      </c>
      <c r="C2700" t="s">
        <v>18</v>
      </c>
      <c r="D2700" t="s">
        <v>17</v>
      </c>
      <c r="E2700">
        <v>0.82732919254658299</v>
      </c>
      <c r="F2700">
        <v>0.86108354480720495</v>
      </c>
      <c r="G2700">
        <v>13435.552563428801</v>
      </c>
      <c r="H2700">
        <v>727</v>
      </c>
      <c r="I2700">
        <v>693</v>
      </c>
      <c r="J2700">
        <v>30</v>
      </c>
    </row>
    <row r="2701" spans="1:10" x14ac:dyDescent="0.25">
      <c r="A2701" t="s">
        <v>23</v>
      </c>
      <c r="B2701" t="s">
        <v>11</v>
      </c>
      <c r="C2701" t="s">
        <v>18</v>
      </c>
      <c r="D2701" t="s">
        <v>17</v>
      </c>
      <c r="E2701">
        <v>0.82111801242236004</v>
      </c>
      <c r="F2701">
        <v>0.85531693157602395</v>
      </c>
      <c r="G2701">
        <v>13450.431282281799</v>
      </c>
      <c r="H2701">
        <v>833</v>
      </c>
      <c r="I2701">
        <v>759</v>
      </c>
      <c r="J2701">
        <v>30</v>
      </c>
    </row>
    <row r="2702" spans="1:10" x14ac:dyDescent="0.25">
      <c r="A2702" t="s">
        <v>23</v>
      </c>
      <c r="B2702" t="s">
        <v>19</v>
      </c>
      <c r="C2702" t="s">
        <v>12</v>
      </c>
      <c r="D2702" t="s">
        <v>13</v>
      </c>
      <c r="E2702">
        <v>1</v>
      </c>
      <c r="F2702">
        <v>0.99965454088136596</v>
      </c>
      <c r="G2702">
        <v>136.21478748321499</v>
      </c>
      <c r="H2702">
        <v>10</v>
      </c>
      <c r="I2702">
        <v>11</v>
      </c>
      <c r="J2702">
        <v>30</v>
      </c>
    </row>
    <row r="2703" spans="1:10" x14ac:dyDescent="0.25">
      <c r="A2703" t="s">
        <v>23</v>
      </c>
      <c r="B2703" t="s">
        <v>19</v>
      </c>
      <c r="C2703" t="s">
        <v>12</v>
      </c>
      <c r="D2703" t="s">
        <v>13</v>
      </c>
      <c r="E2703">
        <v>0.99875776397515503</v>
      </c>
      <c r="F2703">
        <v>0.99860616498223598</v>
      </c>
      <c r="G2703">
        <v>137.469368696212</v>
      </c>
      <c r="H2703">
        <v>9</v>
      </c>
      <c r="I2703">
        <v>10</v>
      </c>
      <c r="J2703">
        <v>30</v>
      </c>
    </row>
    <row r="2704" spans="1:10" x14ac:dyDescent="0.25">
      <c r="A2704" t="s">
        <v>23</v>
      </c>
      <c r="B2704" t="s">
        <v>19</v>
      </c>
      <c r="C2704" t="s">
        <v>12</v>
      </c>
      <c r="D2704" t="s">
        <v>13</v>
      </c>
      <c r="E2704">
        <v>0.99875776397515503</v>
      </c>
      <c r="F2704">
        <v>0.99864754261900601</v>
      </c>
      <c r="G2704">
        <v>139.912205934524</v>
      </c>
      <c r="H2704">
        <v>10</v>
      </c>
      <c r="I2704">
        <v>11</v>
      </c>
      <c r="J2704">
        <v>30</v>
      </c>
    </row>
    <row r="2705" spans="1:10" x14ac:dyDescent="0.25">
      <c r="A2705" t="s">
        <v>23</v>
      </c>
      <c r="B2705" t="s">
        <v>19</v>
      </c>
      <c r="C2705" t="s">
        <v>12</v>
      </c>
      <c r="D2705" t="s">
        <v>13</v>
      </c>
      <c r="E2705">
        <v>0.99875776397515503</v>
      </c>
      <c r="F2705">
        <v>0.99856843598708001</v>
      </c>
      <c r="G2705">
        <v>139.462318897247</v>
      </c>
      <c r="H2705">
        <v>11</v>
      </c>
      <c r="I2705">
        <v>12</v>
      </c>
      <c r="J2705">
        <v>30</v>
      </c>
    </row>
    <row r="2706" spans="1:10" x14ac:dyDescent="0.25">
      <c r="A2706" t="s">
        <v>23</v>
      </c>
      <c r="B2706" t="s">
        <v>19</v>
      </c>
      <c r="C2706" t="s">
        <v>12</v>
      </c>
      <c r="D2706" t="s">
        <v>13</v>
      </c>
      <c r="E2706">
        <v>1</v>
      </c>
      <c r="F2706">
        <v>0.99978023683142803</v>
      </c>
      <c r="G2706">
        <v>140.61576032638499</v>
      </c>
      <c r="H2706">
        <v>10</v>
      </c>
      <c r="I2706">
        <v>11</v>
      </c>
      <c r="J2706">
        <v>30</v>
      </c>
    </row>
    <row r="2707" spans="1:10" x14ac:dyDescent="0.25">
      <c r="A2707" t="s">
        <v>23</v>
      </c>
      <c r="B2707" t="s">
        <v>19</v>
      </c>
      <c r="C2707" t="s">
        <v>12</v>
      </c>
      <c r="D2707" t="s">
        <v>13</v>
      </c>
      <c r="E2707">
        <v>0.99751552795030995</v>
      </c>
      <c r="F2707">
        <v>0.99771060846049597</v>
      </c>
      <c r="G2707">
        <v>141.22254133224399</v>
      </c>
      <c r="H2707">
        <v>11</v>
      </c>
      <c r="I2707">
        <v>12</v>
      </c>
      <c r="J2707">
        <v>30</v>
      </c>
    </row>
    <row r="2708" spans="1:10" x14ac:dyDescent="0.25">
      <c r="A2708" t="s">
        <v>23</v>
      </c>
      <c r="B2708" t="s">
        <v>19</v>
      </c>
      <c r="C2708" t="s">
        <v>12</v>
      </c>
      <c r="D2708" t="s">
        <v>13</v>
      </c>
      <c r="E2708">
        <v>1</v>
      </c>
      <c r="F2708">
        <v>0.99959308810757697</v>
      </c>
      <c r="G2708">
        <v>142.95867204666101</v>
      </c>
      <c r="H2708">
        <v>10</v>
      </c>
      <c r="I2708">
        <v>12</v>
      </c>
      <c r="J2708">
        <v>30</v>
      </c>
    </row>
    <row r="2709" spans="1:10" x14ac:dyDescent="0.25">
      <c r="A2709" t="s">
        <v>23</v>
      </c>
      <c r="B2709" t="s">
        <v>19</v>
      </c>
      <c r="C2709" t="s">
        <v>12</v>
      </c>
      <c r="D2709" t="s">
        <v>13</v>
      </c>
      <c r="E2709">
        <v>0.99875776397515503</v>
      </c>
      <c r="F2709">
        <v>0.99855401981130398</v>
      </c>
      <c r="G2709">
        <v>143.53447651862999</v>
      </c>
      <c r="H2709">
        <v>10</v>
      </c>
      <c r="I2709">
        <v>12</v>
      </c>
      <c r="J2709">
        <v>30</v>
      </c>
    </row>
    <row r="2710" spans="1:10" x14ac:dyDescent="0.25">
      <c r="A2710" t="s">
        <v>23</v>
      </c>
      <c r="B2710" t="s">
        <v>19</v>
      </c>
      <c r="C2710" t="s">
        <v>12</v>
      </c>
      <c r="D2710" t="s">
        <v>13</v>
      </c>
      <c r="E2710">
        <v>1</v>
      </c>
      <c r="F2710">
        <v>0.999681501161366</v>
      </c>
      <c r="G2710">
        <v>143.405091524124</v>
      </c>
      <c r="H2710">
        <v>11</v>
      </c>
      <c r="I2710">
        <v>12</v>
      </c>
      <c r="J2710">
        <v>30</v>
      </c>
    </row>
    <row r="2711" spans="1:10" x14ac:dyDescent="0.25">
      <c r="A2711" t="s">
        <v>23</v>
      </c>
      <c r="B2711" t="s">
        <v>19</v>
      </c>
      <c r="C2711" t="s">
        <v>12</v>
      </c>
      <c r="D2711" t="s">
        <v>13</v>
      </c>
      <c r="E2711">
        <v>0.99875776397515503</v>
      </c>
      <c r="F2711">
        <v>0.99848114208422301</v>
      </c>
      <c r="G2711">
        <v>143.76844763755699</v>
      </c>
      <c r="H2711">
        <v>10</v>
      </c>
      <c r="I2711">
        <v>11</v>
      </c>
      <c r="J2711">
        <v>30</v>
      </c>
    </row>
    <row r="2712" spans="1:10" x14ac:dyDescent="0.25">
      <c r="A2712" t="s">
        <v>23</v>
      </c>
      <c r="B2712" t="s">
        <v>19</v>
      </c>
      <c r="C2712" t="s">
        <v>12</v>
      </c>
      <c r="D2712" t="s">
        <v>13</v>
      </c>
      <c r="E2712">
        <v>0.99875776397515503</v>
      </c>
      <c r="F2712">
        <v>0.99849371734372605</v>
      </c>
      <c r="G2712">
        <v>146.11145901679899</v>
      </c>
      <c r="H2712">
        <v>11</v>
      </c>
      <c r="I2712">
        <v>12</v>
      </c>
      <c r="J2712">
        <v>30</v>
      </c>
    </row>
    <row r="2713" spans="1:10" x14ac:dyDescent="0.25">
      <c r="A2713" t="s">
        <v>23</v>
      </c>
      <c r="B2713" t="s">
        <v>19</v>
      </c>
      <c r="C2713" t="s">
        <v>12</v>
      </c>
      <c r="D2713" t="s">
        <v>13</v>
      </c>
      <c r="E2713">
        <v>1</v>
      </c>
      <c r="F2713">
        <v>0.99957828482794997</v>
      </c>
      <c r="G2713">
        <v>145.001756906509</v>
      </c>
      <c r="H2713">
        <v>10</v>
      </c>
      <c r="I2713">
        <v>12</v>
      </c>
      <c r="J2713">
        <v>30</v>
      </c>
    </row>
    <row r="2714" spans="1:10" x14ac:dyDescent="0.25">
      <c r="A2714" t="s">
        <v>23</v>
      </c>
      <c r="B2714" t="s">
        <v>19</v>
      </c>
      <c r="C2714" t="s">
        <v>12</v>
      </c>
      <c r="D2714" t="s">
        <v>13</v>
      </c>
      <c r="E2714">
        <v>0.99751552795030995</v>
      </c>
      <c r="F2714">
        <v>0.99804039630795005</v>
      </c>
      <c r="G2714">
        <v>147.65828633308399</v>
      </c>
      <c r="H2714">
        <v>10</v>
      </c>
      <c r="I2714">
        <v>11</v>
      </c>
      <c r="J2714">
        <v>30</v>
      </c>
    </row>
    <row r="2715" spans="1:10" x14ac:dyDescent="0.25">
      <c r="A2715" t="s">
        <v>23</v>
      </c>
      <c r="B2715" t="s">
        <v>19</v>
      </c>
      <c r="C2715" t="s">
        <v>12</v>
      </c>
      <c r="D2715" t="s">
        <v>13</v>
      </c>
      <c r="E2715">
        <v>0.99751552795030995</v>
      </c>
      <c r="F2715">
        <v>0.99716875280062101</v>
      </c>
      <c r="G2715">
        <v>148.26111984252901</v>
      </c>
      <c r="H2715">
        <v>9</v>
      </c>
      <c r="I2715">
        <v>10</v>
      </c>
      <c r="J2715">
        <v>30</v>
      </c>
    </row>
    <row r="2716" spans="1:10" x14ac:dyDescent="0.25">
      <c r="A2716" t="s">
        <v>23</v>
      </c>
      <c r="B2716" t="s">
        <v>19</v>
      </c>
      <c r="C2716" t="s">
        <v>12</v>
      </c>
      <c r="D2716" t="s">
        <v>13</v>
      </c>
      <c r="E2716">
        <v>1</v>
      </c>
      <c r="F2716">
        <v>0.99960774209229797</v>
      </c>
      <c r="G2716">
        <v>148.239262104034</v>
      </c>
      <c r="H2716">
        <v>12</v>
      </c>
      <c r="I2716">
        <v>14</v>
      </c>
      <c r="J2716">
        <v>30</v>
      </c>
    </row>
    <row r="2717" spans="1:10" x14ac:dyDescent="0.25">
      <c r="A2717" t="s">
        <v>23</v>
      </c>
      <c r="B2717" t="s">
        <v>19</v>
      </c>
      <c r="C2717" t="s">
        <v>12</v>
      </c>
      <c r="D2717" t="s">
        <v>13</v>
      </c>
      <c r="E2717">
        <v>1</v>
      </c>
      <c r="F2717">
        <v>0.99959898213776399</v>
      </c>
      <c r="G2717">
        <v>148.09549379348701</v>
      </c>
      <c r="H2717">
        <v>9</v>
      </c>
      <c r="I2717">
        <v>11</v>
      </c>
      <c r="J2717">
        <v>30</v>
      </c>
    </row>
    <row r="2718" spans="1:10" x14ac:dyDescent="0.25">
      <c r="A2718" t="s">
        <v>23</v>
      </c>
      <c r="B2718" t="s">
        <v>19</v>
      </c>
      <c r="C2718" t="s">
        <v>12</v>
      </c>
      <c r="D2718" t="s">
        <v>13</v>
      </c>
      <c r="E2718">
        <v>0.99627329192546499</v>
      </c>
      <c r="F2718">
        <v>0.99613038030919199</v>
      </c>
      <c r="G2718">
        <v>148.176611185073</v>
      </c>
      <c r="H2718">
        <v>11</v>
      </c>
      <c r="I2718">
        <v>13</v>
      </c>
      <c r="J2718">
        <v>30</v>
      </c>
    </row>
    <row r="2719" spans="1:10" x14ac:dyDescent="0.25">
      <c r="A2719" t="s">
        <v>23</v>
      </c>
      <c r="B2719" t="s">
        <v>19</v>
      </c>
      <c r="C2719" t="s">
        <v>12</v>
      </c>
      <c r="D2719" t="s">
        <v>13</v>
      </c>
      <c r="E2719">
        <v>1</v>
      </c>
      <c r="F2719">
        <v>0.99977721336310499</v>
      </c>
      <c r="G2719">
        <v>149.171032428741</v>
      </c>
      <c r="H2719">
        <v>11</v>
      </c>
      <c r="I2719">
        <v>12</v>
      </c>
      <c r="J2719">
        <v>30</v>
      </c>
    </row>
    <row r="2720" spans="1:10" x14ac:dyDescent="0.25">
      <c r="A2720" t="s">
        <v>23</v>
      </c>
      <c r="B2720" t="s">
        <v>19</v>
      </c>
      <c r="C2720" t="s">
        <v>12</v>
      </c>
      <c r="D2720" t="s">
        <v>13</v>
      </c>
      <c r="E2720">
        <v>1</v>
      </c>
      <c r="F2720">
        <v>0.99978816909503099</v>
      </c>
      <c r="G2720">
        <v>148.28728103637599</v>
      </c>
      <c r="H2720">
        <v>11</v>
      </c>
      <c r="I2720">
        <v>12</v>
      </c>
      <c r="J2720">
        <v>30</v>
      </c>
    </row>
    <row r="2721" spans="1:10" x14ac:dyDescent="0.25">
      <c r="A2721" t="s">
        <v>23</v>
      </c>
      <c r="B2721" t="s">
        <v>19</v>
      </c>
      <c r="C2721" t="s">
        <v>12</v>
      </c>
      <c r="D2721" t="s">
        <v>13</v>
      </c>
      <c r="E2721">
        <v>0.99875776397515503</v>
      </c>
      <c r="F2721">
        <v>0.99844119722136604</v>
      </c>
      <c r="G2721">
        <v>148.92195725440899</v>
      </c>
      <c r="H2721">
        <v>11</v>
      </c>
      <c r="I2721">
        <v>12</v>
      </c>
      <c r="J2721">
        <v>30</v>
      </c>
    </row>
    <row r="2722" spans="1:10" x14ac:dyDescent="0.25">
      <c r="A2722" t="s">
        <v>23</v>
      </c>
      <c r="B2722" t="s">
        <v>19</v>
      </c>
      <c r="C2722" t="s">
        <v>12</v>
      </c>
      <c r="D2722" t="s">
        <v>13</v>
      </c>
      <c r="E2722">
        <v>1</v>
      </c>
      <c r="F2722">
        <v>0.99984619990509305</v>
      </c>
      <c r="G2722">
        <v>149.03001880645701</v>
      </c>
      <c r="H2722">
        <v>11</v>
      </c>
      <c r="I2722">
        <v>12</v>
      </c>
      <c r="J2722">
        <v>30</v>
      </c>
    </row>
    <row r="2723" spans="1:10" x14ac:dyDescent="0.25">
      <c r="A2723" t="s">
        <v>23</v>
      </c>
      <c r="B2723" t="s">
        <v>19</v>
      </c>
      <c r="C2723" t="s">
        <v>12</v>
      </c>
      <c r="D2723" t="s">
        <v>13</v>
      </c>
      <c r="E2723">
        <v>0.99751552795030995</v>
      </c>
      <c r="F2723">
        <v>0.99723356587987499</v>
      </c>
      <c r="G2723">
        <v>150.321412324905</v>
      </c>
      <c r="H2723">
        <v>11</v>
      </c>
      <c r="I2723">
        <v>13</v>
      </c>
      <c r="J2723">
        <v>30</v>
      </c>
    </row>
    <row r="2724" spans="1:10" x14ac:dyDescent="0.25">
      <c r="A2724" t="s">
        <v>23</v>
      </c>
      <c r="B2724" t="s">
        <v>19</v>
      </c>
      <c r="C2724" t="s">
        <v>12</v>
      </c>
      <c r="D2724" t="s">
        <v>13</v>
      </c>
      <c r="E2724">
        <v>0.99627329192546499</v>
      </c>
      <c r="F2724">
        <v>0.99610764766509297</v>
      </c>
      <c r="G2724">
        <v>150.22078227996801</v>
      </c>
      <c r="H2724">
        <v>11</v>
      </c>
      <c r="I2724">
        <v>12</v>
      </c>
      <c r="J2724">
        <v>30</v>
      </c>
    </row>
    <row r="2725" spans="1:10" x14ac:dyDescent="0.25">
      <c r="A2725" t="s">
        <v>23</v>
      </c>
      <c r="B2725" t="s">
        <v>19</v>
      </c>
      <c r="C2725" t="s">
        <v>12</v>
      </c>
      <c r="D2725" t="s">
        <v>13</v>
      </c>
      <c r="E2725">
        <v>0.99875776397515503</v>
      </c>
      <c r="F2725">
        <v>0.99857409230807403</v>
      </c>
      <c r="G2725">
        <v>150.33719921112001</v>
      </c>
      <c r="H2725">
        <v>11</v>
      </c>
      <c r="I2725">
        <v>12</v>
      </c>
      <c r="J2725">
        <v>30</v>
      </c>
    </row>
    <row r="2726" spans="1:10" x14ac:dyDescent="0.25">
      <c r="A2726" t="s">
        <v>23</v>
      </c>
      <c r="B2726" t="s">
        <v>19</v>
      </c>
      <c r="C2726" t="s">
        <v>12</v>
      </c>
      <c r="D2726" t="s">
        <v>13</v>
      </c>
      <c r="E2726">
        <v>0.99627329192546499</v>
      </c>
      <c r="F2726">
        <v>0.99611766771515498</v>
      </c>
      <c r="G2726">
        <v>149.34906792640601</v>
      </c>
      <c r="H2726">
        <v>11</v>
      </c>
      <c r="I2726">
        <v>12</v>
      </c>
      <c r="J2726">
        <v>30</v>
      </c>
    </row>
    <row r="2727" spans="1:10" x14ac:dyDescent="0.25">
      <c r="A2727" t="s">
        <v>23</v>
      </c>
      <c r="B2727" t="s">
        <v>19</v>
      </c>
      <c r="C2727" t="s">
        <v>12</v>
      </c>
      <c r="D2727" t="s">
        <v>13</v>
      </c>
      <c r="E2727">
        <v>1</v>
      </c>
      <c r="F2727">
        <v>0.99966726570136599</v>
      </c>
      <c r="G2727">
        <v>150.452670335769</v>
      </c>
      <c r="H2727">
        <v>9</v>
      </c>
      <c r="I2727">
        <v>10</v>
      </c>
      <c r="J2727">
        <v>30</v>
      </c>
    </row>
    <row r="2728" spans="1:10" x14ac:dyDescent="0.25">
      <c r="A2728" t="s">
        <v>23</v>
      </c>
      <c r="B2728" t="s">
        <v>19</v>
      </c>
      <c r="C2728" t="s">
        <v>12</v>
      </c>
      <c r="D2728" t="s">
        <v>13</v>
      </c>
      <c r="E2728">
        <v>0.99751552795030995</v>
      </c>
      <c r="F2728">
        <v>0.99757615147652101</v>
      </c>
      <c r="G2728">
        <v>149.95069527626001</v>
      </c>
      <c r="H2728">
        <v>11</v>
      </c>
      <c r="I2728">
        <v>12</v>
      </c>
      <c r="J2728">
        <v>30</v>
      </c>
    </row>
    <row r="2729" spans="1:10" x14ac:dyDescent="0.25">
      <c r="A2729" t="s">
        <v>23</v>
      </c>
      <c r="B2729" t="s">
        <v>19</v>
      </c>
      <c r="C2729" t="s">
        <v>12</v>
      </c>
      <c r="D2729" t="s">
        <v>13</v>
      </c>
      <c r="E2729">
        <v>1</v>
      </c>
      <c r="F2729">
        <v>0.99979504189565205</v>
      </c>
      <c r="G2729">
        <v>151.28286623954699</v>
      </c>
      <c r="H2729">
        <v>11</v>
      </c>
      <c r="I2729">
        <v>12</v>
      </c>
      <c r="J2729">
        <v>30</v>
      </c>
    </row>
    <row r="2730" spans="1:10" x14ac:dyDescent="0.25">
      <c r="A2730" t="s">
        <v>23</v>
      </c>
      <c r="B2730" t="s">
        <v>19</v>
      </c>
      <c r="C2730" t="s">
        <v>12</v>
      </c>
      <c r="D2730" t="s">
        <v>13</v>
      </c>
      <c r="E2730">
        <v>0.99875776397515503</v>
      </c>
      <c r="F2730">
        <v>0.99861694657055899</v>
      </c>
      <c r="G2730">
        <v>150.154773712158</v>
      </c>
      <c r="H2730">
        <v>11</v>
      </c>
      <c r="I2730">
        <v>12</v>
      </c>
      <c r="J2730">
        <v>30</v>
      </c>
    </row>
    <row r="2731" spans="1:10" x14ac:dyDescent="0.25">
      <c r="A2731" t="s">
        <v>23</v>
      </c>
      <c r="B2731" t="s">
        <v>19</v>
      </c>
      <c r="C2731" t="s">
        <v>12</v>
      </c>
      <c r="D2731" t="s">
        <v>13</v>
      </c>
      <c r="E2731">
        <v>0.99751552795030995</v>
      </c>
      <c r="F2731">
        <v>0.99723486228111802</v>
      </c>
      <c r="G2731">
        <v>151.37695026397699</v>
      </c>
      <c r="H2731">
        <v>13</v>
      </c>
      <c r="I2731">
        <v>14</v>
      </c>
      <c r="J2731">
        <v>30</v>
      </c>
    </row>
    <row r="2732" spans="1:10" x14ac:dyDescent="0.25">
      <c r="A2732" t="s">
        <v>23</v>
      </c>
      <c r="B2732" t="s">
        <v>19</v>
      </c>
      <c r="C2732" t="s">
        <v>12</v>
      </c>
      <c r="D2732" t="s">
        <v>14</v>
      </c>
      <c r="E2732">
        <v>0.92795031055900601</v>
      </c>
      <c r="F2732">
        <v>0.940272586314161</v>
      </c>
      <c r="G2732">
        <v>26.925098180770799</v>
      </c>
      <c r="H2732">
        <v>10</v>
      </c>
      <c r="I2732">
        <v>10</v>
      </c>
      <c r="J2732">
        <v>30</v>
      </c>
    </row>
    <row r="2733" spans="1:10" x14ac:dyDescent="0.25">
      <c r="A2733" t="s">
        <v>23</v>
      </c>
      <c r="B2733" t="s">
        <v>19</v>
      </c>
      <c r="C2733" t="s">
        <v>12</v>
      </c>
      <c r="D2733" t="s">
        <v>14</v>
      </c>
      <c r="E2733">
        <v>0.93913043478260805</v>
      </c>
      <c r="F2733">
        <v>0.94824883545043404</v>
      </c>
      <c r="G2733">
        <v>27.095817804336502</v>
      </c>
      <c r="H2733">
        <v>10</v>
      </c>
      <c r="I2733">
        <v>10</v>
      </c>
      <c r="J2733">
        <v>30</v>
      </c>
    </row>
    <row r="2734" spans="1:10" x14ac:dyDescent="0.25">
      <c r="A2734" t="s">
        <v>23</v>
      </c>
      <c r="B2734" t="s">
        <v>19</v>
      </c>
      <c r="C2734" t="s">
        <v>12</v>
      </c>
      <c r="D2734" t="s">
        <v>14</v>
      </c>
      <c r="E2734">
        <v>0.94161490683229798</v>
      </c>
      <c r="F2734">
        <v>0.95058693957018603</v>
      </c>
      <c r="G2734">
        <v>27.424958229064899</v>
      </c>
      <c r="H2734">
        <v>11</v>
      </c>
      <c r="I2734">
        <v>11</v>
      </c>
      <c r="J2734">
        <v>30</v>
      </c>
    </row>
    <row r="2735" spans="1:10" x14ac:dyDescent="0.25">
      <c r="A2735" t="s">
        <v>23</v>
      </c>
      <c r="B2735" t="s">
        <v>19</v>
      </c>
      <c r="C2735" t="s">
        <v>12</v>
      </c>
      <c r="D2735" t="s">
        <v>14</v>
      </c>
      <c r="E2735">
        <v>0.93291925465838499</v>
      </c>
      <c r="F2735">
        <v>0.94401811868931695</v>
      </c>
      <c r="G2735">
        <v>28.684371948242099</v>
      </c>
      <c r="H2735">
        <v>11</v>
      </c>
      <c r="I2735">
        <v>11</v>
      </c>
      <c r="J2735">
        <v>30</v>
      </c>
    </row>
    <row r="2736" spans="1:10" x14ac:dyDescent="0.25">
      <c r="A2736" t="s">
        <v>23</v>
      </c>
      <c r="B2736" t="s">
        <v>19</v>
      </c>
      <c r="C2736" t="s">
        <v>12</v>
      </c>
      <c r="D2736" t="s">
        <v>14</v>
      </c>
      <c r="E2736">
        <v>0.92173913043478195</v>
      </c>
      <c r="F2736">
        <v>0.93548230499664498</v>
      </c>
      <c r="G2736">
        <v>29.672689676284701</v>
      </c>
      <c r="H2736">
        <v>10</v>
      </c>
      <c r="I2736">
        <v>10</v>
      </c>
      <c r="J2736">
        <v>30</v>
      </c>
    </row>
    <row r="2737" spans="1:10" x14ac:dyDescent="0.25">
      <c r="A2737" t="s">
        <v>23</v>
      </c>
      <c r="B2737" t="s">
        <v>19</v>
      </c>
      <c r="C2737" t="s">
        <v>12</v>
      </c>
      <c r="D2737" t="s">
        <v>14</v>
      </c>
      <c r="E2737">
        <v>0.93291925465838499</v>
      </c>
      <c r="F2737">
        <v>0.94364357252360198</v>
      </c>
      <c r="G2737">
        <v>30.331330060958798</v>
      </c>
      <c r="H2737">
        <v>11</v>
      </c>
      <c r="I2737">
        <v>11</v>
      </c>
      <c r="J2737">
        <v>30</v>
      </c>
    </row>
    <row r="2738" spans="1:10" x14ac:dyDescent="0.25">
      <c r="A2738" t="s">
        <v>23</v>
      </c>
      <c r="B2738" t="s">
        <v>19</v>
      </c>
      <c r="C2738" t="s">
        <v>12</v>
      </c>
      <c r="D2738" t="s">
        <v>14</v>
      </c>
      <c r="E2738">
        <v>0.915527950310559</v>
      </c>
      <c r="F2738">
        <v>0.93282771206807402</v>
      </c>
      <c r="G2738">
        <v>30.661329269409102</v>
      </c>
      <c r="H2738">
        <v>10</v>
      </c>
      <c r="I2738">
        <v>10</v>
      </c>
      <c r="J2738">
        <v>30</v>
      </c>
    </row>
    <row r="2739" spans="1:10" x14ac:dyDescent="0.25">
      <c r="A2739" t="s">
        <v>23</v>
      </c>
      <c r="B2739" t="s">
        <v>19</v>
      </c>
      <c r="C2739" t="s">
        <v>12</v>
      </c>
      <c r="D2739" t="s">
        <v>14</v>
      </c>
      <c r="E2739">
        <v>0.94161490683229798</v>
      </c>
      <c r="F2739">
        <v>0.94999282361416104</v>
      </c>
      <c r="G2739">
        <v>30.729016065597499</v>
      </c>
      <c r="H2739">
        <v>10</v>
      </c>
      <c r="I2739">
        <v>10</v>
      </c>
      <c r="J2739">
        <v>30</v>
      </c>
    </row>
    <row r="2740" spans="1:10" x14ac:dyDescent="0.25">
      <c r="A2740" t="s">
        <v>23</v>
      </c>
      <c r="B2740" t="s">
        <v>19</v>
      </c>
      <c r="C2740" t="s">
        <v>12</v>
      </c>
      <c r="D2740" t="s">
        <v>14</v>
      </c>
      <c r="E2740">
        <v>0.92795031055900601</v>
      </c>
      <c r="F2740">
        <v>0.94007356756807403</v>
      </c>
      <c r="G2740">
        <v>30.980244874954199</v>
      </c>
      <c r="H2740">
        <v>11</v>
      </c>
      <c r="I2740">
        <v>11</v>
      </c>
      <c r="J2740">
        <v>30</v>
      </c>
    </row>
    <row r="2741" spans="1:10" x14ac:dyDescent="0.25">
      <c r="A2741" t="s">
        <v>23</v>
      </c>
      <c r="B2741" t="s">
        <v>19</v>
      </c>
      <c r="C2741" t="s">
        <v>12</v>
      </c>
      <c r="D2741" t="s">
        <v>14</v>
      </c>
      <c r="E2741">
        <v>0.92670807453416104</v>
      </c>
      <c r="F2741">
        <v>0.939839107061614</v>
      </c>
      <c r="G2741">
        <v>30.725129365920999</v>
      </c>
      <c r="H2741">
        <v>11</v>
      </c>
      <c r="I2741">
        <v>11</v>
      </c>
      <c r="J2741">
        <v>30</v>
      </c>
    </row>
    <row r="2742" spans="1:10" x14ac:dyDescent="0.25">
      <c r="A2742" t="s">
        <v>23</v>
      </c>
      <c r="B2742" t="s">
        <v>19</v>
      </c>
      <c r="C2742" t="s">
        <v>12</v>
      </c>
      <c r="D2742" t="s">
        <v>14</v>
      </c>
      <c r="E2742">
        <v>0.93788819875776397</v>
      </c>
      <c r="F2742">
        <v>0.94753653787540304</v>
      </c>
      <c r="G2742">
        <v>31.696479558944699</v>
      </c>
      <c r="H2742">
        <v>11</v>
      </c>
      <c r="I2742">
        <v>11</v>
      </c>
      <c r="J2742">
        <v>30</v>
      </c>
    </row>
    <row r="2743" spans="1:10" x14ac:dyDescent="0.25">
      <c r="A2743" t="s">
        <v>23</v>
      </c>
      <c r="B2743" t="s">
        <v>19</v>
      </c>
      <c r="C2743" t="s">
        <v>12</v>
      </c>
      <c r="D2743" t="s">
        <v>14</v>
      </c>
      <c r="E2743">
        <v>0.92795031055900601</v>
      </c>
      <c r="F2743">
        <v>0.94041597956</v>
      </c>
      <c r="G2743">
        <v>32.270033359527503</v>
      </c>
      <c r="H2743">
        <v>11</v>
      </c>
      <c r="I2743">
        <v>11</v>
      </c>
      <c r="J2743">
        <v>30</v>
      </c>
    </row>
    <row r="2744" spans="1:10" x14ac:dyDescent="0.25">
      <c r="A2744" t="s">
        <v>23</v>
      </c>
      <c r="B2744" t="s">
        <v>19</v>
      </c>
      <c r="C2744" t="s">
        <v>12</v>
      </c>
      <c r="D2744" t="s">
        <v>14</v>
      </c>
      <c r="E2744">
        <v>0.92795031055900601</v>
      </c>
      <c r="F2744">
        <v>0.94039399735627305</v>
      </c>
      <c r="G2744">
        <v>33.2606234550476</v>
      </c>
      <c r="H2744">
        <v>11</v>
      </c>
      <c r="I2744">
        <v>11</v>
      </c>
      <c r="J2744">
        <v>30</v>
      </c>
    </row>
    <row r="2745" spans="1:10" x14ac:dyDescent="0.25">
      <c r="A2745" t="s">
        <v>23</v>
      </c>
      <c r="B2745" t="s">
        <v>19</v>
      </c>
      <c r="C2745" t="s">
        <v>12</v>
      </c>
      <c r="D2745" t="s">
        <v>14</v>
      </c>
      <c r="E2745">
        <v>0.99875776397515503</v>
      </c>
      <c r="F2745">
        <v>0.998277608960496</v>
      </c>
      <c r="G2745">
        <v>33.659772396087597</v>
      </c>
      <c r="H2745">
        <v>13</v>
      </c>
      <c r="I2745">
        <v>13</v>
      </c>
      <c r="J2745">
        <v>30</v>
      </c>
    </row>
    <row r="2746" spans="1:10" x14ac:dyDescent="0.25">
      <c r="A2746" t="s">
        <v>23</v>
      </c>
      <c r="B2746" t="s">
        <v>19</v>
      </c>
      <c r="C2746" t="s">
        <v>12</v>
      </c>
      <c r="D2746" t="s">
        <v>14</v>
      </c>
      <c r="E2746">
        <v>0.91304347826086896</v>
      </c>
      <c r="F2746">
        <v>0.92982228737689399</v>
      </c>
      <c r="G2746">
        <v>33.627841711044297</v>
      </c>
      <c r="H2746">
        <v>11</v>
      </c>
      <c r="I2746">
        <v>11</v>
      </c>
      <c r="J2746">
        <v>30</v>
      </c>
    </row>
    <row r="2747" spans="1:10" x14ac:dyDescent="0.25">
      <c r="A2747" t="s">
        <v>23</v>
      </c>
      <c r="B2747" t="s">
        <v>19</v>
      </c>
      <c r="C2747" t="s">
        <v>12</v>
      </c>
      <c r="D2747" t="s">
        <v>14</v>
      </c>
      <c r="E2747">
        <v>0.99751552795030995</v>
      </c>
      <c r="F2747">
        <v>0.99796535677826004</v>
      </c>
      <c r="G2747">
        <v>34.669742822647002</v>
      </c>
      <c r="H2747">
        <v>12</v>
      </c>
      <c r="I2747">
        <v>12</v>
      </c>
      <c r="J2747">
        <v>30</v>
      </c>
    </row>
    <row r="2748" spans="1:10" x14ac:dyDescent="0.25">
      <c r="A2748" t="s">
        <v>23</v>
      </c>
      <c r="B2748" t="s">
        <v>19</v>
      </c>
      <c r="C2748" t="s">
        <v>12</v>
      </c>
      <c r="D2748" t="s">
        <v>14</v>
      </c>
      <c r="E2748">
        <v>0.93416149068322896</v>
      </c>
      <c r="F2748">
        <v>0.94436118968807503</v>
      </c>
      <c r="G2748">
        <v>34.559246301651001</v>
      </c>
      <c r="H2748">
        <v>11</v>
      </c>
      <c r="I2748">
        <v>11</v>
      </c>
      <c r="J2748">
        <v>30</v>
      </c>
    </row>
    <row r="2749" spans="1:10" x14ac:dyDescent="0.25">
      <c r="A2749" t="s">
        <v>23</v>
      </c>
      <c r="B2749" t="s">
        <v>19</v>
      </c>
      <c r="C2749" t="s">
        <v>12</v>
      </c>
      <c r="D2749" t="s">
        <v>14</v>
      </c>
      <c r="E2749">
        <v>1</v>
      </c>
      <c r="F2749">
        <v>0.99990445342534096</v>
      </c>
      <c r="G2749">
        <v>34.885508537292402</v>
      </c>
      <c r="H2749">
        <v>13</v>
      </c>
      <c r="I2749">
        <v>13</v>
      </c>
      <c r="J2749">
        <v>30</v>
      </c>
    </row>
    <row r="2750" spans="1:10" x14ac:dyDescent="0.25">
      <c r="A2750" t="s">
        <v>23</v>
      </c>
      <c r="B2750" t="s">
        <v>19</v>
      </c>
      <c r="C2750" t="s">
        <v>12</v>
      </c>
      <c r="D2750" t="s">
        <v>14</v>
      </c>
      <c r="E2750">
        <v>0.92298136645962703</v>
      </c>
      <c r="F2750">
        <v>0.93693367779329095</v>
      </c>
      <c r="G2750">
        <v>35.317453145980799</v>
      </c>
      <c r="H2750">
        <v>11</v>
      </c>
      <c r="I2750">
        <v>11</v>
      </c>
      <c r="J2750">
        <v>30</v>
      </c>
    </row>
    <row r="2751" spans="1:10" x14ac:dyDescent="0.25">
      <c r="A2751" t="s">
        <v>23</v>
      </c>
      <c r="B2751" t="s">
        <v>19</v>
      </c>
      <c r="C2751" t="s">
        <v>12</v>
      </c>
      <c r="D2751" t="s">
        <v>14</v>
      </c>
      <c r="E2751">
        <v>0.99627329192546499</v>
      </c>
      <c r="F2751">
        <v>0.99681557141043398</v>
      </c>
      <c r="G2751">
        <v>35.451180458068798</v>
      </c>
      <c r="H2751">
        <v>12</v>
      </c>
      <c r="I2751">
        <v>12</v>
      </c>
      <c r="J2751">
        <v>30</v>
      </c>
    </row>
    <row r="2752" spans="1:10" x14ac:dyDescent="0.25">
      <c r="A2752" t="s">
        <v>23</v>
      </c>
      <c r="B2752" t="s">
        <v>19</v>
      </c>
      <c r="C2752" t="s">
        <v>12</v>
      </c>
      <c r="D2752" t="s">
        <v>14</v>
      </c>
      <c r="E2752">
        <v>0.99378881987577605</v>
      </c>
      <c r="F2752">
        <v>0.99419852858521696</v>
      </c>
      <c r="G2752">
        <v>36.404639482498098</v>
      </c>
      <c r="H2752">
        <v>13</v>
      </c>
      <c r="I2752">
        <v>13</v>
      </c>
      <c r="J2752">
        <v>30</v>
      </c>
    </row>
    <row r="2753" spans="1:10" x14ac:dyDescent="0.25">
      <c r="A2753" t="s">
        <v>23</v>
      </c>
      <c r="B2753" t="s">
        <v>19</v>
      </c>
      <c r="C2753" t="s">
        <v>12</v>
      </c>
      <c r="D2753" t="s">
        <v>14</v>
      </c>
      <c r="E2753">
        <v>0.99875776397515503</v>
      </c>
      <c r="F2753">
        <v>0.99809726051416103</v>
      </c>
      <c r="G2753">
        <v>36.972626209258998</v>
      </c>
      <c r="H2753">
        <v>14</v>
      </c>
      <c r="I2753">
        <v>14</v>
      </c>
      <c r="J2753">
        <v>30</v>
      </c>
    </row>
    <row r="2754" spans="1:10" x14ac:dyDescent="0.25">
      <c r="A2754" t="s">
        <v>23</v>
      </c>
      <c r="B2754" t="s">
        <v>19</v>
      </c>
      <c r="C2754" t="s">
        <v>12</v>
      </c>
      <c r="D2754" t="s">
        <v>14</v>
      </c>
      <c r="E2754">
        <v>1</v>
      </c>
      <c r="F2754">
        <v>0.99982215692683196</v>
      </c>
      <c r="G2754">
        <v>36.682999134063699</v>
      </c>
      <c r="H2754">
        <v>13</v>
      </c>
      <c r="I2754">
        <v>13</v>
      </c>
      <c r="J2754">
        <v>30</v>
      </c>
    </row>
    <row r="2755" spans="1:10" x14ac:dyDescent="0.25">
      <c r="A2755" t="s">
        <v>23</v>
      </c>
      <c r="B2755" t="s">
        <v>19</v>
      </c>
      <c r="C2755" t="s">
        <v>12</v>
      </c>
      <c r="D2755" t="s">
        <v>14</v>
      </c>
      <c r="E2755">
        <v>0.99875776397515503</v>
      </c>
      <c r="F2755">
        <v>0.99817445372360203</v>
      </c>
      <c r="G2755">
        <v>36.798990011215203</v>
      </c>
      <c r="H2755">
        <v>13</v>
      </c>
      <c r="I2755">
        <v>13</v>
      </c>
      <c r="J2755">
        <v>30</v>
      </c>
    </row>
    <row r="2756" spans="1:10" x14ac:dyDescent="0.25">
      <c r="A2756" t="s">
        <v>23</v>
      </c>
      <c r="B2756" t="s">
        <v>19</v>
      </c>
      <c r="C2756" t="s">
        <v>12</v>
      </c>
      <c r="D2756" t="s">
        <v>14</v>
      </c>
      <c r="E2756">
        <v>0.99378881987577605</v>
      </c>
      <c r="F2756">
        <v>0.99359500324608596</v>
      </c>
      <c r="G2756">
        <v>37.060495138168299</v>
      </c>
      <c r="H2756">
        <v>12</v>
      </c>
      <c r="I2756">
        <v>12</v>
      </c>
      <c r="J2756">
        <v>30</v>
      </c>
    </row>
    <row r="2757" spans="1:10" x14ac:dyDescent="0.25">
      <c r="A2757" t="s">
        <v>23</v>
      </c>
      <c r="B2757" t="s">
        <v>19</v>
      </c>
      <c r="C2757" t="s">
        <v>12</v>
      </c>
      <c r="D2757" t="s">
        <v>14</v>
      </c>
      <c r="E2757">
        <v>1</v>
      </c>
      <c r="F2757">
        <v>0.99957252038260802</v>
      </c>
      <c r="G2757">
        <v>37.217799425125101</v>
      </c>
      <c r="H2757">
        <v>13</v>
      </c>
      <c r="I2757">
        <v>13</v>
      </c>
      <c r="J2757">
        <v>30</v>
      </c>
    </row>
    <row r="2758" spans="1:10" x14ac:dyDescent="0.25">
      <c r="A2758" t="s">
        <v>23</v>
      </c>
      <c r="B2758" t="s">
        <v>19</v>
      </c>
      <c r="C2758" t="s">
        <v>12</v>
      </c>
      <c r="D2758" t="s">
        <v>14</v>
      </c>
      <c r="E2758">
        <v>0.99875776397515503</v>
      </c>
      <c r="F2758">
        <v>0.99774744395701798</v>
      </c>
      <c r="G2758">
        <v>37.126809358596802</v>
      </c>
      <c r="H2758">
        <v>13</v>
      </c>
      <c r="I2758">
        <v>13</v>
      </c>
      <c r="J2758">
        <v>30</v>
      </c>
    </row>
    <row r="2759" spans="1:10" x14ac:dyDescent="0.25">
      <c r="A2759" t="s">
        <v>23</v>
      </c>
      <c r="B2759" t="s">
        <v>19</v>
      </c>
      <c r="C2759" t="s">
        <v>12</v>
      </c>
      <c r="D2759" t="s">
        <v>14</v>
      </c>
      <c r="E2759">
        <v>0.99875776397515503</v>
      </c>
      <c r="F2759">
        <v>0.99841345781167701</v>
      </c>
      <c r="G2759">
        <v>37.746338367462101</v>
      </c>
      <c r="H2759">
        <v>15</v>
      </c>
      <c r="I2759">
        <v>15</v>
      </c>
      <c r="J2759">
        <v>30</v>
      </c>
    </row>
    <row r="2760" spans="1:10" x14ac:dyDescent="0.25">
      <c r="A2760" t="s">
        <v>23</v>
      </c>
      <c r="B2760" t="s">
        <v>19</v>
      </c>
      <c r="C2760" t="s">
        <v>12</v>
      </c>
      <c r="D2760" t="s">
        <v>14</v>
      </c>
      <c r="E2760">
        <v>0.99875776397515503</v>
      </c>
      <c r="F2760">
        <v>0.99913011465180102</v>
      </c>
      <c r="G2760">
        <v>37.757684946060103</v>
      </c>
      <c r="H2760">
        <v>15</v>
      </c>
      <c r="I2760">
        <v>15</v>
      </c>
      <c r="J2760">
        <v>30</v>
      </c>
    </row>
    <row r="2761" spans="1:10" x14ac:dyDescent="0.25">
      <c r="A2761" t="s">
        <v>23</v>
      </c>
      <c r="B2761" t="s">
        <v>19</v>
      </c>
      <c r="C2761" t="s">
        <v>12</v>
      </c>
      <c r="D2761" t="s">
        <v>14</v>
      </c>
      <c r="E2761">
        <v>0.99751552795030995</v>
      </c>
      <c r="F2761">
        <v>0.99712337209552704</v>
      </c>
      <c r="G2761">
        <v>37.6757328510284</v>
      </c>
      <c r="H2761">
        <v>13</v>
      </c>
      <c r="I2761">
        <v>13</v>
      </c>
      <c r="J2761">
        <v>30</v>
      </c>
    </row>
    <row r="2762" spans="1:10" x14ac:dyDescent="0.25">
      <c r="A2762" t="s">
        <v>23</v>
      </c>
      <c r="B2762" t="s">
        <v>19</v>
      </c>
      <c r="C2762" t="s">
        <v>12</v>
      </c>
      <c r="D2762" t="s">
        <v>15</v>
      </c>
      <c r="E2762">
        <v>0</v>
      </c>
      <c r="F2762">
        <v>0.75</v>
      </c>
      <c r="G2762">
        <v>55.1715278625488</v>
      </c>
      <c r="H2762">
        <v>0</v>
      </c>
      <c r="I2762">
        <v>0</v>
      </c>
      <c r="J2762">
        <v>30</v>
      </c>
    </row>
    <row r="2763" spans="1:10" x14ac:dyDescent="0.25">
      <c r="A2763" t="s">
        <v>23</v>
      </c>
      <c r="B2763" t="s">
        <v>19</v>
      </c>
      <c r="C2763" t="s">
        <v>12</v>
      </c>
      <c r="D2763" t="s">
        <v>15</v>
      </c>
      <c r="E2763">
        <v>0</v>
      </c>
      <c r="F2763">
        <v>0.75</v>
      </c>
      <c r="G2763">
        <v>56.810677289962698</v>
      </c>
      <c r="H2763">
        <v>0</v>
      </c>
      <c r="I2763">
        <v>0</v>
      </c>
      <c r="J2763">
        <v>30</v>
      </c>
    </row>
    <row r="2764" spans="1:10" x14ac:dyDescent="0.25">
      <c r="A2764" t="s">
        <v>23</v>
      </c>
      <c r="B2764" t="s">
        <v>19</v>
      </c>
      <c r="C2764" t="s">
        <v>12</v>
      </c>
      <c r="D2764" t="s">
        <v>15</v>
      </c>
      <c r="E2764">
        <v>0</v>
      </c>
      <c r="F2764">
        <v>0.75</v>
      </c>
      <c r="G2764">
        <v>58.488982915878204</v>
      </c>
      <c r="H2764">
        <v>0</v>
      </c>
      <c r="I2764">
        <v>0</v>
      </c>
      <c r="J2764">
        <v>30</v>
      </c>
    </row>
    <row r="2765" spans="1:10" x14ac:dyDescent="0.25">
      <c r="A2765" t="s">
        <v>23</v>
      </c>
      <c r="B2765" t="s">
        <v>19</v>
      </c>
      <c r="C2765" t="s">
        <v>12</v>
      </c>
      <c r="D2765" t="s">
        <v>15</v>
      </c>
      <c r="E2765">
        <v>0</v>
      </c>
      <c r="F2765">
        <v>0.75</v>
      </c>
      <c r="G2765">
        <v>58.732888221740701</v>
      </c>
      <c r="H2765">
        <v>0</v>
      </c>
      <c r="I2765">
        <v>0</v>
      </c>
      <c r="J2765">
        <v>30</v>
      </c>
    </row>
    <row r="2766" spans="1:10" x14ac:dyDescent="0.25">
      <c r="A2766" t="s">
        <v>23</v>
      </c>
      <c r="B2766" t="s">
        <v>19</v>
      </c>
      <c r="C2766" t="s">
        <v>12</v>
      </c>
      <c r="D2766" t="s">
        <v>15</v>
      </c>
      <c r="E2766">
        <v>0</v>
      </c>
      <c r="F2766">
        <v>0.75</v>
      </c>
      <c r="G2766">
        <v>58.5610480308532</v>
      </c>
      <c r="H2766">
        <v>0</v>
      </c>
      <c r="I2766">
        <v>0</v>
      </c>
      <c r="J2766">
        <v>30</v>
      </c>
    </row>
    <row r="2767" spans="1:10" x14ac:dyDescent="0.25">
      <c r="A2767" t="s">
        <v>23</v>
      </c>
      <c r="B2767" t="s">
        <v>19</v>
      </c>
      <c r="C2767" t="s">
        <v>12</v>
      </c>
      <c r="D2767" t="s">
        <v>15</v>
      </c>
      <c r="E2767">
        <v>0</v>
      </c>
      <c r="F2767">
        <v>0.75</v>
      </c>
      <c r="G2767">
        <v>59.282278537750202</v>
      </c>
      <c r="H2767">
        <v>0</v>
      </c>
      <c r="I2767">
        <v>0</v>
      </c>
      <c r="J2767">
        <v>30</v>
      </c>
    </row>
    <row r="2768" spans="1:10" x14ac:dyDescent="0.25">
      <c r="A2768" t="s">
        <v>23</v>
      </c>
      <c r="B2768" t="s">
        <v>19</v>
      </c>
      <c r="C2768" t="s">
        <v>12</v>
      </c>
      <c r="D2768" t="s">
        <v>15</v>
      </c>
      <c r="E2768">
        <v>0</v>
      </c>
      <c r="F2768">
        <v>0.75</v>
      </c>
      <c r="G2768">
        <v>59.672983884811401</v>
      </c>
      <c r="H2768">
        <v>0</v>
      </c>
      <c r="I2768">
        <v>0</v>
      </c>
      <c r="J2768">
        <v>30</v>
      </c>
    </row>
    <row r="2769" spans="1:10" x14ac:dyDescent="0.25">
      <c r="A2769" t="s">
        <v>23</v>
      </c>
      <c r="B2769" t="s">
        <v>19</v>
      </c>
      <c r="C2769" t="s">
        <v>12</v>
      </c>
      <c r="D2769" t="s">
        <v>15</v>
      </c>
      <c r="E2769">
        <v>0</v>
      </c>
      <c r="F2769">
        <v>0.75</v>
      </c>
      <c r="G2769">
        <v>59.217807054519596</v>
      </c>
      <c r="H2769">
        <v>0</v>
      </c>
      <c r="I2769">
        <v>0</v>
      </c>
      <c r="J2769">
        <v>30</v>
      </c>
    </row>
    <row r="2770" spans="1:10" x14ac:dyDescent="0.25">
      <c r="A2770" t="s">
        <v>23</v>
      </c>
      <c r="B2770" t="s">
        <v>19</v>
      </c>
      <c r="C2770" t="s">
        <v>12</v>
      </c>
      <c r="D2770" t="s">
        <v>15</v>
      </c>
      <c r="E2770">
        <v>0</v>
      </c>
      <c r="F2770">
        <v>0.75</v>
      </c>
      <c r="G2770">
        <v>60.452282667159999</v>
      </c>
      <c r="H2770">
        <v>0</v>
      </c>
      <c r="I2770">
        <v>0</v>
      </c>
      <c r="J2770">
        <v>30</v>
      </c>
    </row>
    <row r="2771" spans="1:10" x14ac:dyDescent="0.25">
      <c r="A2771" t="s">
        <v>23</v>
      </c>
      <c r="B2771" t="s">
        <v>19</v>
      </c>
      <c r="C2771" t="s">
        <v>12</v>
      </c>
      <c r="D2771" t="s">
        <v>15</v>
      </c>
      <c r="E2771">
        <v>0</v>
      </c>
      <c r="F2771">
        <v>0.75</v>
      </c>
      <c r="G2771">
        <v>60.784059286117497</v>
      </c>
      <c r="H2771">
        <v>0</v>
      </c>
      <c r="I2771">
        <v>0</v>
      </c>
      <c r="J2771">
        <v>30</v>
      </c>
    </row>
    <row r="2772" spans="1:10" x14ac:dyDescent="0.25">
      <c r="A2772" t="s">
        <v>23</v>
      </c>
      <c r="B2772" t="s">
        <v>19</v>
      </c>
      <c r="C2772" t="s">
        <v>12</v>
      </c>
      <c r="D2772" t="s">
        <v>15</v>
      </c>
      <c r="E2772">
        <v>0</v>
      </c>
      <c r="F2772">
        <v>0.75</v>
      </c>
      <c r="G2772">
        <v>61.338072538375798</v>
      </c>
      <c r="H2772">
        <v>0</v>
      </c>
      <c r="I2772">
        <v>0</v>
      </c>
      <c r="J2772">
        <v>30</v>
      </c>
    </row>
    <row r="2773" spans="1:10" x14ac:dyDescent="0.25">
      <c r="A2773" t="s">
        <v>23</v>
      </c>
      <c r="B2773" t="s">
        <v>19</v>
      </c>
      <c r="C2773" t="s">
        <v>12</v>
      </c>
      <c r="D2773" t="s">
        <v>15</v>
      </c>
      <c r="E2773">
        <v>0</v>
      </c>
      <c r="F2773">
        <v>0.75</v>
      </c>
      <c r="G2773">
        <v>61.340987682342501</v>
      </c>
      <c r="H2773">
        <v>0</v>
      </c>
      <c r="I2773">
        <v>0</v>
      </c>
      <c r="J2773">
        <v>30</v>
      </c>
    </row>
    <row r="2774" spans="1:10" x14ac:dyDescent="0.25">
      <c r="A2774" t="s">
        <v>23</v>
      </c>
      <c r="B2774" t="s">
        <v>19</v>
      </c>
      <c r="C2774" t="s">
        <v>12</v>
      </c>
      <c r="D2774" t="s">
        <v>15</v>
      </c>
      <c r="E2774">
        <v>0</v>
      </c>
      <c r="F2774">
        <v>0.75</v>
      </c>
      <c r="G2774">
        <v>61.822363853454497</v>
      </c>
      <c r="H2774">
        <v>0</v>
      </c>
      <c r="I2774">
        <v>0</v>
      </c>
      <c r="J2774">
        <v>30</v>
      </c>
    </row>
    <row r="2775" spans="1:10" x14ac:dyDescent="0.25">
      <c r="A2775" t="s">
        <v>23</v>
      </c>
      <c r="B2775" t="s">
        <v>19</v>
      </c>
      <c r="C2775" t="s">
        <v>12</v>
      </c>
      <c r="D2775" t="s">
        <v>15</v>
      </c>
      <c r="E2775">
        <v>0</v>
      </c>
      <c r="F2775">
        <v>0.75</v>
      </c>
      <c r="G2775">
        <v>62.187211751937802</v>
      </c>
      <c r="H2775">
        <v>0</v>
      </c>
      <c r="I2775">
        <v>0</v>
      </c>
      <c r="J2775">
        <v>30</v>
      </c>
    </row>
    <row r="2776" spans="1:10" x14ac:dyDescent="0.25">
      <c r="A2776" t="s">
        <v>23</v>
      </c>
      <c r="B2776" t="s">
        <v>19</v>
      </c>
      <c r="C2776" t="s">
        <v>12</v>
      </c>
      <c r="D2776" t="s">
        <v>15</v>
      </c>
      <c r="E2776">
        <v>0</v>
      </c>
      <c r="F2776">
        <v>0.75</v>
      </c>
      <c r="G2776">
        <v>62.320924520492497</v>
      </c>
      <c r="H2776">
        <v>0</v>
      </c>
      <c r="I2776">
        <v>0</v>
      </c>
      <c r="J2776">
        <v>30</v>
      </c>
    </row>
    <row r="2777" spans="1:10" x14ac:dyDescent="0.25">
      <c r="A2777" t="s">
        <v>23</v>
      </c>
      <c r="B2777" t="s">
        <v>19</v>
      </c>
      <c r="C2777" t="s">
        <v>12</v>
      </c>
      <c r="D2777" t="s">
        <v>15</v>
      </c>
      <c r="E2777">
        <v>0</v>
      </c>
      <c r="F2777">
        <v>0.75</v>
      </c>
      <c r="G2777">
        <v>62.529552459716797</v>
      </c>
      <c r="H2777">
        <v>0</v>
      </c>
      <c r="I2777">
        <v>0</v>
      </c>
      <c r="J2777">
        <v>30</v>
      </c>
    </row>
    <row r="2778" spans="1:10" x14ac:dyDescent="0.25">
      <c r="A2778" t="s">
        <v>23</v>
      </c>
      <c r="B2778" t="s">
        <v>19</v>
      </c>
      <c r="C2778" t="s">
        <v>12</v>
      </c>
      <c r="D2778" t="s">
        <v>15</v>
      </c>
      <c r="E2778">
        <v>0</v>
      </c>
      <c r="F2778">
        <v>0.75</v>
      </c>
      <c r="G2778">
        <v>62.843543529510498</v>
      </c>
      <c r="H2778">
        <v>0</v>
      </c>
      <c r="I2778">
        <v>0</v>
      </c>
      <c r="J2778">
        <v>30</v>
      </c>
    </row>
    <row r="2779" spans="1:10" x14ac:dyDescent="0.25">
      <c r="A2779" t="s">
        <v>23</v>
      </c>
      <c r="B2779" t="s">
        <v>19</v>
      </c>
      <c r="C2779" t="s">
        <v>12</v>
      </c>
      <c r="D2779" t="s">
        <v>15</v>
      </c>
      <c r="E2779">
        <v>0</v>
      </c>
      <c r="F2779">
        <v>0.75</v>
      </c>
      <c r="G2779">
        <v>62.9555566310882</v>
      </c>
      <c r="H2779">
        <v>0</v>
      </c>
      <c r="I2779">
        <v>0</v>
      </c>
      <c r="J2779">
        <v>30</v>
      </c>
    </row>
    <row r="2780" spans="1:10" x14ac:dyDescent="0.25">
      <c r="A2780" t="s">
        <v>23</v>
      </c>
      <c r="B2780" t="s">
        <v>19</v>
      </c>
      <c r="C2780" t="s">
        <v>12</v>
      </c>
      <c r="D2780" t="s">
        <v>15</v>
      </c>
      <c r="E2780">
        <v>0</v>
      </c>
      <c r="F2780">
        <v>0.75</v>
      </c>
      <c r="G2780">
        <v>63.441914319992001</v>
      </c>
      <c r="H2780">
        <v>0</v>
      </c>
      <c r="I2780">
        <v>0</v>
      </c>
      <c r="J2780">
        <v>30</v>
      </c>
    </row>
    <row r="2781" spans="1:10" x14ac:dyDescent="0.25">
      <c r="A2781" t="s">
        <v>23</v>
      </c>
      <c r="B2781" t="s">
        <v>19</v>
      </c>
      <c r="C2781" t="s">
        <v>12</v>
      </c>
      <c r="D2781" t="s">
        <v>15</v>
      </c>
      <c r="E2781">
        <v>0</v>
      </c>
      <c r="F2781">
        <v>0.75</v>
      </c>
      <c r="G2781">
        <v>63.529043436050401</v>
      </c>
      <c r="H2781">
        <v>0</v>
      </c>
      <c r="I2781">
        <v>0</v>
      </c>
      <c r="J2781">
        <v>30</v>
      </c>
    </row>
    <row r="2782" spans="1:10" x14ac:dyDescent="0.25">
      <c r="A2782" t="s">
        <v>23</v>
      </c>
      <c r="B2782" t="s">
        <v>19</v>
      </c>
      <c r="C2782" t="s">
        <v>12</v>
      </c>
      <c r="D2782" t="s">
        <v>15</v>
      </c>
      <c r="E2782">
        <v>0</v>
      </c>
      <c r="F2782">
        <v>0.75</v>
      </c>
      <c r="G2782">
        <v>64.4536385536193</v>
      </c>
      <c r="H2782">
        <v>0</v>
      </c>
      <c r="I2782">
        <v>0</v>
      </c>
      <c r="J2782">
        <v>30</v>
      </c>
    </row>
    <row r="2783" spans="1:10" x14ac:dyDescent="0.25">
      <c r="A2783" t="s">
        <v>23</v>
      </c>
      <c r="B2783" t="s">
        <v>19</v>
      </c>
      <c r="C2783" t="s">
        <v>12</v>
      </c>
      <c r="D2783" t="s">
        <v>15</v>
      </c>
      <c r="E2783">
        <v>0</v>
      </c>
      <c r="F2783">
        <v>0.75</v>
      </c>
      <c r="G2783">
        <v>64.879770278930593</v>
      </c>
      <c r="H2783">
        <v>0</v>
      </c>
      <c r="I2783">
        <v>0</v>
      </c>
      <c r="J2783">
        <v>30</v>
      </c>
    </row>
    <row r="2784" spans="1:10" x14ac:dyDescent="0.25">
      <c r="A2784" t="s">
        <v>23</v>
      </c>
      <c r="B2784" t="s">
        <v>19</v>
      </c>
      <c r="C2784" t="s">
        <v>12</v>
      </c>
      <c r="D2784" t="s">
        <v>15</v>
      </c>
      <c r="E2784">
        <v>0</v>
      </c>
      <c r="F2784">
        <v>0.75</v>
      </c>
      <c r="G2784">
        <v>65.013185501098604</v>
      </c>
      <c r="H2784">
        <v>0</v>
      </c>
      <c r="I2784">
        <v>0</v>
      </c>
      <c r="J2784">
        <v>30</v>
      </c>
    </row>
    <row r="2785" spans="1:10" x14ac:dyDescent="0.25">
      <c r="A2785" t="s">
        <v>23</v>
      </c>
      <c r="B2785" t="s">
        <v>19</v>
      </c>
      <c r="C2785" t="s">
        <v>12</v>
      </c>
      <c r="D2785" t="s">
        <v>15</v>
      </c>
      <c r="E2785">
        <v>0</v>
      </c>
      <c r="F2785">
        <v>0.75</v>
      </c>
      <c r="G2785">
        <v>65.409189224243093</v>
      </c>
      <c r="H2785">
        <v>0</v>
      </c>
      <c r="I2785">
        <v>0</v>
      </c>
      <c r="J2785">
        <v>30</v>
      </c>
    </row>
    <row r="2786" spans="1:10" x14ac:dyDescent="0.25">
      <c r="A2786" t="s">
        <v>23</v>
      </c>
      <c r="B2786" t="s">
        <v>19</v>
      </c>
      <c r="C2786" t="s">
        <v>12</v>
      </c>
      <c r="D2786" t="s">
        <v>15</v>
      </c>
      <c r="E2786">
        <v>0</v>
      </c>
      <c r="F2786">
        <v>0.75</v>
      </c>
      <c r="G2786">
        <v>69.215726375579806</v>
      </c>
      <c r="H2786">
        <v>0</v>
      </c>
      <c r="I2786">
        <v>0</v>
      </c>
      <c r="J2786">
        <v>30</v>
      </c>
    </row>
    <row r="2787" spans="1:10" x14ac:dyDescent="0.25">
      <c r="A2787" t="s">
        <v>23</v>
      </c>
      <c r="B2787" t="s">
        <v>19</v>
      </c>
      <c r="C2787" t="s">
        <v>12</v>
      </c>
      <c r="D2787" t="s">
        <v>15</v>
      </c>
      <c r="E2787">
        <v>0</v>
      </c>
      <c r="F2787">
        <v>0.75</v>
      </c>
      <c r="G2787">
        <v>70.059072494506793</v>
      </c>
      <c r="H2787">
        <v>0</v>
      </c>
      <c r="I2787">
        <v>0</v>
      </c>
      <c r="J2787">
        <v>30</v>
      </c>
    </row>
    <row r="2788" spans="1:10" x14ac:dyDescent="0.25">
      <c r="A2788" t="s">
        <v>23</v>
      </c>
      <c r="B2788" t="s">
        <v>19</v>
      </c>
      <c r="C2788" t="s">
        <v>12</v>
      </c>
      <c r="D2788" t="s">
        <v>15</v>
      </c>
      <c r="E2788">
        <v>0</v>
      </c>
      <c r="F2788">
        <v>0.75</v>
      </c>
      <c r="G2788">
        <v>70.051494836807194</v>
      </c>
      <c r="H2788">
        <v>0</v>
      </c>
      <c r="I2788">
        <v>0</v>
      </c>
      <c r="J2788">
        <v>30</v>
      </c>
    </row>
    <row r="2789" spans="1:10" x14ac:dyDescent="0.25">
      <c r="A2789" t="s">
        <v>23</v>
      </c>
      <c r="B2789" t="s">
        <v>19</v>
      </c>
      <c r="C2789" t="s">
        <v>12</v>
      </c>
      <c r="D2789" t="s">
        <v>15</v>
      </c>
      <c r="E2789">
        <v>0</v>
      </c>
      <c r="F2789">
        <v>0.75</v>
      </c>
      <c r="G2789">
        <v>70.016987562179494</v>
      </c>
      <c r="H2789">
        <v>0</v>
      </c>
      <c r="I2789">
        <v>0</v>
      </c>
      <c r="J2789">
        <v>30</v>
      </c>
    </row>
    <row r="2790" spans="1:10" x14ac:dyDescent="0.25">
      <c r="A2790" t="s">
        <v>23</v>
      </c>
      <c r="B2790" t="s">
        <v>19</v>
      </c>
      <c r="C2790" t="s">
        <v>12</v>
      </c>
      <c r="D2790" t="s">
        <v>15</v>
      </c>
      <c r="E2790">
        <v>0</v>
      </c>
      <c r="F2790">
        <v>0.75</v>
      </c>
      <c r="G2790">
        <v>70.0679705142974</v>
      </c>
      <c r="H2790">
        <v>0</v>
      </c>
      <c r="I2790">
        <v>0</v>
      </c>
      <c r="J2790">
        <v>30</v>
      </c>
    </row>
    <row r="2791" spans="1:10" x14ac:dyDescent="0.25">
      <c r="A2791" t="s">
        <v>23</v>
      </c>
      <c r="B2791" t="s">
        <v>19</v>
      </c>
      <c r="C2791" t="s">
        <v>12</v>
      </c>
      <c r="D2791" t="s">
        <v>15</v>
      </c>
      <c r="E2791">
        <v>0</v>
      </c>
      <c r="F2791">
        <v>0.75</v>
      </c>
      <c r="G2791">
        <v>70.516915559768606</v>
      </c>
      <c r="H2791">
        <v>0</v>
      </c>
      <c r="I2791">
        <v>0</v>
      </c>
      <c r="J2791">
        <v>30</v>
      </c>
    </row>
    <row r="2792" spans="1:10" x14ac:dyDescent="0.25">
      <c r="A2792" t="s">
        <v>23</v>
      </c>
      <c r="B2792" t="s">
        <v>19</v>
      </c>
      <c r="C2792" t="s">
        <v>12</v>
      </c>
      <c r="D2792" t="s">
        <v>16</v>
      </c>
      <c r="E2792">
        <v>0</v>
      </c>
      <c r="F2792">
        <v>0.75</v>
      </c>
      <c r="G2792">
        <v>23.514475584030102</v>
      </c>
      <c r="H2792">
        <v>0</v>
      </c>
      <c r="I2792">
        <v>0</v>
      </c>
      <c r="J2792">
        <v>30</v>
      </c>
    </row>
    <row r="2793" spans="1:10" x14ac:dyDescent="0.25">
      <c r="A2793" t="s">
        <v>23</v>
      </c>
      <c r="B2793" t="s">
        <v>19</v>
      </c>
      <c r="C2793" t="s">
        <v>12</v>
      </c>
      <c r="D2793" t="s">
        <v>16</v>
      </c>
      <c r="E2793">
        <v>0</v>
      </c>
      <c r="F2793">
        <v>0.75</v>
      </c>
      <c r="G2793">
        <v>24.796379804611199</v>
      </c>
      <c r="H2793">
        <v>0</v>
      </c>
      <c r="I2793">
        <v>0</v>
      </c>
      <c r="J2793">
        <v>30</v>
      </c>
    </row>
    <row r="2794" spans="1:10" x14ac:dyDescent="0.25">
      <c r="A2794" t="s">
        <v>23</v>
      </c>
      <c r="B2794" t="s">
        <v>19</v>
      </c>
      <c r="C2794" t="s">
        <v>12</v>
      </c>
      <c r="D2794" t="s">
        <v>16</v>
      </c>
      <c r="E2794">
        <v>0</v>
      </c>
      <c r="F2794">
        <v>0.75</v>
      </c>
      <c r="G2794">
        <v>26.775312900543199</v>
      </c>
      <c r="H2794">
        <v>0</v>
      </c>
      <c r="I2794">
        <v>0</v>
      </c>
      <c r="J2794">
        <v>30</v>
      </c>
    </row>
    <row r="2795" spans="1:10" x14ac:dyDescent="0.25">
      <c r="A2795" t="s">
        <v>23</v>
      </c>
      <c r="B2795" t="s">
        <v>19</v>
      </c>
      <c r="C2795" t="s">
        <v>12</v>
      </c>
      <c r="D2795" t="s">
        <v>16</v>
      </c>
      <c r="E2795">
        <v>0</v>
      </c>
      <c r="F2795">
        <v>0.75</v>
      </c>
      <c r="G2795">
        <v>27.327864170074399</v>
      </c>
      <c r="H2795">
        <v>0</v>
      </c>
      <c r="I2795">
        <v>0</v>
      </c>
      <c r="J2795">
        <v>30</v>
      </c>
    </row>
    <row r="2796" spans="1:10" x14ac:dyDescent="0.25">
      <c r="A2796" t="s">
        <v>23</v>
      </c>
      <c r="B2796" t="s">
        <v>19</v>
      </c>
      <c r="C2796" t="s">
        <v>12</v>
      </c>
      <c r="D2796" t="s">
        <v>16</v>
      </c>
      <c r="E2796">
        <v>0</v>
      </c>
      <c r="F2796">
        <v>0.75</v>
      </c>
      <c r="G2796">
        <v>27.747995138168299</v>
      </c>
      <c r="H2796">
        <v>0</v>
      </c>
      <c r="I2796">
        <v>0</v>
      </c>
      <c r="J2796">
        <v>30</v>
      </c>
    </row>
    <row r="2797" spans="1:10" x14ac:dyDescent="0.25">
      <c r="A2797" t="s">
        <v>23</v>
      </c>
      <c r="B2797" t="s">
        <v>19</v>
      </c>
      <c r="C2797" t="s">
        <v>12</v>
      </c>
      <c r="D2797" t="s">
        <v>16</v>
      </c>
      <c r="E2797">
        <v>0</v>
      </c>
      <c r="F2797">
        <v>0.75</v>
      </c>
      <c r="G2797">
        <v>27.6457550525665</v>
      </c>
      <c r="H2797">
        <v>0</v>
      </c>
      <c r="I2797">
        <v>0</v>
      </c>
      <c r="J2797">
        <v>30</v>
      </c>
    </row>
    <row r="2798" spans="1:10" x14ac:dyDescent="0.25">
      <c r="A2798" t="s">
        <v>23</v>
      </c>
      <c r="B2798" t="s">
        <v>19</v>
      </c>
      <c r="C2798" t="s">
        <v>12</v>
      </c>
      <c r="D2798" t="s">
        <v>16</v>
      </c>
      <c r="E2798">
        <v>0</v>
      </c>
      <c r="F2798">
        <v>0.75</v>
      </c>
      <c r="G2798">
        <v>27.742768049240102</v>
      </c>
      <c r="H2798">
        <v>0</v>
      </c>
      <c r="I2798">
        <v>0</v>
      </c>
      <c r="J2798">
        <v>30</v>
      </c>
    </row>
    <row r="2799" spans="1:10" x14ac:dyDescent="0.25">
      <c r="A2799" t="s">
        <v>23</v>
      </c>
      <c r="B2799" t="s">
        <v>19</v>
      </c>
      <c r="C2799" t="s">
        <v>12</v>
      </c>
      <c r="D2799" t="s">
        <v>16</v>
      </c>
      <c r="E2799">
        <v>0</v>
      </c>
      <c r="F2799">
        <v>0.75</v>
      </c>
      <c r="G2799">
        <v>27.938552618026701</v>
      </c>
      <c r="H2799">
        <v>0</v>
      </c>
      <c r="I2799">
        <v>0</v>
      </c>
      <c r="J2799">
        <v>30</v>
      </c>
    </row>
    <row r="2800" spans="1:10" x14ac:dyDescent="0.25">
      <c r="A2800" t="s">
        <v>23</v>
      </c>
      <c r="B2800" t="s">
        <v>19</v>
      </c>
      <c r="C2800" t="s">
        <v>12</v>
      </c>
      <c r="D2800" t="s">
        <v>16</v>
      </c>
      <c r="E2800">
        <v>0</v>
      </c>
      <c r="F2800">
        <v>0.75</v>
      </c>
      <c r="G2800">
        <v>28.0548479557037</v>
      </c>
      <c r="H2800">
        <v>0</v>
      </c>
      <c r="I2800">
        <v>0</v>
      </c>
      <c r="J2800">
        <v>30</v>
      </c>
    </row>
    <row r="2801" spans="1:10" x14ac:dyDescent="0.25">
      <c r="A2801" t="s">
        <v>23</v>
      </c>
      <c r="B2801" t="s">
        <v>19</v>
      </c>
      <c r="C2801" t="s">
        <v>12</v>
      </c>
      <c r="D2801" t="s">
        <v>16</v>
      </c>
      <c r="E2801">
        <v>0</v>
      </c>
      <c r="F2801">
        <v>0.75</v>
      </c>
      <c r="G2801">
        <v>28.468093395233101</v>
      </c>
      <c r="H2801">
        <v>0</v>
      </c>
      <c r="I2801">
        <v>0</v>
      </c>
      <c r="J2801">
        <v>30</v>
      </c>
    </row>
    <row r="2802" spans="1:10" x14ac:dyDescent="0.25">
      <c r="A2802" t="s">
        <v>23</v>
      </c>
      <c r="B2802" t="s">
        <v>19</v>
      </c>
      <c r="C2802" t="s">
        <v>12</v>
      </c>
      <c r="D2802" t="s">
        <v>16</v>
      </c>
      <c r="E2802">
        <v>0</v>
      </c>
      <c r="F2802">
        <v>0.75</v>
      </c>
      <c r="G2802">
        <v>28.7789933681488</v>
      </c>
      <c r="H2802">
        <v>0</v>
      </c>
      <c r="I2802">
        <v>0</v>
      </c>
      <c r="J2802">
        <v>30</v>
      </c>
    </row>
    <row r="2803" spans="1:10" x14ac:dyDescent="0.25">
      <c r="A2803" t="s">
        <v>23</v>
      </c>
      <c r="B2803" t="s">
        <v>19</v>
      </c>
      <c r="C2803" t="s">
        <v>12</v>
      </c>
      <c r="D2803" t="s">
        <v>16</v>
      </c>
      <c r="E2803">
        <v>0</v>
      </c>
      <c r="F2803">
        <v>0.75</v>
      </c>
      <c r="G2803">
        <v>28.469394445419301</v>
      </c>
      <c r="H2803">
        <v>0</v>
      </c>
      <c r="I2803">
        <v>0</v>
      </c>
      <c r="J2803">
        <v>30</v>
      </c>
    </row>
    <row r="2804" spans="1:10" x14ac:dyDescent="0.25">
      <c r="A2804" t="s">
        <v>23</v>
      </c>
      <c r="B2804" t="s">
        <v>19</v>
      </c>
      <c r="C2804" t="s">
        <v>12</v>
      </c>
      <c r="D2804" t="s">
        <v>16</v>
      </c>
      <c r="E2804">
        <v>0</v>
      </c>
      <c r="F2804">
        <v>0.75</v>
      </c>
      <c r="G2804">
        <v>28.906911611557</v>
      </c>
      <c r="H2804">
        <v>0</v>
      </c>
      <c r="I2804">
        <v>0</v>
      </c>
      <c r="J2804">
        <v>30</v>
      </c>
    </row>
    <row r="2805" spans="1:10" x14ac:dyDescent="0.25">
      <c r="A2805" t="s">
        <v>23</v>
      </c>
      <c r="B2805" t="s">
        <v>19</v>
      </c>
      <c r="C2805" t="s">
        <v>12</v>
      </c>
      <c r="D2805" t="s">
        <v>16</v>
      </c>
      <c r="E2805">
        <v>0</v>
      </c>
      <c r="F2805">
        <v>0.75</v>
      </c>
      <c r="G2805">
        <v>29.2443447113037</v>
      </c>
      <c r="H2805">
        <v>0</v>
      </c>
      <c r="I2805">
        <v>0</v>
      </c>
      <c r="J2805">
        <v>30</v>
      </c>
    </row>
    <row r="2806" spans="1:10" x14ac:dyDescent="0.25">
      <c r="A2806" t="s">
        <v>23</v>
      </c>
      <c r="B2806" t="s">
        <v>19</v>
      </c>
      <c r="C2806" t="s">
        <v>12</v>
      </c>
      <c r="D2806" t="s">
        <v>16</v>
      </c>
      <c r="E2806">
        <v>0</v>
      </c>
      <c r="F2806">
        <v>0.75</v>
      </c>
      <c r="G2806">
        <v>29.290216922759999</v>
      </c>
      <c r="H2806">
        <v>0</v>
      </c>
      <c r="I2806">
        <v>0</v>
      </c>
      <c r="J2806">
        <v>30</v>
      </c>
    </row>
    <row r="2807" spans="1:10" x14ac:dyDescent="0.25">
      <c r="A2807" t="s">
        <v>23</v>
      </c>
      <c r="B2807" t="s">
        <v>19</v>
      </c>
      <c r="C2807" t="s">
        <v>12</v>
      </c>
      <c r="D2807" t="s">
        <v>16</v>
      </c>
      <c r="E2807">
        <v>0</v>
      </c>
      <c r="F2807">
        <v>0.75</v>
      </c>
      <c r="G2807">
        <v>29.0418121814727</v>
      </c>
      <c r="H2807">
        <v>0</v>
      </c>
      <c r="I2807">
        <v>0</v>
      </c>
      <c r="J2807">
        <v>30</v>
      </c>
    </row>
    <row r="2808" spans="1:10" x14ac:dyDescent="0.25">
      <c r="A2808" t="s">
        <v>23</v>
      </c>
      <c r="B2808" t="s">
        <v>19</v>
      </c>
      <c r="C2808" t="s">
        <v>12</v>
      </c>
      <c r="D2808" t="s">
        <v>16</v>
      </c>
      <c r="E2808">
        <v>0</v>
      </c>
      <c r="F2808">
        <v>0.75</v>
      </c>
      <c r="G2808">
        <v>29.260706424713099</v>
      </c>
      <c r="H2808">
        <v>0</v>
      </c>
      <c r="I2808">
        <v>0</v>
      </c>
      <c r="J2808">
        <v>30</v>
      </c>
    </row>
    <row r="2809" spans="1:10" x14ac:dyDescent="0.25">
      <c r="A2809" t="s">
        <v>23</v>
      </c>
      <c r="B2809" t="s">
        <v>19</v>
      </c>
      <c r="C2809" t="s">
        <v>12</v>
      </c>
      <c r="D2809" t="s">
        <v>16</v>
      </c>
      <c r="E2809">
        <v>0</v>
      </c>
      <c r="F2809">
        <v>0.75</v>
      </c>
      <c r="G2809">
        <v>29.247315168380698</v>
      </c>
      <c r="H2809">
        <v>0</v>
      </c>
      <c r="I2809">
        <v>0</v>
      </c>
      <c r="J2809">
        <v>30</v>
      </c>
    </row>
    <row r="2810" spans="1:10" x14ac:dyDescent="0.25">
      <c r="A2810" t="s">
        <v>23</v>
      </c>
      <c r="B2810" t="s">
        <v>19</v>
      </c>
      <c r="C2810" t="s">
        <v>12</v>
      </c>
      <c r="D2810" t="s">
        <v>16</v>
      </c>
      <c r="E2810">
        <v>0</v>
      </c>
      <c r="F2810">
        <v>0.75</v>
      </c>
      <c r="G2810">
        <v>29.448374748229899</v>
      </c>
      <c r="H2810">
        <v>0</v>
      </c>
      <c r="I2810">
        <v>0</v>
      </c>
      <c r="J2810">
        <v>30</v>
      </c>
    </row>
    <row r="2811" spans="1:10" x14ac:dyDescent="0.25">
      <c r="A2811" t="s">
        <v>23</v>
      </c>
      <c r="B2811" t="s">
        <v>19</v>
      </c>
      <c r="C2811" t="s">
        <v>12</v>
      </c>
      <c r="D2811" t="s">
        <v>16</v>
      </c>
      <c r="E2811">
        <v>0</v>
      </c>
      <c r="F2811">
        <v>0.75</v>
      </c>
      <c r="G2811">
        <v>29.4063816070556</v>
      </c>
      <c r="H2811">
        <v>0</v>
      </c>
      <c r="I2811">
        <v>0</v>
      </c>
      <c r="J2811">
        <v>30</v>
      </c>
    </row>
    <row r="2812" spans="1:10" x14ac:dyDescent="0.25">
      <c r="A2812" t="s">
        <v>23</v>
      </c>
      <c r="B2812" t="s">
        <v>19</v>
      </c>
      <c r="C2812" t="s">
        <v>12</v>
      </c>
      <c r="D2812" t="s">
        <v>16</v>
      </c>
      <c r="E2812">
        <v>0</v>
      </c>
      <c r="F2812">
        <v>0.75</v>
      </c>
      <c r="G2812">
        <v>29.356111764907801</v>
      </c>
      <c r="H2812">
        <v>0</v>
      </c>
      <c r="I2812">
        <v>0</v>
      </c>
      <c r="J2812">
        <v>30</v>
      </c>
    </row>
    <row r="2813" spans="1:10" x14ac:dyDescent="0.25">
      <c r="A2813" t="s">
        <v>23</v>
      </c>
      <c r="B2813" t="s">
        <v>19</v>
      </c>
      <c r="C2813" t="s">
        <v>12</v>
      </c>
      <c r="D2813" t="s">
        <v>16</v>
      </c>
      <c r="E2813">
        <v>0</v>
      </c>
      <c r="F2813">
        <v>0.75</v>
      </c>
      <c r="G2813">
        <v>29.3031666278839</v>
      </c>
      <c r="H2813">
        <v>0</v>
      </c>
      <c r="I2813">
        <v>0</v>
      </c>
      <c r="J2813">
        <v>30</v>
      </c>
    </row>
    <row r="2814" spans="1:10" x14ac:dyDescent="0.25">
      <c r="A2814" t="s">
        <v>23</v>
      </c>
      <c r="B2814" t="s">
        <v>19</v>
      </c>
      <c r="C2814" t="s">
        <v>12</v>
      </c>
      <c r="D2814" t="s">
        <v>16</v>
      </c>
      <c r="E2814">
        <v>0</v>
      </c>
      <c r="F2814">
        <v>0.75</v>
      </c>
      <c r="G2814">
        <v>29.722337722778299</v>
      </c>
      <c r="H2814">
        <v>0</v>
      </c>
      <c r="I2814">
        <v>0</v>
      </c>
      <c r="J2814">
        <v>30</v>
      </c>
    </row>
    <row r="2815" spans="1:10" x14ac:dyDescent="0.25">
      <c r="A2815" t="s">
        <v>23</v>
      </c>
      <c r="B2815" t="s">
        <v>19</v>
      </c>
      <c r="C2815" t="s">
        <v>12</v>
      </c>
      <c r="D2815" t="s">
        <v>16</v>
      </c>
      <c r="E2815">
        <v>0</v>
      </c>
      <c r="F2815">
        <v>0.75</v>
      </c>
      <c r="G2815">
        <v>29.437066555023101</v>
      </c>
      <c r="H2815">
        <v>0</v>
      </c>
      <c r="I2815">
        <v>0</v>
      </c>
      <c r="J2815">
        <v>30</v>
      </c>
    </row>
    <row r="2816" spans="1:10" x14ac:dyDescent="0.25">
      <c r="A2816" t="s">
        <v>23</v>
      </c>
      <c r="B2816" t="s">
        <v>19</v>
      </c>
      <c r="C2816" t="s">
        <v>12</v>
      </c>
      <c r="D2816" t="s">
        <v>16</v>
      </c>
      <c r="E2816">
        <v>0</v>
      </c>
      <c r="F2816">
        <v>0.75</v>
      </c>
      <c r="G2816">
        <v>29.869460821151701</v>
      </c>
      <c r="H2816">
        <v>0</v>
      </c>
      <c r="I2816">
        <v>0</v>
      </c>
      <c r="J2816">
        <v>30</v>
      </c>
    </row>
    <row r="2817" spans="1:10" x14ac:dyDescent="0.25">
      <c r="A2817" t="s">
        <v>23</v>
      </c>
      <c r="B2817" t="s">
        <v>19</v>
      </c>
      <c r="C2817" t="s">
        <v>12</v>
      </c>
      <c r="D2817" t="s">
        <v>16</v>
      </c>
      <c r="E2817">
        <v>0</v>
      </c>
      <c r="F2817">
        <v>0.75</v>
      </c>
      <c r="G2817">
        <v>29.833019971847499</v>
      </c>
      <c r="H2817">
        <v>0</v>
      </c>
      <c r="I2817">
        <v>0</v>
      </c>
      <c r="J2817">
        <v>30</v>
      </c>
    </row>
    <row r="2818" spans="1:10" x14ac:dyDescent="0.25">
      <c r="A2818" t="s">
        <v>23</v>
      </c>
      <c r="B2818" t="s">
        <v>19</v>
      </c>
      <c r="C2818" t="s">
        <v>12</v>
      </c>
      <c r="D2818" t="s">
        <v>16</v>
      </c>
      <c r="E2818">
        <v>0</v>
      </c>
      <c r="F2818">
        <v>0.75</v>
      </c>
      <c r="G2818">
        <v>29.963814735412502</v>
      </c>
      <c r="H2818">
        <v>0</v>
      </c>
      <c r="I2818">
        <v>0</v>
      </c>
      <c r="J2818">
        <v>30</v>
      </c>
    </row>
    <row r="2819" spans="1:10" x14ac:dyDescent="0.25">
      <c r="A2819" t="s">
        <v>23</v>
      </c>
      <c r="B2819" t="s">
        <v>19</v>
      </c>
      <c r="C2819" t="s">
        <v>12</v>
      </c>
      <c r="D2819" t="s">
        <v>16</v>
      </c>
      <c r="E2819">
        <v>0</v>
      </c>
      <c r="F2819">
        <v>0.75</v>
      </c>
      <c r="G2819">
        <v>29.795480012893599</v>
      </c>
      <c r="H2819">
        <v>0</v>
      </c>
      <c r="I2819">
        <v>0</v>
      </c>
      <c r="J2819">
        <v>30</v>
      </c>
    </row>
    <row r="2820" spans="1:10" x14ac:dyDescent="0.25">
      <c r="A2820" t="s">
        <v>23</v>
      </c>
      <c r="B2820" t="s">
        <v>19</v>
      </c>
      <c r="C2820" t="s">
        <v>12</v>
      </c>
      <c r="D2820" t="s">
        <v>16</v>
      </c>
      <c r="E2820">
        <v>0</v>
      </c>
      <c r="F2820">
        <v>0.75</v>
      </c>
      <c r="G2820">
        <v>29.838546752929599</v>
      </c>
      <c r="H2820">
        <v>0</v>
      </c>
      <c r="I2820">
        <v>0</v>
      </c>
      <c r="J2820">
        <v>30</v>
      </c>
    </row>
    <row r="2821" spans="1:10" x14ac:dyDescent="0.25">
      <c r="A2821" t="s">
        <v>23</v>
      </c>
      <c r="B2821" t="s">
        <v>19</v>
      </c>
      <c r="C2821" t="s">
        <v>12</v>
      </c>
      <c r="D2821" t="s">
        <v>16</v>
      </c>
      <c r="E2821">
        <v>0</v>
      </c>
      <c r="F2821">
        <v>0.75</v>
      </c>
      <c r="G2821">
        <v>30.110419273376401</v>
      </c>
      <c r="H2821">
        <v>0</v>
      </c>
      <c r="I2821">
        <v>0</v>
      </c>
      <c r="J2821">
        <v>30</v>
      </c>
    </row>
    <row r="2822" spans="1:10" x14ac:dyDescent="0.25">
      <c r="A2822" t="s">
        <v>23</v>
      </c>
      <c r="B2822" t="s">
        <v>19</v>
      </c>
      <c r="C2822" t="s">
        <v>12</v>
      </c>
      <c r="D2822" t="s">
        <v>17</v>
      </c>
      <c r="E2822">
        <v>2.3602484472049601E-2</v>
      </c>
      <c r="F2822">
        <v>0.75416469906521699</v>
      </c>
      <c r="G2822">
        <v>700.33803224563599</v>
      </c>
      <c r="H2822">
        <v>44</v>
      </c>
      <c r="I2822">
        <v>51</v>
      </c>
      <c r="J2822">
        <v>30</v>
      </c>
    </row>
    <row r="2823" spans="1:10" x14ac:dyDescent="0.25">
      <c r="A2823" t="s">
        <v>23</v>
      </c>
      <c r="B2823" t="s">
        <v>19</v>
      </c>
      <c r="C2823" t="s">
        <v>12</v>
      </c>
      <c r="D2823" t="s">
        <v>17</v>
      </c>
      <c r="E2823">
        <v>2.4844720496894401E-2</v>
      </c>
      <c r="F2823">
        <v>0.75352226242993703</v>
      </c>
      <c r="G2823">
        <v>888.484630584716</v>
      </c>
      <c r="H2823">
        <v>50</v>
      </c>
      <c r="I2823">
        <v>59</v>
      </c>
      <c r="J2823">
        <v>30</v>
      </c>
    </row>
    <row r="2824" spans="1:10" x14ac:dyDescent="0.25">
      <c r="A2824" t="s">
        <v>23</v>
      </c>
      <c r="B2824" t="s">
        <v>19</v>
      </c>
      <c r="C2824" t="s">
        <v>12</v>
      </c>
      <c r="D2824" t="s">
        <v>17</v>
      </c>
      <c r="E2824">
        <v>2.2360248447204901E-2</v>
      </c>
      <c r="F2824">
        <v>0.75277314871180101</v>
      </c>
      <c r="G2824">
        <v>906.411242008209</v>
      </c>
      <c r="H2824">
        <v>47</v>
      </c>
      <c r="I2824">
        <v>53</v>
      </c>
      <c r="J2824">
        <v>30</v>
      </c>
    </row>
    <row r="2825" spans="1:10" x14ac:dyDescent="0.25">
      <c r="A2825" t="s">
        <v>23</v>
      </c>
      <c r="B2825" t="s">
        <v>19</v>
      </c>
      <c r="C2825" t="s">
        <v>12</v>
      </c>
      <c r="D2825" t="s">
        <v>17</v>
      </c>
      <c r="E2825">
        <v>4.3478260869565202E-2</v>
      </c>
      <c r="F2825">
        <v>0.75583542264012404</v>
      </c>
      <c r="G2825">
        <v>928.33418226241997</v>
      </c>
      <c r="H2825">
        <v>51</v>
      </c>
      <c r="I2825">
        <v>57</v>
      </c>
      <c r="J2825">
        <v>30</v>
      </c>
    </row>
    <row r="2826" spans="1:10" x14ac:dyDescent="0.25">
      <c r="A2826" t="s">
        <v>23</v>
      </c>
      <c r="B2826" t="s">
        <v>19</v>
      </c>
      <c r="C2826" t="s">
        <v>12</v>
      </c>
      <c r="D2826" t="s">
        <v>17</v>
      </c>
      <c r="E2826">
        <v>3.2298136645962698E-2</v>
      </c>
      <c r="F2826">
        <v>0.75490381178136601</v>
      </c>
      <c r="G2826">
        <v>1021.27704715728</v>
      </c>
      <c r="H2826">
        <v>46</v>
      </c>
      <c r="I2826">
        <v>53</v>
      </c>
      <c r="J2826">
        <v>30</v>
      </c>
    </row>
    <row r="2827" spans="1:10" x14ac:dyDescent="0.25">
      <c r="A2827" t="s">
        <v>23</v>
      </c>
      <c r="B2827" t="s">
        <v>19</v>
      </c>
      <c r="C2827" t="s">
        <v>12</v>
      </c>
      <c r="D2827" t="s">
        <v>17</v>
      </c>
      <c r="E2827">
        <v>1.9875776397515501E-2</v>
      </c>
      <c r="F2827">
        <v>0.75236803299266997</v>
      </c>
      <c r="G2827">
        <v>1102.8456971645301</v>
      </c>
      <c r="H2827">
        <v>56</v>
      </c>
      <c r="I2827">
        <v>61</v>
      </c>
      <c r="J2827">
        <v>30</v>
      </c>
    </row>
    <row r="2828" spans="1:10" x14ac:dyDescent="0.25">
      <c r="A2828" t="s">
        <v>23</v>
      </c>
      <c r="B2828" t="s">
        <v>19</v>
      </c>
      <c r="C2828" t="s">
        <v>12</v>
      </c>
      <c r="D2828" t="s">
        <v>17</v>
      </c>
      <c r="E2828">
        <v>3.4782608695652098E-2</v>
      </c>
      <c r="F2828">
        <v>0.75296136043204898</v>
      </c>
      <c r="G2828">
        <v>1118.36596775054</v>
      </c>
      <c r="H2828">
        <v>59</v>
      </c>
      <c r="I2828">
        <v>69</v>
      </c>
      <c r="J2828">
        <v>30</v>
      </c>
    </row>
    <row r="2829" spans="1:10" x14ac:dyDescent="0.25">
      <c r="A2829" t="s">
        <v>23</v>
      </c>
      <c r="B2829" t="s">
        <v>19</v>
      </c>
      <c r="C2829" t="s">
        <v>12</v>
      </c>
      <c r="D2829" t="s">
        <v>17</v>
      </c>
      <c r="E2829">
        <v>2.4844720496894401E-2</v>
      </c>
      <c r="F2829">
        <v>0.75169885004732895</v>
      </c>
      <c r="G2829">
        <v>1303.36773538589</v>
      </c>
      <c r="H2829">
        <v>60</v>
      </c>
      <c r="I2829">
        <v>71</v>
      </c>
      <c r="J2829">
        <v>30</v>
      </c>
    </row>
    <row r="2830" spans="1:10" x14ac:dyDescent="0.25">
      <c r="A2830" t="s">
        <v>23</v>
      </c>
      <c r="B2830" t="s">
        <v>19</v>
      </c>
      <c r="C2830" t="s">
        <v>12</v>
      </c>
      <c r="D2830" t="s">
        <v>17</v>
      </c>
      <c r="E2830">
        <v>3.4782608695652098E-2</v>
      </c>
      <c r="F2830">
        <v>0.75437860990732897</v>
      </c>
      <c r="G2830">
        <v>1556.14953136444</v>
      </c>
      <c r="H2830">
        <v>84</v>
      </c>
      <c r="I2830">
        <v>100</v>
      </c>
      <c r="J2830">
        <v>30</v>
      </c>
    </row>
    <row r="2831" spans="1:10" x14ac:dyDescent="0.25">
      <c r="A2831" t="s">
        <v>23</v>
      </c>
      <c r="B2831" t="s">
        <v>19</v>
      </c>
      <c r="C2831" t="s">
        <v>12</v>
      </c>
      <c r="D2831" t="s">
        <v>17</v>
      </c>
      <c r="E2831">
        <v>7.4534161490683204E-2</v>
      </c>
      <c r="F2831">
        <v>0.76049909974546503</v>
      </c>
      <c r="G2831">
        <v>1641.7710721492699</v>
      </c>
      <c r="H2831">
        <v>94</v>
      </c>
      <c r="I2831">
        <v>109</v>
      </c>
      <c r="J2831">
        <v>30</v>
      </c>
    </row>
    <row r="2832" spans="1:10" x14ac:dyDescent="0.25">
      <c r="A2832" t="s">
        <v>23</v>
      </c>
      <c r="B2832" t="s">
        <v>19</v>
      </c>
      <c r="C2832" t="s">
        <v>12</v>
      </c>
      <c r="D2832" t="s">
        <v>17</v>
      </c>
      <c r="E2832">
        <v>7.4534161490683204E-2</v>
      </c>
      <c r="F2832">
        <v>0.76100922207875699</v>
      </c>
      <c r="G2832">
        <v>1719.5851392745899</v>
      </c>
      <c r="H2832">
        <v>95</v>
      </c>
      <c r="I2832">
        <v>110</v>
      </c>
      <c r="J2832">
        <v>30</v>
      </c>
    </row>
    <row r="2833" spans="1:10" x14ac:dyDescent="0.25">
      <c r="A2833" t="s">
        <v>23</v>
      </c>
      <c r="B2833" t="s">
        <v>19</v>
      </c>
      <c r="C2833" t="s">
        <v>12</v>
      </c>
      <c r="D2833" t="s">
        <v>17</v>
      </c>
      <c r="E2833">
        <v>6.2111801242236003E-2</v>
      </c>
      <c r="F2833">
        <v>0.75971866573403701</v>
      </c>
      <c r="G2833">
        <v>1765.50945425033</v>
      </c>
      <c r="H2833">
        <v>90</v>
      </c>
      <c r="I2833">
        <v>111</v>
      </c>
      <c r="J2833">
        <v>30</v>
      </c>
    </row>
    <row r="2834" spans="1:10" x14ac:dyDescent="0.25">
      <c r="A2834" t="s">
        <v>23</v>
      </c>
      <c r="B2834" t="s">
        <v>19</v>
      </c>
      <c r="C2834" t="s">
        <v>12</v>
      </c>
      <c r="D2834" t="s">
        <v>17</v>
      </c>
      <c r="E2834">
        <v>8.6956521739130405E-2</v>
      </c>
      <c r="F2834">
        <v>0.76151485962782595</v>
      </c>
      <c r="G2834">
        <v>1893.407269001</v>
      </c>
      <c r="H2834">
        <v>113</v>
      </c>
      <c r="I2834">
        <v>133</v>
      </c>
      <c r="J2834">
        <v>30</v>
      </c>
    </row>
    <row r="2835" spans="1:10" x14ac:dyDescent="0.25">
      <c r="A2835" t="s">
        <v>23</v>
      </c>
      <c r="B2835" t="s">
        <v>19</v>
      </c>
      <c r="C2835" t="s">
        <v>12</v>
      </c>
      <c r="D2835" t="s">
        <v>17</v>
      </c>
      <c r="E2835">
        <v>6.2111801242236003E-2</v>
      </c>
      <c r="F2835">
        <v>0.75825113398459598</v>
      </c>
      <c r="G2835">
        <v>1893.4550528526299</v>
      </c>
      <c r="H2835">
        <v>108</v>
      </c>
      <c r="I2835">
        <v>121</v>
      </c>
      <c r="J2835">
        <v>30</v>
      </c>
    </row>
    <row r="2836" spans="1:10" x14ac:dyDescent="0.25">
      <c r="A2836" t="s">
        <v>23</v>
      </c>
      <c r="B2836" t="s">
        <v>19</v>
      </c>
      <c r="C2836" t="s">
        <v>12</v>
      </c>
      <c r="D2836" t="s">
        <v>17</v>
      </c>
      <c r="E2836">
        <v>6.70807453416149E-2</v>
      </c>
      <c r="F2836">
        <v>0.75589668151689404</v>
      </c>
      <c r="G2836">
        <v>1916.63275384902</v>
      </c>
      <c r="H2836">
        <v>89</v>
      </c>
      <c r="I2836">
        <v>104</v>
      </c>
      <c r="J2836">
        <v>30</v>
      </c>
    </row>
    <row r="2837" spans="1:10" x14ac:dyDescent="0.25">
      <c r="A2837" t="s">
        <v>23</v>
      </c>
      <c r="B2837" t="s">
        <v>19</v>
      </c>
      <c r="C2837" t="s">
        <v>12</v>
      </c>
      <c r="D2837" t="s">
        <v>17</v>
      </c>
      <c r="E2837">
        <v>7.9503105590062101E-2</v>
      </c>
      <c r="F2837">
        <v>0.76184682332322895</v>
      </c>
      <c r="G2837">
        <v>1927.3823475837701</v>
      </c>
      <c r="H2837">
        <v>119</v>
      </c>
      <c r="I2837">
        <v>135</v>
      </c>
      <c r="J2837">
        <v>30</v>
      </c>
    </row>
    <row r="2838" spans="1:10" x14ac:dyDescent="0.25">
      <c r="A2838" t="s">
        <v>23</v>
      </c>
      <c r="B2838" t="s">
        <v>19</v>
      </c>
      <c r="C2838" t="s">
        <v>12</v>
      </c>
      <c r="D2838" t="s">
        <v>17</v>
      </c>
      <c r="E2838">
        <v>8.3229813664596197E-2</v>
      </c>
      <c r="F2838">
        <v>0.76202909466981295</v>
      </c>
      <c r="G2838">
        <v>2083.2084155082698</v>
      </c>
      <c r="H2838">
        <v>132</v>
      </c>
      <c r="I2838">
        <v>156</v>
      </c>
      <c r="J2838">
        <v>30</v>
      </c>
    </row>
    <row r="2839" spans="1:10" x14ac:dyDescent="0.25">
      <c r="A2839" t="s">
        <v>23</v>
      </c>
      <c r="B2839" t="s">
        <v>19</v>
      </c>
      <c r="C2839" t="s">
        <v>12</v>
      </c>
      <c r="D2839" t="s">
        <v>17</v>
      </c>
      <c r="E2839">
        <v>7.9503105590062101E-2</v>
      </c>
      <c r="F2839">
        <v>0.76008442795888198</v>
      </c>
      <c r="G2839">
        <v>2084.1423673629702</v>
      </c>
      <c r="H2839">
        <v>116</v>
      </c>
      <c r="I2839">
        <v>136</v>
      </c>
      <c r="J2839">
        <v>30</v>
      </c>
    </row>
    <row r="2840" spans="1:10" x14ac:dyDescent="0.25">
      <c r="A2840" t="s">
        <v>23</v>
      </c>
      <c r="B2840" t="s">
        <v>19</v>
      </c>
      <c r="C2840" t="s">
        <v>12</v>
      </c>
      <c r="D2840" t="s">
        <v>17</v>
      </c>
      <c r="E2840">
        <v>0.14534161490683201</v>
      </c>
      <c r="F2840">
        <v>0.77521423487888097</v>
      </c>
      <c r="G2840">
        <v>2106.1618003845201</v>
      </c>
      <c r="H2840">
        <v>157</v>
      </c>
      <c r="I2840">
        <v>170</v>
      </c>
      <c r="J2840">
        <v>30</v>
      </c>
    </row>
    <row r="2841" spans="1:10" x14ac:dyDescent="0.25">
      <c r="A2841" t="s">
        <v>23</v>
      </c>
      <c r="B2841" t="s">
        <v>19</v>
      </c>
      <c r="C2841" t="s">
        <v>12</v>
      </c>
      <c r="D2841" t="s">
        <v>17</v>
      </c>
      <c r="E2841">
        <v>8.3229813664596197E-2</v>
      </c>
      <c r="F2841">
        <v>0.762041838663851</v>
      </c>
      <c r="G2841">
        <v>2132.4066028594898</v>
      </c>
      <c r="H2841">
        <v>132</v>
      </c>
      <c r="I2841">
        <v>151</v>
      </c>
      <c r="J2841">
        <v>30</v>
      </c>
    </row>
    <row r="2842" spans="1:10" x14ac:dyDescent="0.25">
      <c r="A2842" t="s">
        <v>23</v>
      </c>
      <c r="B2842" t="s">
        <v>19</v>
      </c>
      <c r="C2842" t="s">
        <v>12</v>
      </c>
      <c r="D2842" t="s">
        <v>17</v>
      </c>
      <c r="E2842">
        <v>7.8260869565217397E-2</v>
      </c>
      <c r="F2842">
        <v>0.75871534898621096</v>
      </c>
      <c r="G2842">
        <v>2149.04694294929</v>
      </c>
      <c r="H2842">
        <v>126</v>
      </c>
      <c r="I2842">
        <v>149</v>
      </c>
      <c r="J2842">
        <v>30</v>
      </c>
    </row>
    <row r="2843" spans="1:10" x14ac:dyDescent="0.25">
      <c r="A2843" t="s">
        <v>23</v>
      </c>
      <c r="B2843" t="s">
        <v>19</v>
      </c>
      <c r="C2843" t="s">
        <v>12</v>
      </c>
      <c r="D2843" t="s">
        <v>17</v>
      </c>
      <c r="E2843">
        <v>7.3291925465838501E-2</v>
      </c>
      <c r="F2843">
        <v>0.75776490035391297</v>
      </c>
      <c r="G2843">
        <v>2181.0715060234002</v>
      </c>
      <c r="H2843">
        <v>127</v>
      </c>
      <c r="I2843">
        <v>154</v>
      </c>
      <c r="J2843">
        <v>30</v>
      </c>
    </row>
    <row r="2844" spans="1:10" x14ac:dyDescent="0.25">
      <c r="A2844" t="s">
        <v>23</v>
      </c>
      <c r="B2844" t="s">
        <v>19</v>
      </c>
      <c r="C2844" t="s">
        <v>12</v>
      </c>
      <c r="D2844" t="s">
        <v>17</v>
      </c>
      <c r="E2844">
        <v>9.6894409937888198E-2</v>
      </c>
      <c r="F2844">
        <v>0.76068481368211105</v>
      </c>
      <c r="G2844">
        <v>2199.92663669586</v>
      </c>
      <c r="H2844">
        <v>139</v>
      </c>
      <c r="I2844">
        <v>160</v>
      </c>
      <c r="J2844">
        <v>30</v>
      </c>
    </row>
    <row r="2845" spans="1:10" x14ac:dyDescent="0.25">
      <c r="A2845" t="s">
        <v>23</v>
      </c>
      <c r="B2845" t="s">
        <v>19</v>
      </c>
      <c r="C2845" t="s">
        <v>12</v>
      </c>
      <c r="D2845" t="s">
        <v>17</v>
      </c>
      <c r="E2845">
        <v>0.15031055900621099</v>
      </c>
      <c r="F2845">
        <v>0.77474054148906801</v>
      </c>
      <c r="G2845">
        <v>2235.5818126201598</v>
      </c>
      <c r="H2845">
        <v>191</v>
      </c>
      <c r="I2845">
        <v>206</v>
      </c>
      <c r="J2845">
        <v>30</v>
      </c>
    </row>
    <row r="2846" spans="1:10" x14ac:dyDescent="0.25">
      <c r="A2846" t="s">
        <v>23</v>
      </c>
      <c r="B2846" t="s">
        <v>19</v>
      </c>
      <c r="C2846" t="s">
        <v>12</v>
      </c>
      <c r="D2846" t="s">
        <v>17</v>
      </c>
      <c r="E2846">
        <v>0.13167701863354001</v>
      </c>
      <c r="F2846">
        <v>0.77168500053937905</v>
      </c>
      <c r="G2846">
        <v>2246.54209804534</v>
      </c>
      <c r="H2846">
        <v>193</v>
      </c>
      <c r="I2846">
        <v>211</v>
      </c>
      <c r="J2846">
        <v>30</v>
      </c>
    </row>
    <row r="2847" spans="1:10" x14ac:dyDescent="0.25">
      <c r="A2847" t="s">
        <v>23</v>
      </c>
      <c r="B2847" t="s">
        <v>19</v>
      </c>
      <c r="C2847" t="s">
        <v>12</v>
      </c>
      <c r="D2847" t="s">
        <v>17</v>
      </c>
      <c r="E2847">
        <v>0.119254658385093</v>
      </c>
      <c r="F2847">
        <v>0.77118359524521696</v>
      </c>
      <c r="G2847">
        <v>2262.4719583988099</v>
      </c>
      <c r="H2847">
        <v>202</v>
      </c>
      <c r="I2847">
        <v>228</v>
      </c>
      <c r="J2847">
        <v>30</v>
      </c>
    </row>
    <row r="2848" spans="1:10" x14ac:dyDescent="0.25">
      <c r="A2848" t="s">
        <v>23</v>
      </c>
      <c r="B2848" t="s">
        <v>19</v>
      </c>
      <c r="C2848" t="s">
        <v>12</v>
      </c>
      <c r="D2848" t="s">
        <v>17</v>
      </c>
      <c r="E2848">
        <v>0.12919254658384999</v>
      </c>
      <c r="F2848">
        <v>0.77201523596745303</v>
      </c>
      <c r="G2848">
        <v>2265.8150560855802</v>
      </c>
      <c r="H2848">
        <v>162</v>
      </c>
      <c r="I2848">
        <v>186</v>
      </c>
      <c r="J2848">
        <v>30</v>
      </c>
    </row>
    <row r="2849" spans="1:10" x14ac:dyDescent="0.25">
      <c r="A2849" t="s">
        <v>23</v>
      </c>
      <c r="B2849" t="s">
        <v>19</v>
      </c>
      <c r="C2849" t="s">
        <v>12</v>
      </c>
      <c r="D2849" t="s">
        <v>17</v>
      </c>
      <c r="E2849">
        <v>0.154037267080745</v>
      </c>
      <c r="F2849">
        <v>0.77501165161664498</v>
      </c>
      <c r="G2849">
        <v>2297.3247337341299</v>
      </c>
      <c r="H2849">
        <v>183</v>
      </c>
      <c r="I2849">
        <v>207</v>
      </c>
      <c r="J2849">
        <v>30</v>
      </c>
    </row>
    <row r="2850" spans="1:10" x14ac:dyDescent="0.25">
      <c r="A2850" t="s">
        <v>23</v>
      </c>
      <c r="B2850" t="s">
        <v>19</v>
      </c>
      <c r="C2850" t="s">
        <v>12</v>
      </c>
      <c r="D2850" t="s">
        <v>17</v>
      </c>
      <c r="E2850">
        <v>0.114285714285714</v>
      </c>
      <c r="F2850">
        <v>0.76920786307925404</v>
      </c>
      <c r="G2850">
        <v>2300.1584758758499</v>
      </c>
      <c r="H2850">
        <v>163</v>
      </c>
      <c r="I2850">
        <v>186</v>
      </c>
      <c r="J2850">
        <v>30</v>
      </c>
    </row>
    <row r="2851" spans="1:10" x14ac:dyDescent="0.25">
      <c r="A2851" t="s">
        <v>23</v>
      </c>
      <c r="B2851" t="s">
        <v>19</v>
      </c>
      <c r="C2851" t="s">
        <v>12</v>
      </c>
      <c r="D2851" t="s">
        <v>17</v>
      </c>
      <c r="E2851">
        <v>0.13664596273291901</v>
      </c>
      <c r="F2851">
        <v>0.77102252871788801</v>
      </c>
      <c r="G2851">
        <v>2301.2087473869301</v>
      </c>
      <c r="H2851">
        <v>204</v>
      </c>
      <c r="I2851">
        <v>228</v>
      </c>
      <c r="J2851">
        <v>30</v>
      </c>
    </row>
    <row r="2852" spans="1:10" x14ac:dyDescent="0.25">
      <c r="A2852" t="s">
        <v>23</v>
      </c>
      <c r="B2852" t="s">
        <v>19</v>
      </c>
      <c r="C2852" t="s">
        <v>18</v>
      </c>
      <c r="D2852" t="s">
        <v>13</v>
      </c>
      <c r="E2852">
        <v>0.99627329192546499</v>
      </c>
      <c r="F2852">
        <v>0.99623883056819795</v>
      </c>
      <c r="G2852">
        <v>138.70986008644101</v>
      </c>
      <c r="H2852">
        <v>8</v>
      </c>
      <c r="I2852">
        <v>10</v>
      </c>
      <c r="J2852">
        <v>30</v>
      </c>
    </row>
    <row r="2853" spans="1:10" x14ac:dyDescent="0.25">
      <c r="A2853" t="s">
        <v>23</v>
      </c>
      <c r="B2853" t="s">
        <v>19</v>
      </c>
      <c r="C2853" t="s">
        <v>18</v>
      </c>
      <c r="D2853" t="s">
        <v>13</v>
      </c>
      <c r="E2853">
        <v>0.99627329192546499</v>
      </c>
      <c r="F2853">
        <v>0.99618831462558999</v>
      </c>
      <c r="G2853">
        <v>139.180584192276</v>
      </c>
      <c r="H2853">
        <v>8</v>
      </c>
      <c r="I2853">
        <v>9</v>
      </c>
      <c r="J2853">
        <v>30</v>
      </c>
    </row>
    <row r="2854" spans="1:10" x14ac:dyDescent="0.25">
      <c r="A2854" t="s">
        <v>23</v>
      </c>
      <c r="B2854" t="s">
        <v>19</v>
      </c>
      <c r="C2854" t="s">
        <v>18</v>
      </c>
      <c r="D2854" t="s">
        <v>13</v>
      </c>
      <c r="E2854">
        <v>0.99378881987577605</v>
      </c>
      <c r="F2854">
        <v>0.99376542447316696</v>
      </c>
      <c r="G2854">
        <v>139.278706312179</v>
      </c>
      <c r="H2854">
        <v>8</v>
      </c>
      <c r="I2854">
        <v>9</v>
      </c>
      <c r="J2854">
        <v>30</v>
      </c>
    </row>
    <row r="2855" spans="1:10" x14ac:dyDescent="0.25">
      <c r="A2855" t="s">
        <v>23</v>
      </c>
      <c r="B2855" t="s">
        <v>19</v>
      </c>
      <c r="C2855" t="s">
        <v>18</v>
      </c>
      <c r="D2855" t="s">
        <v>13</v>
      </c>
      <c r="E2855">
        <v>0.99751552795030995</v>
      </c>
      <c r="F2855">
        <v>0.99740928555999997</v>
      </c>
      <c r="G2855">
        <v>141.884137868881</v>
      </c>
      <c r="H2855">
        <v>8</v>
      </c>
      <c r="I2855">
        <v>9</v>
      </c>
      <c r="J2855">
        <v>30</v>
      </c>
    </row>
    <row r="2856" spans="1:10" x14ac:dyDescent="0.25">
      <c r="A2856" t="s">
        <v>23</v>
      </c>
      <c r="B2856" t="s">
        <v>19</v>
      </c>
      <c r="C2856" t="s">
        <v>18</v>
      </c>
      <c r="D2856" t="s">
        <v>13</v>
      </c>
      <c r="E2856">
        <v>0.99627329192546499</v>
      </c>
      <c r="F2856">
        <v>0.99618305080136604</v>
      </c>
      <c r="G2856">
        <v>142.401769161224</v>
      </c>
      <c r="H2856">
        <v>8</v>
      </c>
      <c r="I2856">
        <v>9</v>
      </c>
      <c r="J2856">
        <v>30</v>
      </c>
    </row>
    <row r="2857" spans="1:10" x14ac:dyDescent="0.25">
      <c r="A2857" t="s">
        <v>23</v>
      </c>
      <c r="B2857" t="s">
        <v>19</v>
      </c>
      <c r="C2857" t="s">
        <v>18</v>
      </c>
      <c r="D2857" t="s">
        <v>13</v>
      </c>
      <c r="E2857">
        <v>0.99378881987577605</v>
      </c>
      <c r="F2857">
        <v>0.99360482648944004</v>
      </c>
      <c r="G2857">
        <v>144.36865162849401</v>
      </c>
      <c r="H2857">
        <v>9</v>
      </c>
      <c r="I2857">
        <v>10</v>
      </c>
      <c r="J2857">
        <v>30</v>
      </c>
    </row>
    <row r="2858" spans="1:10" x14ac:dyDescent="0.25">
      <c r="A2858" t="s">
        <v>23</v>
      </c>
      <c r="B2858" t="s">
        <v>19</v>
      </c>
      <c r="C2858" t="s">
        <v>18</v>
      </c>
      <c r="D2858" t="s">
        <v>13</v>
      </c>
      <c r="E2858">
        <v>0.99875776397515503</v>
      </c>
      <c r="F2858">
        <v>0.99857968540645903</v>
      </c>
      <c r="G2858">
        <v>146.089997291564</v>
      </c>
      <c r="H2858">
        <v>8</v>
      </c>
      <c r="I2858">
        <v>10</v>
      </c>
      <c r="J2858">
        <v>30</v>
      </c>
    </row>
    <row r="2859" spans="1:10" x14ac:dyDescent="0.25">
      <c r="A2859" t="s">
        <v>23</v>
      </c>
      <c r="B2859" t="s">
        <v>19</v>
      </c>
      <c r="C2859" t="s">
        <v>18</v>
      </c>
      <c r="D2859" t="s">
        <v>13</v>
      </c>
      <c r="E2859">
        <v>0.99254658385093097</v>
      </c>
      <c r="F2859">
        <v>0.99336042788981305</v>
      </c>
      <c r="G2859">
        <v>146.01503753662101</v>
      </c>
      <c r="H2859">
        <v>8</v>
      </c>
      <c r="I2859">
        <v>9</v>
      </c>
      <c r="J2859">
        <v>30</v>
      </c>
    </row>
    <row r="2860" spans="1:10" x14ac:dyDescent="0.25">
      <c r="A2860" t="s">
        <v>23</v>
      </c>
      <c r="B2860" t="s">
        <v>19</v>
      </c>
      <c r="C2860" t="s">
        <v>18</v>
      </c>
      <c r="D2860" t="s">
        <v>13</v>
      </c>
      <c r="E2860">
        <v>0.99751552795030995</v>
      </c>
      <c r="F2860">
        <v>0.99707445015291896</v>
      </c>
      <c r="G2860">
        <v>146.272983789443</v>
      </c>
      <c r="H2860">
        <v>10</v>
      </c>
      <c r="I2860">
        <v>11</v>
      </c>
      <c r="J2860">
        <v>30</v>
      </c>
    </row>
    <row r="2861" spans="1:10" x14ac:dyDescent="0.25">
      <c r="A2861" t="s">
        <v>23</v>
      </c>
      <c r="B2861" t="s">
        <v>19</v>
      </c>
      <c r="C2861" t="s">
        <v>18</v>
      </c>
      <c r="D2861" t="s">
        <v>13</v>
      </c>
      <c r="E2861">
        <v>0.99130434782608701</v>
      </c>
      <c r="F2861">
        <v>0.99129554753676996</v>
      </c>
      <c r="G2861">
        <v>148.265906333923</v>
      </c>
      <c r="H2861">
        <v>9</v>
      </c>
      <c r="I2861">
        <v>10</v>
      </c>
      <c r="J2861">
        <v>30</v>
      </c>
    </row>
    <row r="2862" spans="1:10" x14ac:dyDescent="0.25">
      <c r="A2862" t="s">
        <v>23</v>
      </c>
      <c r="B2862" t="s">
        <v>19</v>
      </c>
      <c r="C2862" t="s">
        <v>18</v>
      </c>
      <c r="D2862" t="s">
        <v>13</v>
      </c>
      <c r="E2862">
        <v>0.99627329192546499</v>
      </c>
      <c r="F2862">
        <v>0.99617412080521694</v>
      </c>
      <c r="G2862">
        <v>148.183114051818</v>
      </c>
      <c r="H2862">
        <v>8</v>
      </c>
      <c r="I2862">
        <v>9</v>
      </c>
      <c r="J2862">
        <v>30</v>
      </c>
    </row>
    <row r="2863" spans="1:10" x14ac:dyDescent="0.25">
      <c r="A2863" t="s">
        <v>23</v>
      </c>
      <c r="B2863" t="s">
        <v>19</v>
      </c>
      <c r="C2863" t="s">
        <v>18</v>
      </c>
      <c r="D2863" t="s">
        <v>13</v>
      </c>
      <c r="E2863">
        <v>0.98136645962732905</v>
      </c>
      <c r="F2863">
        <v>0.98166207063242195</v>
      </c>
      <c r="G2863">
        <v>149.45580935478199</v>
      </c>
      <c r="H2863">
        <v>9</v>
      </c>
      <c r="I2863">
        <v>10</v>
      </c>
      <c r="J2863">
        <v>30</v>
      </c>
    </row>
    <row r="2864" spans="1:10" x14ac:dyDescent="0.25">
      <c r="A2864" t="s">
        <v>23</v>
      </c>
      <c r="B2864" t="s">
        <v>19</v>
      </c>
      <c r="C2864" t="s">
        <v>18</v>
      </c>
      <c r="D2864" t="s">
        <v>13</v>
      </c>
      <c r="E2864">
        <v>0.99875776397515503</v>
      </c>
      <c r="F2864">
        <v>0.99866211918260805</v>
      </c>
      <c r="G2864">
        <v>150.62119460105799</v>
      </c>
      <c r="H2864">
        <v>8</v>
      </c>
      <c r="I2864">
        <v>9</v>
      </c>
      <c r="J2864">
        <v>30</v>
      </c>
    </row>
    <row r="2865" spans="1:10" x14ac:dyDescent="0.25">
      <c r="A2865" t="s">
        <v>23</v>
      </c>
      <c r="B2865" t="s">
        <v>19</v>
      </c>
      <c r="C2865" t="s">
        <v>18</v>
      </c>
      <c r="D2865" t="s">
        <v>13</v>
      </c>
      <c r="E2865">
        <v>0.99875776397515503</v>
      </c>
      <c r="F2865">
        <v>0.99815880582223604</v>
      </c>
      <c r="G2865">
        <v>150.308308601379</v>
      </c>
      <c r="H2865">
        <v>8</v>
      </c>
      <c r="I2865">
        <v>9</v>
      </c>
      <c r="J2865">
        <v>30</v>
      </c>
    </row>
    <row r="2866" spans="1:10" x14ac:dyDescent="0.25">
      <c r="A2866" t="s">
        <v>23</v>
      </c>
      <c r="B2866" t="s">
        <v>19</v>
      </c>
      <c r="C2866" t="s">
        <v>18</v>
      </c>
      <c r="D2866" t="s">
        <v>13</v>
      </c>
      <c r="E2866">
        <v>0.98633540372670803</v>
      </c>
      <c r="F2866">
        <v>0.98649429553913004</v>
      </c>
      <c r="G2866">
        <v>151.82287240028299</v>
      </c>
      <c r="H2866">
        <v>9</v>
      </c>
      <c r="I2866">
        <v>10</v>
      </c>
      <c r="J2866">
        <v>30</v>
      </c>
    </row>
    <row r="2867" spans="1:10" x14ac:dyDescent="0.25">
      <c r="A2867" t="s">
        <v>23</v>
      </c>
      <c r="B2867" t="s">
        <v>19</v>
      </c>
      <c r="C2867" t="s">
        <v>18</v>
      </c>
      <c r="D2867" t="s">
        <v>13</v>
      </c>
      <c r="E2867">
        <v>0.99751552795030995</v>
      </c>
      <c r="F2867">
        <v>0.99742661770347796</v>
      </c>
      <c r="G2867">
        <v>152.232251405715</v>
      </c>
      <c r="H2867">
        <v>8</v>
      </c>
      <c r="I2867">
        <v>9</v>
      </c>
      <c r="J2867">
        <v>30</v>
      </c>
    </row>
    <row r="2868" spans="1:10" x14ac:dyDescent="0.25">
      <c r="A2868" t="s">
        <v>23</v>
      </c>
      <c r="B2868" t="s">
        <v>19</v>
      </c>
      <c r="C2868" t="s">
        <v>18</v>
      </c>
      <c r="D2868" t="s">
        <v>13</v>
      </c>
      <c r="E2868">
        <v>0.99254658385093097</v>
      </c>
      <c r="F2868">
        <v>0.99261062481565199</v>
      </c>
      <c r="G2868">
        <v>153.48032355308499</v>
      </c>
      <c r="H2868">
        <v>9</v>
      </c>
      <c r="I2868">
        <v>10</v>
      </c>
      <c r="J2868">
        <v>30</v>
      </c>
    </row>
    <row r="2869" spans="1:10" x14ac:dyDescent="0.25">
      <c r="A2869" t="s">
        <v>23</v>
      </c>
      <c r="B2869" t="s">
        <v>19</v>
      </c>
      <c r="C2869" t="s">
        <v>18</v>
      </c>
      <c r="D2869" t="s">
        <v>13</v>
      </c>
      <c r="E2869">
        <v>0.99751552795030995</v>
      </c>
      <c r="F2869">
        <v>0.99735737575018601</v>
      </c>
      <c r="G2869">
        <v>153.41187334060601</v>
      </c>
      <c r="H2869">
        <v>8</v>
      </c>
      <c r="I2869">
        <v>9</v>
      </c>
      <c r="J2869">
        <v>30</v>
      </c>
    </row>
    <row r="2870" spans="1:10" x14ac:dyDescent="0.25">
      <c r="A2870" t="s">
        <v>23</v>
      </c>
      <c r="B2870" t="s">
        <v>19</v>
      </c>
      <c r="C2870" t="s">
        <v>18</v>
      </c>
      <c r="D2870" t="s">
        <v>13</v>
      </c>
      <c r="E2870">
        <v>0.99254658385093097</v>
      </c>
      <c r="F2870">
        <v>0.99386595307068304</v>
      </c>
      <c r="G2870">
        <v>152.78368544578501</v>
      </c>
      <c r="H2870">
        <v>10</v>
      </c>
      <c r="I2870">
        <v>11</v>
      </c>
      <c r="J2870">
        <v>30</v>
      </c>
    </row>
    <row r="2871" spans="1:10" x14ac:dyDescent="0.25">
      <c r="A2871" t="s">
        <v>23</v>
      </c>
      <c r="B2871" t="s">
        <v>19</v>
      </c>
      <c r="C2871" t="s">
        <v>18</v>
      </c>
      <c r="D2871" t="s">
        <v>13</v>
      </c>
      <c r="E2871">
        <v>0.99006211180124204</v>
      </c>
      <c r="F2871">
        <v>0.98993623458968905</v>
      </c>
      <c r="G2871">
        <v>153.17892408370901</v>
      </c>
      <c r="H2871">
        <v>9</v>
      </c>
      <c r="I2871">
        <v>10</v>
      </c>
      <c r="J2871">
        <v>30</v>
      </c>
    </row>
    <row r="2872" spans="1:10" x14ac:dyDescent="0.25">
      <c r="A2872" t="s">
        <v>23</v>
      </c>
      <c r="B2872" t="s">
        <v>19</v>
      </c>
      <c r="C2872" t="s">
        <v>18</v>
      </c>
      <c r="D2872" t="s">
        <v>13</v>
      </c>
      <c r="E2872">
        <v>0.99751552795030995</v>
      </c>
      <c r="F2872">
        <v>0.99744568918459597</v>
      </c>
      <c r="G2872">
        <v>154.93015551567001</v>
      </c>
      <c r="H2872">
        <v>8</v>
      </c>
      <c r="I2872">
        <v>9</v>
      </c>
      <c r="J2872">
        <v>30</v>
      </c>
    </row>
    <row r="2873" spans="1:10" x14ac:dyDescent="0.25">
      <c r="A2873" t="s">
        <v>23</v>
      </c>
      <c r="B2873" t="s">
        <v>19</v>
      </c>
      <c r="C2873" t="s">
        <v>18</v>
      </c>
      <c r="D2873" t="s">
        <v>13</v>
      </c>
      <c r="E2873">
        <v>0.99503105590062102</v>
      </c>
      <c r="F2873">
        <v>0.99473105229776404</v>
      </c>
      <c r="G2873">
        <v>155.07533216476401</v>
      </c>
      <c r="H2873">
        <v>8</v>
      </c>
      <c r="I2873">
        <v>9</v>
      </c>
      <c r="J2873">
        <v>30</v>
      </c>
    </row>
    <row r="2874" spans="1:10" x14ac:dyDescent="0.25">
      <c r="A2874" t="s">
        <v>23</v>
      </c>
      <c r="B2874" t="s">
        <v>19</v>
      </c>
      <c r="C2874" t="s">
        <v>18</v>
      </c>
      <c r="D2874" t="s">
        <v>13</v>
      </c>
      <c r="E2874">
        <v>0.98509316770186295</v>
      </c>
      <c r="F2874">
        <v>0.98610715875515498</v>
      </c>
      <c r="G2874">
        <v>157.779968976974</v>
      </c>
      <c r="H2874">
        <v>8</v>
      </c>
      <c r="I2874">
        <v>9</v>
      </c>
      <c r="J2874">
        <v>30</v>
      </c>
    </row>
    <row r="2875" spans="1:10" x14ac:dyDescent="0.25">
      <c r="A2875" t="s">
        <v>23</v>
      </c>
      <c r="B2875" t="s">
        <v>19</v>
      </c>
      <c r="C2875" t="s">
        <v>18</v>
      </c>
      <c r="D2875" t="s">
        <v>13</v>
      </c>
      <c r="E2875">
        <v>0.97639751552794996</v>
      </c>
      <c r="F2875">
        <v>0.97752300330484398</v>
      </c>
      <c r="G2875">
        <v>157.00216984748801</v>
      </c>
      <c r="H2875">
        <v>8</v>
      </c>
      <c r="I2875">
        <v>9</v>
      </c>
      <c r="J2875">
        <v>30</v>
      </c>
    </row>
    <row r="2876" spans="1:10" x14ac:dyDescent="0.25">
      <c r="A2876" t="s">
        <v>23</v>
      </c>
      <c r="B2876" t="s">
        <v>19</v>
      </c>
      <c r="C2876" t="s">
        <v>18</v>
      </c>
      <c r="D2876" t="s">
        <v>13</v>
      </c>
      <c r="E2876">
        <v>0.98757763975155199</v>
      </c>
      <c r="F2876">
        <v>0.98765927666707998</v>
      </c>
      <c r="G2876">
        <v>157.01607728004399</v>
      </c>
      <c r="H2876">
        <v>9</v>
      </c>
      <c r="I2876">
        <v>10</v>
      </c>
      <c r="J2876">
        <v>30</v>
      </c>
    </row>
    <row r="2877" spans="1:10" x14ac:dyDescent="0.25">
      <c r="A2877" t="s">
        <v>23</v>
      </c>
      <c r="B2877" t="s">
        <v>19</v>
      </c>
      <c r="C2877" t="s">
        <v>18</v>
      </c>
      <c r="D2877" t="s">
        <v>13</v>
      </c>
      <c r="E2877">
        <v>0.99627329192546499</v>
      </c>
      <c r="F2877">
        <v>0.99584717814062096</v>
      </c>
      <c r="G2877">
        <v>157.948690414428</v>
      </c>
      <c r="H2877">
        <v>10</v>
      </c>
      <c r="I2877">
        <v>11</v>
      </c>
      <c r="J2877">
        <v>30</v>
      </c>
    </row>
    <row r="2878" spans="1:10" x14ac:dyDescent="0.25">
      <c r="A2878" t="s">
        <v>23</v>
      </c>
      <c r="B2878" t="s">
        <v>19</v>
      </c>
      <c r="C2878" t="s">
        <v>18</v>
      </c>
      <c r="D2878" t="s">
        <v>13</v>
      </c>
      <c r="E2878">
        <v>0.99130434782608701</v>
      </c>
      <c r="F2878">
        <v>0.99130865207391305</v>
      </c>
      <c r="G2878">
        <v>157.864516019821</v>
      </c>
      <c r="H2878">
        <v>10</v>
      </c>
      <c r="I2878">
        <v>11</v>
      </c>
      <c r="J2878">
        <v>30</v>
      </c>
    </row>
    <row r="2879" spans="1:10" x14ac:dyDescent="0.25">
      <c r="A2879" t="s">
        <v>23</v>
      </c>
      <c r="B2879" t="s">
        <v>19</v>
      </c>
      <c r="C2879" t="s">
        <v>18</v>
      </c>
      <c r="D2879" t="s">
        <v>13</v>
      </c>
      <c r="E2879">
        <v>0.99627329192546499</v>
      </c>
      <c r="F2879">
        <v>0.99598546007366395</v>
      </c>
      <c r="G2879">
        <v>159.738666534423</v>
      </c>
      <c r="H2879">
        <v>8</v>
      </c>
      <c r="I2879">
        <v>9</v>
      </c>
      <c r="J2879">
        <v>30</v>
      </c>
    </row>
    <row r="2880" spans="1:10" x14ac:dyDescent="0.25">
      <c r="A2880" t="s">
        <v>23</v>
      </c>
      <c r="B2880" t="s">
        <v>19</v>
      </c>
      <c r="C2880" t="s">
        <v>18</v>
      </c>
      <c r="D2880" t="s">
        <v>13</v>
      </c>
      <c r="E2880">
        <v>0.99751552795030995</v>
      </c>
      <c r="F2880">
        <v>0.99660515712670805</v>
      </c>
      <c r="G2880">
        <v>159.14057278633101</v>
      </c>
      <c r="H2880">
        <v>8</v>
      </c>
      <c r="I2880">
        <v>10</v>
      </c>
      <c r="J2880">
        <v>30</v>
      </c>
    </row>
    <row r="2881" spans="1:10" x14ac:dyDescent="0.25">
      <c r="A2881" t="s">
        <v>23</v>
      </c>
      <c r="B2881" t="s">
        <v>19</v>
      </c>
      <c r="C2881" t="s">
        <v>18</v>
      </c>
      <c r="D2881" t="s">
        <v>13</v>
      </c>
      <c r="E2881">
        <v>0.97639751552794996</v>
      </c>
      <c r="F2881">
        <v>0.97777832340099302</v>
      </c>
      <c r="G2881">
        <v>160.621765851974</v>
      </c>
      <c r="H2881">
        <v>9</v>
      </c>
      <c r="I2881">
        <v>11</v>
      </c>
      <c r="J2881">
        <v>30</v>
      </c>
    </row>
    <row r="2882" spans="1:10" x14ac:dyDescent="0.25">
      <c r="A2882" t="s">
        <v>23</v>
      </c>
      <c r="B2882" t="s">
        <v>19</v>
      </c>
      <c r="C2882" t="s">
        <v>18</v>
      </c>
      <c r="D2882" t="s">
        <v>14</v>
      </c>
      <c r="E2882">
        <v>0.94161490683229798</v>
      </c>
      <c r="F2882">
        <v>0.94966121803950299</v>
      </c>
      <c r="G2882">
        <v>26.056672811508101</v>
      </c>
      <c r="H2882">
        <v>7</v>
      </c>
      <c r="I2882">
        <v>7</v>
      </c>
      <c r="J2882">
        <v>30</v>
      </c>
    </row>
    <row r="2883" spans="1:10" x14ac:dyDescent="0.25">
      <c r="A2883" t="s">
        <v>23</v>
      </c>
      <c r="B2883" t="s">
        <v>19</v>
      </c>
      <c r="C2883" t="s">
        <v>18</v>
      </c>
      <c r="D2883" t="s">
        <v>14</v>
      </c>
      <c r="E2883">
        <v>0.93043478260869505</v>
      </c>
      <c r="F2883">
        <v>0.94287111849813598</v>
      </c>
      <c r="G2883">
        <v>26.123245000839201</v>
      </c>
      <c r="H2883">
        <v>7</v>
      </c>
      <c r="I2883">
        <v>7</v>
      </c>
      <c r="J2883">
        <v>30</v>
      </c>
    </row>
    <row r="2884" spans="1:10" x14ac:dyDescent="0.25">
      <c r="A2884" t="s">
        <v>23</v>
      </c>
      <c r="B2884" t="s">
        <v>19</v>
      </c>
      <c r="C2884" t="s">
        <v>18</v>
      </c>
      <c r="D2884" t="s">
        <v>14</v>
      </c>
      <c r="E2884">
        <v>0.94037267080745301</v>
      </c>
      <c r="F2884">
        <v>0.94827575834906797</v>
      </c>
      <c r="G2884">
        <v>26.027760505676198</v>
      </c>
      <c r="H2884">
        <v>7</v>
      </c>
      <c r="I2884">
        <v>7</v>
      </c>
      <c r="J2884">
        <v>30</v>
      </c>
    </row>
    <row r="2885" spans="1:10" x14ac:dyDescent="0.25">
      <c r="A2885" t="s">
        <v>23</v>
      </c>
      <c r="B2885" t="s">
        <v>19</v>
      </c>
      <c r="C2885" t="s">
        <v>18</v>
      </c>
      <c r="D2885" t="s">
        <v>14</v>
      </c>
      <c r="E2885">
        <v>0.936645962732919</v>
      </c>
      <c r="F2885">
        <v>0.94582998384447103</v>
      </c>
      <c r="G2885">
        <v>26.890189170837399</v>
      </c>
      <c r="H2885">
        <v>7</v>
      </c>
      <c r="I2885">
        <v>7</v>
      </c>
      <c r="J2885">
        <v>30</v>
      </c>
    </row>
    <row r="2886" spans="1:10" x14ac:dyDescent="0.25">
      <c r="A2886" t="s">
        <v>23</v>
      </c>
      <c r="B2886" t="s">
        <v>19</v>
      </c>
      <c r="C2886" t="s">
        <v>18</v>
      </c>
      <c r="D2886" t="s">
        <v>14</v>
      </c>
      <c r="E2886">
        <v>0.92919254658385098</v>
      </c>
      <c r="F2886">
        <v>0.94102776728869497</v>
      </c>
      <c r="G2886">
        <v>26.9492218494415</v>
      </c>
      <c r="H2886">
        <v>7</v>
      </c>
      <c r="I2886">
        <v>7</v>
      </c>
      <c r="J2886">
        <v>30</v>
      </c>
    </row>
    <row r="2887" spans="1:10" x14ac:dyDescent="0.25">
      <c r="A2887" t="s">
        <v>23</v>
      </c>
      <c r="B2887" t="s">
        <v>19</v>
      </c>
      <c r="C2887" t="s">
        <v>18</v>
      </c>
      <c r="D2887" t="s">
        <v>14</v>
      </c>
      <c r="E2887">
        <v>0.94782608695652104</v>
      </c>
      <c r="F2887">
        <v>0.95431256007006204</v>
      </c>
      <c r="G2887">
        <v>27.148703098297101</v>
      </c>
      <c r="H2887">
        <v>7</v>
      </c>
      <c r="I2887">
        <v>7</v>
      </c>
      <c r="J2887">
        <v>30</v>
      </c>
    </row>
    <row r="2888" spans="1:10" x14ac:dyDescent="0.25">
      <c r="A2888" t="s">
        <v>23</v>
      </c>
      <c r="B2888" t="s">
        <v>19</v>
      </c>
      <c r="C2888" t="s">
        <v>18</v>
      </c>
      <c r="D2888" t="s">
        <v>14</v>
      </c>
      <c r="E2888">
        <v>0.92919254658385098</v>
      </c>
      <c r="F2888">
        <v>0.942269265830186</v>
      </c>
      <c r="G2888">
        <v>27.274432897567699</v>
      </c>
      <c r="H2888">
        <v>7</v>
      </c>
      <c r="I2888">
        <v>7</v>
      </c>
      <c r="J2888">
        <v>30</v>
      </c>
    </row>
    <row r="2889" spans="1:10" x14ac:dyDescent="0.25">
      <c r="A2889" t="s">
        <v>23</v>
      </c>
      <c r="B2889" t="s">
        <v>19</v>
      </c>
      <c r="C2889" t="s">
        <v>18</v>
      </c>
      <c r="D2889" t="s">
        <v>14</v>
      </c>
      <c r="E2889">
        <v>0.94161490683229798</v>
      </c>
      <c r="F2889">
        <v>0.94943503875826096</v>
      </c>
      <c r="G2889">
        <v>27.6344010829925</v>
      </c>
      <c r="H2889">
        <v>7</v>
      </c>
      <c r="I2889">
        <v>7</v>
      </c>
      <c r="J2889">
        <v>30</v>
      </c>
    </row>
    <row r="2890" spans="1:10" x14ac:dyDescent="0.25">
      <c r="A2890" t="s">
        <v>23</v>
      </c>
      <c r="B2890" t="s">
        <v>19</v>
      </c>
      <c r="C2890" t="s">
        <v>18</v>
      </c>
      <c r="D2890" t="s">
        <v>14</v>
      </c>
      <c r="E2890">
        <v>0.93416149068322896</v>
      </c>
      <c r="F2890">
        <v>0.94493623081353995</v>
      </c>
      <c r="G2890">
        <v>28.664909124374301</v>
      </c>
      <c r="H2890">
        <v>7</v>
      </c>
      <c r="I2890">
        <v>7</v>
      </c>
      <c r="J2890">
        <v>30</v>
      </c>
    </row>
    <row r="2891" spans="1:10" x14ac:dyDescent="0.25">
      <c r="A2891" t="s">
        <v>23</v>
      </c>
      <c r="B2891" t="s">
        <v>19</v>
      </c>
      <c r="C2891" t="s">
        <v>18</v>
      </c>
      <c r="D2891" t="s">
        <v>14</v>
      </c>
      <c r="E2891">
        <v>0.92670807453416104</v>
      </c>
      <c r="F2891">
        <v>0.94002997279614897</v>
      </c>
      <c r="G2891">
        <v>29.168573379516602</v>
      </c>
      <c r="H2891">
        <v>7</v>
      </c>
      <c r="I2891">
        <v>7</v>
      </c>
      <c r="J2891">
        <v>30</v>
      </c>
    </row>
    <row r="2892" spans="1:10" x14ac:dyDescent="0.25">
      <c r="A2892" t="s">
        <v>23</v>
      </c>
      <c r="B2892" t="s">
        <v>19</v>
      </c>
      <c r="C2892" t="s">
        <v>18</v>
      </c>
      <c r="D2892" t="s">
        <v>14</v>
      </c>
      <c r="E2892">
        <v>0.93540372670807403</v>
      </c>
      <c r="F2892">
        <v>0.94542870156732906</v>
      </c>
      <c r="G2892">
        <v>29.657090425491301</v>
      </c>
      <c r="H2892">
        <v>7</v>
      </c>
      <c r="I2892">
        <v>7</v>
      </c>
      <c r="J2892">
        <v>30</v>
      </c>
    </row>
    <row r="2893" spans="1:10" x14ac:dyDescent="0.25">
      <c r="A2893" t="s">
        <v>23</v>
      </c>
      <c r="B2893" t="s">
        <v>19</v>
      </c>
      <c r="C2893" t="s">
        <v>18</v>
      </c>
      <c r="D2893" t="s">
        <v>14</v>
      </c>
      <c r="E2893">
        <v>0.94409937888198703</v>
      </c>
      <c r="F2893">
        <v>0.95154641749639701</v>
      </c>
      <c r="G2893">
        <v>31.124880075454701</v>
      </c>
      <c r="H2893">
        <v>7</v>
      </c>
      <c r="I2893">
        <v>7</v>
      </c>
      <c r="J2893">
        <v>30</v>
      </c>
    </row>
    <row r="2894" spans="1:10" x14ac:dyDescent="0.25">
      <c r="A2894" t="s">
        <v>23</v>
      </c>
      <c r="B2894" t="s">
        <v>19</v>
      </c>
      <c r="C2894" t="s">
        <v>18</v>
      </c>
      <c r="D2894" t="s">
        <v>14</v>
      </c>
      <c r="E2894">
        <v>0.93540372670807403</v>
      </c>
      <c r="F2894">
        <v>0.94558863326012399</v>
      </c>
      <c r="G2894">
        <v>30.649098873138399</v>
      </c>
      <c r="H2894">
        <v>7</v>
      </c>
      <c r="I2894">
        <v>7</v>
      </c>
      <c r="J2894">
        <v>30</v>
      </c>
    </row>
    <row r="2895" spans="1:10" x14ac:dyDescent="0.25">
      <c r="A2895" t="s">
        <v>23</v>
      </c>
      <c r="B2895" t="s">
        <v>19</v>
      </c>
      <c r="C2895" t="s">
        <v>18</v>
      </c>
      <c r="D2895" t="s">
        <v>14</v>
      </c>
      <c r="E2895">
        <v>0.94037267080745301</v>
      </c>
      <c r="F2895">
        <v>0.95001707685428505</v>
      </c>
      <c r="G2895">
        <v>31.0711073875427</v>
      </c>
      <c r="H2895">
        <v>7</v>
      </c>
      <c r="I2895">
        <v>7</v>
      </c>
      <c r="J2895">
        <v>30</v>
      </c>
    </row>
    <row r="2896" spans="1:10" x14ac:dyDescent="0.25">
      <c r="A2896" t="s">
        <v>23</v>
      </c>
      <c r="B2896" t="s">
        <v>19</v>
      </c>
      <c r="C2896" t="s">
        <v>18</v>
      </c>
      <c r="D2896" t="s">
        <v>14</v>
      </c>
      <c r="E2896">
        <v>0.93416149068322896</v>
      </c>
      <c r="F2896">
        <v>0.94378414513304298</v>
      </c>
      <c r="G2896">
        <v>31.3927307128906</v>
      </c>
      <c r="H2896">
        <v>7</v>
      </c>
      <c r="I2896">
        <v>7</v>
      </c>
      <c r="J2896">
        <v>30</v>
      </c>
    </row>
    <row r="2897" spans="1:10" x14ac:dyDescent="0.25">
      <c r="A2897" t="s">
        <v>23</v>
      </c>
      <c r="B2897" t="s">
        <v>19</v>
      </c>
      <c r="C2897" t="s">
        <v>18</v>
      </c>
      <c r="D2897" t="s">
        <v>14</v>
      </c>
      <c r="E2897">
        <v>0.92298136645962703</v>
      </c>
      <c r="F2897">
        <v>0.93702600516993795</v>
      </c>
      <c r="G2897">
        <v>32.491806030273402</v>
      </c>
      <c r="H2897">
        <v>7</v>
      </c>
      <c r="I2897">
        <v>7</v>
      </c>
      <c r="J2897">
        <v>30</v>
      </c>
    </row>
    <row r="2898" spans="1:10" x14ac:dyDescent="0.25">
      <c r="A2898" t="s">
        <v>23</v>
      </c>
      <c r="B2898" t="s">
        <v>19</v>
      </c>
      <c r="C2898" t="s">
        <v>18</v>
      </c>
      <c r="D2898" t="s">
        <v>14</v>
      </c>
      <c r="E2898">
        <v>0.92298136645962703</v>
      </c>
      <c r="F2898">
        <v>0.93735742796186305</v>
      </c>
      <c r="G2898">
        <v>32.680697917938197</v>
      </c>
      <c r="H2898">
        <v>7</v>
      </c>
      <c r="I2898">
        <v>7</v>
      </c>
      <c r="J2898">
        <v>30</v>
      </c>
    </row>
    <row r="2899" spans="1:10" x14ac:dyDescent="0.25">
      <c r="A2899" t="s">
        <v>23</v>
      </c>
      <c r="B2899" t="s">
        <v>19</v>
      </c>
      <c r="C2899" t="s">
        <v>18</v>
      </c>
      <c r="D2899" t="s">
        <v>14</v>
      </c>
      <c r="E2899">
        <v>0.99503105590062102</v>
      </c>
      <c r="F2899">
        <v>0.99443571436149003</v>
      </c>
      <c r="G2899">
        <v>33.551156282424898</v>
      </c>
      <c r="H2899">
        <v>10</v>
      </c>
      <c r="I2899">
        <v>10</v>
      </c>
      <c r="J2899">
        <v>30</v>
      </c>
    </row>
    <row r="2900" spans="1:10" x14ac:dyDescent="0.25">
      <c r="A2900" t="s">
        <v>23</v>
      </c>
      <c r="B2900" t="s">
        <v>19</v>
      </c>
      <c r="C2900" t="s">
        <v>18</v>
      </c>
      <c r="D2900" t="s">
        <v>14</v>
      </c>
      <c r="E2900">
        <v>0.99254658385093097</v>
      </c>
      <c r="F2900">
        <v>0.99251936332844704</v>
      </c>
      <c r="G2900">
        <v>33.421689987182603</v>
      </c>
      <c r="H2900">
        <v>10</v>
      </c>
      <c r="I2900">
        <v>10</v>
      </c>
      <c r="J2900">
        <v>30</v>
      </c>
    </row>
    <row r="2901" spans="1:10" x14ac:dyDescent="0.25">
      <c r="A2901" t="s">
        <v>23</v>
      </c>
      <c r="B2901" t="s">
        <v>19</v>
      </c>
      <c r="C2901" t="s">
        <v>18</v>
      </c>
      <c r="D2901" t="s">
        <v>14</v>
      </c>
      <c r="E2901">
        <v>0.99627329192546499</v>
      </c>
      <c r="F2901">
        <v>0.99555241346136603</v>
      </c>
      <c r="G2901">
        <v>33.909387111663797</v>
      </c>
      <c r="H2901">
        <v>10</v>
      </c>
      <c r="I2901">
        <v>10</v>
      </c>
      <c r="J2901">
        <v>30</v>
      </c>
    </row>
    <row r="2902" spans="1:10" x14ac:dyDescent="0.25">
      <c r="A2902" t="s">
        <v>23</v>
      </c>
      <c r="B2902" t="s">
        <v>19</v>
      </c>
      <c r="C2902" t="s">
        <v>18</v>
      </c>
      <c r="D2902" t="s">
        <v>14</v>
      </c>
      <c r="E2902">
        <v>0.99627329192546499</v>
      </c>
      <c r="F2902">
        <v>0.99548216287366398</v>
      </c>
      <c r="G2902">
        <v>33.706570148468003</v>
      </c>
      <c r="H2902">
        <v>10</v>
      </c>
      <c r="I2902">
        <v>10</v>
      </c>
      <c r="J2902">
        <v>30</v>
      </c>
    </row>
    <row r="2903" spans="1:10" x14ac:dyDescent="0.25">
      <c r="A2903" t="s">
        <v>23</v>
      </c>
      <c r="B2903" t="s">
        <v>19</v>
      </c>
      <c r="C2903" t="s">
        <v>18</v>
      </c>
      <c r="D2903" t="s">
        <v>14</v>
      </c>
      <c r="E2903">
        <v>0.99751552795030995</v>
      </c>
      <c r="F2903">
        <v>0.99730731849329102</v>
      </c>
      <c r="G2903">
        <v>34.102857351303101</v>
      </c>
      <c r="H2903">
        <v>11</v>
      </c>
      <c r="I2903">
        <v>11</v>
      </c>
      <c r="J2903">
        <v>30</v>
      </c>
    </row>
    <row r="2904" spans="1:10" x14ac:dyDescent="0.25">
      <c r="A2904" t="s">
        <v>23</v>
      </c>
      <c r="B2904" t="s">
        <v>19</v>
      </c>
      <c r="C2904" t="s">
        <v>18</v>
      </c>
      <c r="D2904" t="s">
        <v>14</v>
      </c>
      <c r="E2904">
        <v>0.99627329192546499</v>
      </c>
      <c r="F2904">
        <v>0.99533514216807395</v>
      </c>
      <c r="G2904">
        <v>34.260985374450598</v>
      </c>
      <c r="H2904">
        <v>11</v>
      </c>
      <c r="I2904">
        <v>11</v>
      </c>
      <c r="J2904">
        <v>30</v>
      </c>
    </row>
    <row r="2905" spans="1:10" x14ac:dyDescent="0.25">
      <c r="A2905" t="s">
        <v>23</v>
      </c>
      <c r="B2905" t="s">
        <v>19</v>
      </c>
      <c r="C2905" t="s">
        <v>18</v>
      </c>
      <c r="D2905" t="s">
        <v>14</v>
      </c>
      <c r="E2905">
        <v>0.99875776397515503</v>
      </c>
      <c r="F2905">
        <v>0.99850076139118005</v>
      </c>
      <c r="G2905">
        <v>34.808170318603501</v>
      </c>
      <c r="H2905">
        <v>10</v>
      </c>
      <c r="I2905">
        <v>10</v>
      </c>
      <c r="J2905">
        <v>30</v>
      </c>
    </row>
    <row r="2906" spans="1:10" x14ac:dyDescent="0.25">
      <c r="A2906" t="s">
        <v>23</v>
      </c>
      <c r="B2906" t="s">
        <v>19</v>
      </c>
      <c r="C2906" t="s">
        <v>18</v>
      </c>
      <c r="D2906" t="s">
        <v>14</v>
      </c>
      <c r="E2906">
        <v>0.99130434782608701</v>
      </c>
      <c r="F2906">
        <v>0.99182125807838495</v>
      </c>
      <c r="G2906">
        <v>35.120281934738102</v>
      </c>
      <c r="H2906">
        <v>11</v>
      </c>
      <c r="I2906">
        <v>11</v>
      </c>
      <c r="J2906">
        <v>30</v>
      </c>
    </row>
    <row r="2907" spans="1:10" x14ac:dyDescent="0.25">
      <c r="A2907" t="s">
        <v>23</v>
      </c>
      <c r="B2907" t="s">
        <v>19</v>
      </c>
      <c r="C2907" t="s">
        <v>18</v>
      </c>
      <c r="D2907" t="s">
        <v>14</v>
      </c>
      <c r="E2907">
        <v>0.99627329192546499</v>
      </c>
      <c r="F2907">
        <v>0.99571889122024804</v>
      </c>
      <c r="G2907">
        <v>34.953264474868703</v>
      </c>
      <c r="H2907">
        <v>12</v>
      </c>
      <c r="I2907">
        <v>12</v>
      </c>
      <c r="J2907">
        <v>30</v>
      </c>
    </row>
    <row r="2908" spans="1:10" x14ac:dyDescent="0.25">
      <c r="A2908" t="s">
        <v>23</v>
      </c>
      <c r="B2908" t="s">
        <v>19</v>
      </c>
      <c r="C2908" t="s">
        <v>18</v>
      </c>
      <c r="D2908" t="s">
        <v>14</v>
      </c>
      <c r="E2908">
        <v>0.98757763975155199</v>
      </c>
      <c r="F2908">
        <v>0.987440571581366</v>
      </c>
      <c r="G2908">
        <v>35.2813847064971</v>
      </c>
      <c r="H2908">
        <v>11</v>
      </c>
      <c r="I2908">
        <v>11</v>
      </c>
      <c r="J2908">
        <v>30</v>
      </c>
    </row>
    <row r="2909" spans="1:10" x14ac:dyDescent="0.25">
      <c r="A2909" t="s">
        <v>23</v>
      </c>
      <c r="B2909" t="s">
        <v>19</v>
      </c>
      <c r="C2909" t="s">
        <v>18</v>
      </c>
      <c r="D2909" t="s">
        <v>14</v>
      </c>
      <c r="E2909">
        <v>0.99006211180124204</v>
      </c>
      <c r="F2909">
        <v>0.99111622041602399</v>
      </c>
      <c r="G2909">
        <v>35.049857378005903</v>
      </c>
      <c r="H2909">
        <v>12</v>
      </c>
      <c r="I2909">
        <v>12</v>
      </c>
      <c r="J2909">
        <v>30</v>
      </c>
    </row>
    <row r="2910" spans="1:10" x14ac:dyDescent="0.25">
      <c r="A2910" t="s">
        <v>23</v>
      </c>
      <c r="B2910" t="s">
        <v>19</v>
      </c>
      <c r="C2910" t="s">
        <v>18</v>
      </c>
      <c r="D2910" t="s">
        <v>14</v>
      </c>
      <c r="E2910">
        <v>0.99378881987577605</v>
      </c>
      <c r="F2910">
        <v>0.99353667506906795</v>
      </c>
      <c r="G2910">
        <v>35.511272430419901</v>
      </c>
      <c r="H2910">
        <v>12</v>
      </c>
      <c r="I2910">
        <v>12</v>
      </c>
      <c r="J2910">
        <v>30</v>
      </c>
    </row>
    <row r="2911" spans="1:10" x14ac:dyDescent="0.25">
      <c r="A2911" t="s">
        <v>23</v>
      </c>
      <c r="B2911" t="s">
        <v>19</v>
      </c>
      <c r="C2911" t="s">
        <v>18</v>
      </c>
      <c r="D2911" t="s">
        <v>14</v>
      </c>
      <c r="E2911">
        <v>0.99503105590062102</v>
      </c>
      <c r="F2911">
        <v>0.99480439192521697</v>
      </c>
      <c r="G2911">
        <v>35.348958730697603</v>
      </c>
      <c r="H2911">
        <v>12</v>
      </c>
      <c r="I2911">
        <v>12</v>
      </c>
      <c r="J2911">
        <v>30</v>
      </c>
    </row>
    <row r="2912" spans="1:10" x14ac:dyDescent="0.25">
      <c r="A2912" t="s">
        <v>23</v>
      </c>
      <c r="B2912" t="s">
        <v>19</v>
      </c>
      <c r="C2912" t="s">
        <v>18</v>
      </c>
      <c r="D2912" t="s">
        <v>15</v>
      </c>
      <c r="E2912">
        <v>0</v>
      </c>
      <c r="F2912">
        <v>0.75</v>
      </c>
      <c r="G2912">
        <v>60.718365430831902</v>
      </c>
      <c r="H2912">
        <v>0</v>
      </c>
      <c r="I2912">
        <v>0</v>
      </c>
      <c r="J2912">
        <v>30</v>
      </c>
    </row>
    <row r="2913" spans="1:10" x14ac:dyDescent="0.25">
      <c r="A2913" t="s">
        <v>23</v>
      </c>
      <c r="B2913" t="s">
        <v>19</v>
      </c>
      <c r="C2913" t="s">
        <v>18</v>
      </c>
      <c r="D2913" t="s">
        <v>15</v>
      </c>
      <c r="E2913">
        <v>0</v>
      </c>
      <c r="F2913">
        <v>0.75</v>
      </c>
      <c r="G2913">
        <v>61.5747520923614</v>
      </c>
      <c r="H2913">
        <v>0</v>
      </c>
      <c r="I2913">
        <v>0</v>
      </c>
      <c r="J2913">
        <v>30</v>
      </c>
    </row>
    <row r="2914" spans="1:10" x14ac:dyDescent="0.25">
      <c r="A2914" t="s">
        <v>23</v>
      </c>
      <c r="B2914" t="s">
        <v>19</v>
      </c>
      <c r="C2914" t="s">
        <v>18</v>
      </c>
      <c r="D2914" t="s">
        <v>15</v>
      </c>
      <c r="E2914">
        <v>0</v>
      </c>
      <c r="F2914">
        <v>0.75</v>
      </c>
      <c r="G2914">
        <v>61.875978708267198</v>
      </c>
      <c r="H2914">
        <v>0</v>
      </c>
      <c r="I2914">
        <v>0</v>
      </c>
      <c r="J2914">
        <v>30</v>
      </c>
    </row>
    <row r="2915" spans="1:10" x14ac:dyDescent="0.25">
      <c r="A2915" t="s">
        <v>23</v>
      </c>
      <c r="B2915" t="s">
        <v>19</v>
      </c>
      <c r="C2915" t="s">
        <v>18</v>
      </c>
      <c r="D2915" t="s">
        <v>15</v>
      </c>
      <c r="E2915">
        <v>0</v>
      </c>
      <c r="F2915">
        <v>0.75</v>
      </c>
      <c r="G2915">
        <v>61.974680185317901</v>
      </c>
      <c r="H2915">
        <v>0</v>
      </c>
      <c r="I2915">
        <v>0</v>
      </c>
      <c r="J2915">
        <v>30</v>
      </c>
    </row>
    <row r="2916" spans="1:10" x14ac:dyDescent="0.25">
      <c r="A2916" t="s">
        <v>23</v>
      </c>
      <c r="B2916" t="s">
        <v>19</v>
      </c>
      <c r="C2916" t="s">
        <v>18</v>
      </c>
      <c r="D2916" t="s">
        <v>15</v>
      </c>
      <c r="E2916">
        <v>0</v>
      </c>
      <c r="F2916">
        <v>0.75</v>
      </c>
      <c r="G2916">
        <v>62.215978622436502</v>
      </c>
      <c r="H2916">
        <v>0</v>
      </c>
      <c r="I2916">
        <v>0</v>
      </c>
      <c r="J2916">
        <v>30</v>
      </c>
    </row>
    <row r="2917" spans="1:10" x14ac:dyDescent="0.25">
      <c r="A2917" t="s">
        <v>23</v>
      </c>
      <c r="B2917" t="s">
        <v>19</v>
      </c>
      <c r="C2917" t="s">
        <v>18</v>
      </c>
      <c r="D2917" t="s">
        <v>15</v>
      </c>
      <c r="E2917">
        <v>0</v>
      </c>
      <c r="F2917">
        <v>0.75</v>
      </c>
      <c r="G2917">
        <v>63.226080894470201</v>
      </c>
      <c r="H2917">
        <v>0</v>
      </c>
      <c r="I2917">
        <v>0</v>
      </c>
      <c r="J2917">
        <v>30</v>
      </c>
    </row>
    <row r="2918" spans="1:10" x14ac:dyDescent="0.25">
      <c r="A2918" t="s">
        <v>23</v>
      </c>
      <c r="B2918" t="s">
        <v>19</v>
      </c>
      <c r="C2918" t="s">
        <v>18</v>
      </c>
      <c r="D2918" t="s">
        <v>15</v>
      </c>
      <c r="E2918">
        <v>0</v>
      </c>
      <c r="F2918">
        <v>0.75</v>
      </c>
      <c r="G2918">
        <v>63.253979206085198</v>
      </c>
      <c r="H2918">
        <v>0</v>
      </c>
      <c r="I2918">
        <v>0</v>
      </c>
      <c r="J2918">
        <v>30</v>
      </c>
    </row>
    <row r="2919" spans="1:10" x14ac:dyDescent="0.25">
      <c r="A2919" t="s">
        <v>23</v>
      </c>
      <c r="B2919" t="s">
        <v>19</v>
      </c>
      <c r="C2919" t="s">
        <v>18</v>
      </c>
      <c r="D2919" t="s">
        <v>15</v>
      </c>
      <c r="E2919">
        <v>0</v>
      </c>
      <c r="F2919">
        <v>0.75</v>
      </c>
      <c r="G2919">
        <v>63.763096094131399</v>
      </c>
      <c r="H2919">
        <v>0</v>
      </c>
      <c r="I2919">
        <v>0</v>
      </c>
      <c r="J2919">
        <v>30</v>
      </c>
    </row>
    <row r="2920" spans="1:10" x14ac:dyDescent="0.25">
      <c r="A2920" t="s">
        <v>23</v>
      </c>
      <c r="B2920" t="s">
        <v>19</v>
      </c>
      <c r="C2920" t="s">
        <v>18</v>
      </c>
      <c r="D2920" t="s">
        <v>15</v>
      </c>
      <c r="E2920">
        <v>0</v>
      </c>
      <c r="F2920">
        <v>0.75</v>
      </c>
      <c r="G2920">
        <v>63.831335783004697</v>
      </c>
      <c r="H2920">
        <v>0</v>
      </c>
      <c r="I2920">
        <v>0</v>
      </c>
      <c r="J2920">
        <v>30</v>
      </c>
    </row>
    <row r="2921" spans="1:10" x14ac:dyDescent="0.25">
      <c r="A2921" t="s">
        <v>23</v>
      </c>
      <c r="B2921" t="s">
        <v>19</v>
      </c>
      <c r="C2921" t="s">
        <v>18</v>
      </c>
      <c r="D2921" t="s">
        <v>15</v>
      </c>
      <c r="E2921">
        <v>0</v>
      </c>
      <c r="F2921">
        <v>0.75</v>
      </c>
      <c r="G2921">
        <v>63.856545448303201</v>
      </c>
      <c r="H2921">
        <v>0</v>
      </c>
      <c r="I2921">
        <v>0</v>
      </c>
      <c r="J2921">
        <v>30</v>
      </c>
    </row>
    <row r="2922" spans="1:10" x14ac:dyDescent="0.25">
      <c r="A2922" t="s">
        <v>23</v>
      </c>
      <c r="B2922" t="s">
        <v>19</v>
      </c>
      <c r="C2922" t="s">
        <v>18</v>
      </c>
      <c r="D2922" t="s">
        <v>15</v>
      </c>
      <c r="E2922">
        <v>0</v>
      </c>
      <c r="F2922">
        <v>0.75</v>
      </c>
      <c r="G2922">
        <v>64.207485437393103</v>
      </c>
      <c r="H2922">
        <v>0</v>
      </c>
      <c r="I2922">
        <v>0</v>
      </c>
      <c r="J2922">
        <v>30</v>
      </c>
    </row>
    <row r="2923" spans="1:10" x14ac:dyDescent="0.25">
      <c r="A2923" t="s">
        <v>23</v>
      </c>
      <c r="B2923" t="s">
        <v>19</v>
      </c>
      <c r="C2923" t="s">
        <v>18</v>
      </c>
      <c r="D2923" t="s">
        <v>15</v>
      </c>
      <c r="E2923">
        <v>0</v>
      </c>
      <c r="F2923">
        <v>0.75</v>
      </c>
      <c r="G2923">
        <v>64.532455921173096</v>
      </c>
      <c r="H2923">
        <v>0</v>
      </c>
      <c r="I2923">
        <v>0</v>
      </c>
      <c r="J2923">
        <v>30</v>
      </c>
    </row>
    <row r="2924" spans="1:10" x14ac:dyDescent="0.25">
      <c r="A2924" t="s">
        <v>23</v>
      </c>
      <c r="B2924" t="s">
        <v>19</v>
      </c>
      <c r="C2924" t="s">
        <v>18</v>
      </c>
      <c r="D2924" t="s">
        <v>15</v>
      </c>
      <c r="E2924">
        <v>0</v>
      </c>
      <c r="F2924">
        <v>0.75</v>
      </c>
      <c r="G2924">
        <v>64.945851325988698</v>
      </c>
      <c r="H2924">
        <v>0</v>
      </c>
      <c r="I2924">
        <v>0</v>
      </c>
      <c r="J2924">
        <v>30</v>
      </c>
    </row>
    <row r="2925" spans="1:10" x14ac:dyDescent="0.25">
      <c r="A2925" t="s">
        <v>23</v>
      </c>
      <c r="B2925" t="s">
        <v>19</v>
      </c>
      <c r="C2925" t="s">
        <v>18</v>
      </c>
      <c r="D2925" t="s">
        <v>15</v>
      </c>
      <c r="E2925">
        <v>0</v>
      </c>
      <c r="F2925">
        <v>0.75</v>
      </c>
      <c r="G2925">
        <v>65.049449920654297</v>
      </c>
      <c r="H2925">
        <v>0</v>
      </c>
      <c r="I2925">
        <v>0</v>
      </c>
      <c r="J2925">
        <v>30</v>
      </c>
    </row>
    <row r="2926" spans="1:10" x14ac:dyDescent="0.25">
      <c r="A2926" t="s">
        <v>23</v>
      </c>
      <c r="B2926" t="s">
        <v>19</v>
      </c>
      <c r="C2926" t="s">
        <v>18</v>
      </c>
      <c r="D2926" t="s">
        <v>15</v>
      </c>
      <c r="E2926">
        <v>0</v>
      </c>
      <c r="F2926">
        <v>0.75</v>
      </c>
      <c r="G2926">
        <v>65.202193737030001</v>
      </c>
      <c r="H2926">
        <v>0</v>
      </c>
      <c r="I2926">
        <v>0</v>
      </c>
      <c r="J2926">
        <v>30</v>
      </c>
    </row>
    <row r="2927" spans="1:10" x14ac:dyDescent="0.25">
      <c r="A2927" t="s">
        <v>23</v>
      </c>
      <c r="B2927" t="s">
        <v>19</v>
      </c>
      <c r="C2927" t="s">
        <v>18</v>
      </c>
      <c r="D2927" t="s">
        <v>15</v>
      </c>
      <c r="E2927">
        <v>0</v>
      </c>
      <c r="F2927">
        <v>0.75</v>
      </c>
      <c r="G2927">
        <v>65.473610639572101</v>
      </c>
      <c r="H2927">
        <v>0</v>
      </c>
      <c r="I2927">
        <v>0</v>
      </c>
      <c r="J2927">
        <v>30</v>
      </c>
    </row>
    <row r="2928" spans="1:10" x14ac:dyDescent="0.25">
      <c r="A2928" t="s">
        <v>23</v>
      </c>
      <c r="B2928" t="s">
        <v>19</v>
      </c>
      <c r="C2928" t="s">
        <v>18</v>
      </c>
      <c r="D2928" t="s">
        <v>15</v>
      </c>
      <c r="E2928">
        <v>0</v>
      </c>
      <c r="F2928">
        <v>0.75</v>
      </c>
      <c r="G2928">
        <v>65.521037340164099</v>
      </c>
      <c r="H2928">
        <v>0</v>
      </c>
      <c r="I2928">
        <v>0</v>
      </c>
      <c r="J2928">
        <v>30</v>
      </c>
    </row>
    <row r="2929" spans="1:10" x14ac:dyDescent="0.25">
      <c r="A2929" t="s">
        <v>23</v>
      </c>
      <c r="B2929" t="s">
        <v>19</v>
      </c>
      <c r="C2929" t="s">
        <v>18</v>
      </c>
      <c r="D2929" t="s">
        <v>15</v>
      </c>
      <c r="E2929">
        <v>0</v>
      </c>
      <c r="F2929">
        <v>0.75</v>
      </c>
      <c r="G2929">
        <v>65.584214210510197</v>
      </c>
      <c r="H2929">
        <v>0</v>
      </c>
      <c r="I2929">
        <v>0</v>
      </c>
      <c r="J2929">
        <v>30</v>
      </c>
    </row>
    <row r="2930" spans="1:10" x14ac:dyDescent="0.25">
      <c r="A2930" t="s">
        <v>23</v>
      </c>
      <c r="B2930" t="s">
        <v>19</v>
      </c>
      <c r="C2930" t="s">
        <v>18</v>
      </c>
      <c r="D2930" t="s">
        <v>15</v>
      </c>
      <c r="E2930">
        <v>0</v>
      </c>
      <c r="F2930">
        <v>0.75</v>
      </c>
      <c r="G2930">
        <v>66.038259506225501</v>
      </c>
      <c r="H2930">
        <v>0</v>
      </c>
      <c r="I2930">
        <v>0</v>
      </c>
      <c r="J2930">
        <v>30</v>
      </c>
    </row>
    <row r="2931" spans="1:10" x14ac:dyDescent="0.25">
      <c r="A2931" t="s">
        <v>23</v>
      </c>
      <c r="B2931" t="s">
        <v>19</v>
      </c>
      <c r="C2931" t="s">
        <v>18</v>
      </c>
      <c r="D2931" t="s">
        <v>15</v>
      </c>
      <c r="E2931">
        <v>0</v>
      </c>
      <c r="F2931">
        <v>0.75</v>
      </c>
      <c r="G2931">
        <v>65.668815135955796</v>
      </c>
      <c r="H2931">
        <v>0</v>
      </c>
      <c r="I2931">
        <v>0</v>
      </c>
      <c r="J2931">
        <v>30</v>
      </c>
    </row>
    <row r="2932" spans="1:10" x14ac:dyDescent="0.25">
      <c r="A2932" t="s">
        <v>23</v>
      </c>
      <c r="B2932" t="s">
        <v>19</v>
      </c>
      <c r="C2932" t="s">
        <v>18</v>
      </c>
      <c r="D2932" t="s">
        <v>15</v>
      </c>
      <c r="E2932">
        <v>0</v>
      </c>
      <c r="F2932">
        <v>0.75</v>
      </c>
      <c r="G2932">
        <v>65.722938060760498</v>
      </c>
      <c r="H2932">
        <v>0</v>
      </c>
      <c r="I2932">
        <v>0</v>
      </c>
      <c r="J2932">
        <v>30</v>
      </c>
    </row>
    <row r="2933" spans="1:10" x14ac:dyDescent="0.25">
      <c r="A2933" t="s">
        <v>23</v>
      </c>
      <c r="B2933" t="s">
        <v>19</v>
      </c>
      <c r="C2933" t="s">
        <v>18</v>
      </c>
      <c r="D2933" t="s">
        <v>15</v>
      </c>
      <c r="E2933">
        <v>0</v>
      </c>
      <c r="F2933">
        <v>0.75</v>
      </c>
      <c r="G2933">
        <v>65.953343152999807</v>
      </c>
      <c r="H2933">
        <v>0</v>
      </c>
      <c r="I2933">
        <v>0</v>
      </c>
      <c r="J2933">
        <v>30</v>
      </c>
    </row>
    <row r="2934" spans="1:10" x14ac:dyDescent="0.25">
      <c r="A2934" t="s">
        <v>23</v>
      </c>
      <c r="B2934" t="s">
        <v>19</v>
      </c>
      <c r="C2934" t="s">
        <v>18</v>
      </c>
      <c r="D2934" t="s">
        <v>15</v>
      </c>
      <c r="E2934">
        <v>0</v>
      </c>
      <c r="F2934">
        <v>0.75</v>
      </c>
      <c r="G2934">
        <v>65.957759857177706</v>
      </c>
      <c r="H2934">
        <v>0</v>
      </c>
      <c r="I2934">
        <v>0</v>
      </c>
      <c r="J2934">
        <v>30</v>
      </c>
    </row>
    <row r="2935" spans="1:10" x14ac:dyDescent="0.25">
      <c r="A2935" t="s">
        <v>23</v>
      </c>
      <c r="B2935" t="s">
        <v>19</v>
      </c>
      <c r="C2935" t="s">
        <v>18</v>
      </c>
      <c r="D2935" t="s">
        <v>15</v>
      </c>
      <c r="E2935">
        <v>0</v>
      </c>
      <c r="F2935">
        <v>0.75</v>
      </c>
      <c r="G2935">
        <v>66.258442878723102</v>
      </c>
      <c r="H2935">
        <v>0</v>
      </c>
      <c r="I2935">
        <v>0</v>
      </c>
      <c r="J2935">
        <v>30</v>
      </c>
    </row>
    <row r="2936" spans="1:10" x14ac:dyDescent="0.25">
      <c r="A2936" t="s">
        <v>23</v>
      </c>
      <c r="B2936" t="s">
        <v>19</v>
      </c>
      <c r="C2936" t="s">
        <v>18</v>
      </c>
      <c r="D2936" t="s">
        <v>15</v>
      </c>
      <c r="E2936">
        <v>0</v>
      </c>
      <c r="F2936">
        <v>0.75</v>
      </c>
      <c r="G2936">
        <v>66.881397008895803</v>
      </c>
      <c r="H2936">
        <v>0</v>
      </c>
      <c r="I2936">
        <v>0</v>
      </c>
      <c r="J2936">
        <v>30</v>
      </c>
    </row>
    <row r="2937" spans="1:10" x14ac:dyDescent="0.25">
      <c r="A2937" t="s">
        <v>23</v>
      </c>
      <c r="B2937" t="s">
        <v>19</v>
      </c>
      <c r="C2937" t="s">
        <v>18</v>
      </c>
      <c r="D2937" t="s">
        <v>15</v>
      </c>
      <c r="E2937">
        <v>0</v>
      </c>
      <c r="F2937">
        <v>0.75</v>
      </c>
      <c r="G2937">
        <v>66.650630474090505</v>
      </c>
      <c r="H2937">
        <v>0</v>
      </c>
      <c r="I2937">
        <v>0</v>
      </c>
      <c r="J2937">
        <v>30</v>
      </c>
    </row>
    <row r="2938" spans="1:10" x14ac:dyDescent="0.25">
      <c r="A2938" t="s">
        <v>23</v>
      </c>
      <c r="B2938" t="s">
        <v>19</v>
      </c>
      <c r="C2938" t="s">
        <v>18</v>
      </c>
      <c r="D2938" t="s">
        <v>15</v>
      </c>
      <c r="E2938">
        <v>0</v>
      </c>
      <c r="F2938">
        <v>0.75</v>
      </c>
      <c r="G2938">
        <v>67.418999671936007</v>
      </c>
      <c r="H2938">
        <v>0</v>
      </c>
      <c r="I2938">
        <v>0</v>
      </c>
      <c r="J2938">
        <v>30</v>
      </c>
    </row>
    <row r="2939" spans="1:10" x14ac:dyDescent="0.25">
      <c r="A2939" t="s">
        <v>23</v>
      </c>
      <c r="B2939" t="s">
        <v>19</v>
      </c>
      <c r="C2939" t="s">
        <v>18</v>
      </c>
      <c r="D2939" t="s">
        <v>15</v>
      </c>
      <c r="E2939">
        <v>0</v>
      </c>
      <c r="F2939">
        <v>0.75</v>
      </c>
      <c r="G2939">
        <v>69.301769018173204</v>
      </c>
      <c r="H2939">
        <v>0</v>
      </c>
      <c r="I2939">
        <v>0</v>
      </c>
      <c r="J2939">
        <v>30</v>
      </c>
    </row>
    <row r="2940" spans="1:10" x14ac:dyDescent="0.25">
      <c r="A2940" t="s">
        <v>23</v>
      </c>
      <c r="B2940" t="s">
        <v>19</v>
      </c>
      <c r="C2940" t="s">
        <v>18</v>
      </c>
      <c r="D2940" t="s">
        <v>15</v>
      </c>
      <c r="E2940">
        <v>0</v>
      </c>
      <c r="F2940">
        <v>0.75</v>
      </c>
      <c r="G2940">
        <v>69.263893127441406</v>
      </c>
      <c r="H2940">
        <v>0</v>
      </c>
      <c r="I2940">
        <v>0</v>
      </c>
      <c r="J2940">
        <v>30</v>
      </c>
    </row>
    <row r="2941" spans="1:10" x14ac:dyDescent="0.25">
      <c r="A2941" t="s">
        <v>23</v>
      </c>
      <c r="B2941" t="s">
        <v>19</v>
      </c>
      <c r="C2941" t="s">
        <v>18</v>
      </c>
      <c r="D2941" t="s">
        <v>15</v>
      </c>
      <c r="E2941">
        <v>0</v>
      </c>
      <c r="F2941">
        <v>0.75</v>
      </c>
      <c r="G2941">
        <v>69.375550985336304</v>
      </c>
      <c r="H2941">
        <v>0</v>
      </c>
      <c r="I2941">
        <v>0</v>
      </c>
      <c r="J2941">
        <v>30</v>
      </c>
    </row>
    <row r="2942" spans="1:10" x14ac:dyDescent="0.25">
      <c r="A2942" t="s">
        <v>23</v>
      </c>
      <c r="B2942" t="s">
        <v>19</v>
      </c>
      <c r="C2942" t="s">
        <v>18</v>
      </c>
      <c r="D2942" t="s">
        <v>16</v>
      </c>
      <c r="E2942">
        <v>0</v>
      </c>
      <c r="F2942">
        <v>0.75</v>
      </c>
      <c r="G2942">
        <v>24.5322601795196</v>
      </c>
      <c r="H2942">
        <v>0</v>
      </c>
      <c r="I2942">
        <v>0</v>
      </c>
      <c r="J2942">
        <v>30</v>
      </c>
    </row>
    <row r="2943" spans="1:10" x14ac:dyDescent="0.25">
      <c r="A2943" t="s">
        <v>23</v>
      </c>
      <c r="B2943" t="s">
        <v>19</v>
      </c>
      <c r="C2943" t="s">
        <v>18</v>
      </c>
      <c r="D2943" t="s">
        <v>16</v>
      </c>
      <c r="E2943">
        <v>0</v>
      </c>
      <c r="F2943">
        <v>0.75</v>
      </c>
      <c r="G2943">
        <v>25.238026857376099</v>
      </c>
      <c r="H2943">
        <v>0</v>
      </c>
      <c r="I2943">
        <v>0</v>
      </c>
      <c r="J2943">
        <v>30</v>
      </c>
    </row>
    <row r="2944" spans="1:10" x14ac:dyDescent="0.25">
      <c r="A2944" t="s">
        <v>23</v>
      </c>
      <c r="B2944" t="s">
        <v>19</v>
      </c>
      <c r="C2944" t="s">
        <v>18</v>
      </c>
      <c r="D2944" t="s">
        <v>16</v>
      </c>
      <c r="E2944">
        <v>0</v>
      </c>
      <c r="F2944">
        <v>0.75</v>
      </c>
      <c r="G2944">
        <v>25.6979176998138</v>
      </c>
      <c r="H2944">
        <v>0</v>
      </c>
      <c r="I2944">
        <v>0</v>
      </c>
      <c r="J2944">
        <v>30</v>
      </c>
    </row>
    <row r="2945" spans="1:10" x14ac:dyDescent="0.25">
      <c r="A2945" t="s">
        <v>23</v>
      </c>
      <c r="B2945" t="s">
        <v>19</v>
      </c>
      <c r="C2945" t="s">
        <v>18</v>
      </c>
      <c r="D2945" t="s">
        <v>16</v>
      </c>
      <c r="E2945">
        <v>0</v>
      </c>
      <c r="F2945">
        <v>0.75</v>
      </c>
      <c r="G2945">
        <v>26.415299892425502</v>
      </c>
      <c r="H2945">
        <v>0</v>
      </c>
      <c r="I2945">
        <v>0</v>
      </c>
      <c r="J2945">
        <v>30</v>
      </c>
    </row>
    <row r="2946" spans="1:10" x14ac:dyDescent="0.25">
      <c r="A2946" t="s">
        <v>23</v>
      </c>
      <c r="B2946" t="s">
        <v>19</v>
      </c>
      <c r="C2946" t="s">
        <v>18</v>
      </c>
      <c r="D2946" t="s">
        <v>16</v>
      </c>
      <c r="E2946">
        <v>0</v>
      </c>
      <c r="F2946">
        <v>0.75</v>
      </c>
      <c r="G2946">
        <v>27.092887163162199</v>
      </c>
      <c r="H2946">
        <v>0</v>
      </c>
      <c r="I2946">
        <v>0</v>
      </c>
      <c r="J2946">
        <v>30</v>
      </c>
    </row>
    <row r="2947" spans="1:10" x14ac:dyDescent="0.25">
      <c r="A2947" t="s">
        <v>23</v>
      </c>
      <c r="B2947" t="s">
        <v>19</v>
      </c>
      <c r="C2947" t="s">
        <v>18</v>
      </c>
      <c r="D2947" t="s">
        <v>16</v>
      </c>
      <c r="E2947">
        <v>0</v>
      </c>
      <c r="F2947">
        <v>0.75</v>
      </c>
      <c r="G2947">
        <v>27.105257511138898</v>
      </c>
      <c r="H2947">
        <v>0</v>
      </c>
      <c r="I2947">
        <v>0</v>
      </c>
      <c r="J2947">
        <v>30</v>
      </c>
    </row>
    <row r="2948" spans="1:10" x14ac:dyDescent="0.25">
      <c r="A2948" t="s">
        <v>23</v>
      </c>
      <c r="B2948" t="s">
        <v>19</v>
      </c>
      <c r="C2948" t="s">
        <v>18</v>
      </c>
      <c r="D2948" t="s">
        <v>16</v>
      </c>
      <c r="E2948">
        <v>0</v>
      </c>
      <c r="F2948">
        <v>0.75</v>
      </c>
      <c r="G2948">
        <v>27.412537574767999</v>
      </c>
      <c r="H2948">
        <v>0</v>
      </c>
      <c r="I2948">
        <v>0</v>
      </c>
      <c r="J2948">
        <v>30</v>
      </c>
    </row>
    <row r="2949" spans="1:10" x14ac:dyDescent="0.25">
      <c r="A2949" t="s">
        <v>23</v>
      </c>
      <c r="B2949" t="s">
        <v>19</v>
      </c>
      <c r="C2949" t="s">
        <v>18</v>
      </c>
      <c r="D2949" t="s">
        <v>16</v>
      </c>
      <c r="E2949">
        <v>0</v>
      </c>
      <c r="F2949">
        <v>0.75</v>
      </c>
      <c r="G2949">
        <v>27.467224836349398</v>
      </c>
      <c r="H2949">
        <v>0</v>
      </c>
      <c r="I2949">
        <v>0</v>
      </c>
      <c r="J2949">
        <v>30</v>
      </c>
    </row>
    <row r="2950" spans="1:10" x14ac:dyDescent="0.25">
      <c r="A2950" t="s">
        <v>23</v>
      </c>
      <c r="B2950" t="s">
        <v>19</v>
      </c>
      <c r="C2950" t="s">
        <v>18</v>
      </c>
      <c r="D2950" t="s">
        <v>16</v>
      </c>
      <c r="E2950">
        <v>0</v>
      </c>
      <c r="F2950">
        <v>0.75</v>
      </c>
      <c r="G2950">
        <v>27.5660655498504</v>
      </c>
      <c r="H2950">
        <v>0</v>
      </c>
      <c r="I2950">
        <v>0</v>
      </c>
      <c r="J2950">
        <v>30</v>
      </c>
    </row>
    <row r="2951" spans="1:10" x14ac:dyDescent="0.25">
      <c r="A2951" t="s">
        <v>23</v>
      </c>
      <c r="B2951" t="s">
        <v>19</v>
      </c>
      <c r="C2951" t="s">
        <v>18</v>
      </c>
      <c r="D2951" t="s">
        <v>16</v>
      </c>
      <c r="E2951">
        <v>0</v>
      </c>
      <c r="F2951">
        <v>0.75</v>
      </c>
      <c r="G2951">
        <v>27.7163453102111</v>
      </c>
      <c r="H2951">
        <v>0</v>
      </c>
      <c r="I2951">
        <v>0</v>
      </c>
      <c r="J2951">
        <v>30</v>
      </c>
    </row>
    <row r="2952" spans="1:10" x14ac:dyDescent="0.25">
      <c r="A2952" t="s">
        <v>23</v>
      </c>
      <c r="B2952" t="s">
        <v>19</v>
      </c>
      <c r="C2952" t="s">
        <v>18</v>
      </c>
      <c r="D2952" t="s">
        <v>16</v>
      </c>
      <c r="E2952">
        <v>0</v>
      </c>
      <c r="F2952">
        <v>0.75</v>
      </c>
      <c r="G2952">
        <v>27.735147237777699</v>
      </c>
      <c r="H2952">
        <v>0</v>
      </c>
      <c r="I2952">
        <v>0</v>
      </c>
      <c r="J2952">
        <v>30</v>
      </c>
    </row>
    <row r="2953" spans="1:10" x14ac:dyDescent="0.25">
      <c r="A2953" t="s">
        <v>23</v>
      </c>
      <c r="B2953" t="s">
        <v>19</v>
      </c>
      <c r="C2953" t="s">
        <v>18</v>
      </c>
      <c r="D2953" t="s">
        <v>16</v>
      </c>
      <c r="E2953">
        <v>0</v>
      </c>
      <c r="F2953">
        <v>0.75</v>
      </c>
      <c r="G2953">
        <v>28.486553668975802</v>
      </c>
      <c r="H2953">
        <v>0</v>
      </c>
      <c r="I2953">
        <v>0</v>
      </c>
      <c r="J2953">
        <v>30</v>
      </c>
    </row>
    <row r="2954" spans="1:10" x14ac:dyDescent="0.25">
      <c r="A2954" t="s">
        <v>23</v>
      </c>
      <c r="B2954" t="s">
        <v>19</v>
      </c>
      <c r="C2954" t="s">
        <v>18</v>
      </c>
      <c r="D2954" t="s">
        <v>16</v>
      </c>
      <c r="E2954">
        <v>0</v>
      </c>
      <c r="F2954">
        <v>0.75</v>
      </c>
      <c r="G2954">
        <v>28.367778778076101</v>
      </c>
      <c r="H2954">
        <v>0</v>
      </c>
      <c r="I2954">
        <v>0</v>
      </c>
      <c r="J2954">
        <v>30</v>
      </c>
    </row>
    <row r="2955" spans="1:10" x14ac:dyDescent="0.25">
      <c r="A2955" t="s">
        <v>23</v>
      </c>
      <c r="B2955" t="s">
        <v>19</v>
      </c>
      <c r="C2955" t="s">
        <v>18</v>
      </c>
      <c r="D2955" t="s">
        <v>16</v>
      </c>
      <c r="E2955">
        <v>0</v>
      </c>
      <c r="F2955">
        <v>0.75</v>
      </c>
      <c r="G2955">
        <v>28.6990468502044</v>
      </c>
      <c r="H2955">
        <v>0</v>
      </c>
      <c r="I2955">
        <v>0</v>
      </c>
      <c r="J2955">
        <v>30</v>
      </c>
    </row>
    <row r="2956" spans="1:10" x14ac:dyDescent="0.25">
      <c r="A2956" t="s">
        <v>23</v>
      </c>
      <c r="B2956" t="s">
        <v>19</v>
      </c>
      <c r="C2956" t="s">
        <v>18</v>
      </c>
      <c r="D2956" t="s">
        <v>16</v>
      </c>
      <c r="E2956">
        <v>0</v>
      </c>
      <c r="F2956">
        <v>0.75</v>
      </c>
      <c r="G2956">
        <v>28.446336507797199</v>
      </c>
      <c r="H2956">
        <v>0</v>
      </c>
      <c r="I2956">
        <v>0</v>
      </c>
      <c r="J2956">
        <v>30</v>
      </c>
    </row>
    <row r="2957" spans="1:10" x14ac:dyDescent="0.25">
      <c r="A2957" t="s">
        <v>23</v>
      </c>
      <c r="B2957" t="s">
        <v>19</v>
      </c>
      <c r="C2957" t="s">
        <v>18</v>
      </c>
      <c r="D2957" t="s">
        <v>16</v>
      </c>
      <c r="E2957">
        <v>0</v>
      </c>
      <c r="F2957">
        <v>0.75</v>
      </c>
      <c r="G2957">
        <v>28.881957292556699</v>
      </c>
      <c r="H2957">
        <v>0</v>
      </c>
      <c r="I2957">
        <v>0</v>
      </c>
      <c r="J2957">
        <v>30</v>
      </c>
    </row>
    <row r="2958" spans="1:10" x14ac:dyDescent="0.25">
      <c r="A2958" t="s">
        <v>23</v>
      </c>
      <c r="B2958" t="s">
        <v>19</v>
      </c>
      <c r="C2958" t="s">
        <v>18</v>
      </c>
      <c r="D2958" t="s">
        <v>16</v>
      </c>
      <c r="E2958">
        <v>0</v>
      </c>
      <c r="F2958">
        <v>0.75</v>
      </c>
      <c r="G2958">
        <v>28.8831207752227</v>
      </c>
      <c r="H2958">
        <v>0</v>
      </c>
      <c r="I2958">
        <v>0</v>
      </c>
      <c r="J2958">
        <v>30</v>
      </c>
    </row>
    <row r="2959" spans="1:10" x14ac:dyDescent="0.25">
      <c r="A2959" t="s">
        <v>23</v>
      </c>
      <c r="B2959" t="s">
        <v>19</v>
      </c>
      <c r="C2959" t="s">
        <v>18</v>
      </c>
      <c r="D2959" t="s">
        <v>16</v>
      </c>
      <c r="E2959">
        <v>0</v>
      </c>
      <c r="F2959">
        <v>0.75</v>
      </c>
      <c r="G2959">
        <v>29.07222366333</v>
      </c>
      <c r="H2959">
        <v>0</v>
      </c>
      <c r="I2959">
        <v>0</v>
      </c>
      <c r="J2959">
        <v>30</v>
      </c>
    </row>
    <row r="2960" spans="1:10" x14ac:dyDescent="0.25">
      <c r="A2960" t="s">
        <v>23</v>
      </c>
      <c r="B2960" t="s">
        <v>19</v>
      </c>
      <c r="C2960" t="s">
        <v>18</v>
      </c>
      <c r="D2960" t="s">
        <v>16</v>
      </c>
      <c r="E2960">
        <v>0</v>
      </c>
      <c r="F2960">
        <v>0.75</v>
      </c>
      <c r="G2960">
        <v>28.7836465835571</v>
      </c>
      <c r="H2960">
        <v>0</v>
      </c>
      <c r="I2960">
        <v>0</v>
      </c>
      <c r="J2960">
        <v>30</v>
      </c>
    </row>
    <row r="2961" spans="1:10" x14ac:dyDescent="0.25">
      <c r="A2961" t="s">
        <v>23</v>
      </c>
      <c r="B2961" t="s">
        <v>19</v>
      </c>
      <c r="C2961" t="s">
        <v>18</v>
      </c>
      <c r="D2961" t="s">
        <v>16</v>
      </c>
      <c r="E2961">
        <v>0</v>
      </c>
      <c r="F2961">
        <v>0.75</v>
      </c>
      <c r="G2961">
        <v>28.8494102954864</v>
      </c>
      <c r="H2961">
        <v>0</v>
      </c>
      <c r="I2961">
        <v>0</v>
      </c>
      <c r="J2961">
        <v>30</v>
      </c>
    </row>
    <row r="2962" spans="1:10" x14ac:dyDescent="0.25">
      <c r="A2962" t="s">
        <v>23</v>
      </c>
      <c r="B2962" t="s">
        <v>19</v>
      </c>
      <c r="C2962" t="s">
        <v>18</v>
      </c>
      <c r="D2962" t="s">
        <v>16</v>
      </c>
      <c r="E2962">
        <v>0</v>
      </c>
      <c r="F2962">
        <v>0.75</v>
      </c>
      <c r="G2962">
        <v>29.511660099029498</v>
      </c>
      <c r="H2962">
        <v>0</v>
      </c>
      <c r="I2962">
        <v>0</v>
      </c>
      <c r="J2962">
        <v>30</v>
      </c>
    </row>
    <row r="2963" spans="1:10" x14ac:dyDescent="0.25">
      <c r="A2963" t="s">
        <v>23</v>
      </c>
      <c r="B2963" t="s">
        <v>19</v>
      </c>
      <c r="C2963" t="s">
        <v>18</v>
      </c>
      <c r="D2963" t="s">
        <v>16</v>
      </c>
      <c r="E2963">
        <v>0</v>
      </c>
      <c r="F2963">
        <v>0.75</v>
      </c>
      <c r="G2963">
        <v>29.1518905162811</v>
      </c>
      <c r="H2963">
        <v>0</v>
      </c>
      <c r="I2963">
        <v>0</v>
      </c>
      <c r="J2963">
        <v>30</v>
      </c>
    </row>
    <row r="2964" spans="1:10" x14ac:dyDescent="0.25">
      <c r="A2964" t="s">
        <v>23</v>
      </c>
      <c r="B2964" t="s">
        <v>19</v>
      </c>
      <c r="C2964" t="s">
        <v>18</v>
      </c>
      <c r="D2964" t="s">
        <v>16</v>
      </c>
      <c r="E2964">
        <v>0</v>
      </c>
      <c r="F2964">
        <v>0.75</v>
      </c>
      <c r="G2964">
        <v>29.186310052871701</v>
      </c>
      <c r="H2964">
        <v>0</v>
      </c>
      <c r="I2964">
        <v>0</v>
      </c>
      <c r="J2964">
        <v>30</v>
      </c>
    </row>
    <row r="2965" spans="1:10" x14ac:dyDescent="0.25">
      <c r="A2965" t="s">
        <v>23</v>
      </c>
      <c r="B2965" t="s">
        <v>19</v>
      </c>
      <c r="C2965" t="s">
        <v>18</v>
      </c>
      <c r="D2965" t="s">
        <v>16</v>
      </c>
      <c r="E2965">
        <v>0</v>
      </c>
      <c r="F2965">
        <v>0.75</v>
      </c>
      <c r="G2965">
        <v>29.3238508701324</v>
      </c>
      <c r="H2965">
        <v>0</v>
      </c>
      <c r="I2965">
        <v>0</v>
      </c>
      <c r="J2965">
        <v>30</v>
      </c>
    </row>
    <row r="2966" spans="1:10" x14ac:dyDescent="0.25">
      <c r="A2966" t="s">
        <v>23</v>
      </c>
      <c r="B2966" t="s">
        <v>19</v>
      </c>
      <c r="C2966" t="s">
        <v>18</v>
      </c>
      <c r="D2966" t="s">
        <v>16</v>
      </c>
      <c r="E2966">
        <v>0</v>
      </c>
      <c r="F2966">
        <v>0.75</v>
      </c>
      <c r="G2966">
        <v>29.381229639053299</v>
      </c>
      <c r="H2966">
        <v>0</v>
      </c>
      <c r="I2966">
        <v>0</v>
      </c>
      <c r="J2966">
        <v>30</v>
      </c>
    </row>
    <row r="2967" spans="1:10" x14ac:dyDescent="0.25">
      <c r="A2967" t="s">
        <v>23</v>
      </c>
      <c r="B2967" t="s">
        <v>19</v>
      </c>
      <c r="C2967" t="s">
        <v>18</v>
      </c>
      <c r="D2967" t="s">
        <v>16</v>
      </c>
      <c r="E2967">
        <v>0</v>
      </c>
      <c r="F2967">
        <v>0.75</v>
      </c>
      <c r="G2967">
        <v>29.681318044662401</v>
      </c>
      <c r="H2967">
        <v>0</v>
      </c>
      <c r="I2967">
        <v>0</v>
      </c>
      <c r="J2967">
        <v>30</v>
      </c>
    </row>
    <row r="2968" spans="1:10" x14ac:dyDescent="0.25">
      <c r="A2968" t="s">
        <v>23</v>
      </c>
      <c r="B2968" t="s">
        <v>19</v>
      </c>
      <c r="C2968" t="s">
        <v>18</v>
      </c>
      <c r="D2968" t="s">
        <v>16</v>
      </c>
      <c r="E2968">
        <v>0</v>
      </c>
      <c r="F2968">
        <v>0.75</v>
      </c>
      <c r="G2968">
        <v>29.483919620513898</v>
      </c>
      <c r="H2968">
        <v>0</v>
      </c>
      <c r="I2968">
        <v>0</v>
      </c>
      <c r="J2968">
        <v>30</v>
      </c>
    </row>
    <row r="2969" spans="1:10" x14ac:dyDescent="0.25">
      <c r="A2969" t="s">
        <v>23</v>
      </c>
      <c r="B2969" t="s">
        <v>19</v>
      </c>
      <c r="C2969" t="s">
        <v>18</v>
      </c>
      <c r="D2969" t="s">
        <v>16</v>
      </c>
      <c r="E2969">
        <v>0</v>
      </c>
      <c r="F2969">
        <v>0.75</v>
      </c>
      <c r="G2969">
        <v>29.628789424896201</v>
      </c>
      <c r="H2969">
        <v>0</v>
      </c>
      <c r="I2969">
        <v>0</v>
      </c>
      <c r="J2969">
        <v>30</v>
      </c>
    </row>
    <row r="2970" spans="1:10" x14ac:dyDescent="0.25">
      <c r="A2970" t="s">
        <v>23</v>
      </c>
      <c r="B2970" t="s">
        <v>19</v>
      </c>
      <c r="C2970" t="s">
        <v>18</v>
      </c>
      <c r="D2970" t="s">
        <v>16</v>
      </c>
      <c r="E2970">
        <v>0</v>
      </c>
      <c r="F2970">
        <v>0.75</v>
      </c>
      <c r="G2970">
        <v>29.8407158851623</v>
      </c>
      <c r="H2970">
        <v>0</v>
      </c>
      <c r="I2970">
        <v>0</v>
      </c>
      <c r="J2970">
        <v>30</v>
      </c>
    </row>
    <row r="2971" spans="1:10" x14ac:dyDescent="0.25">
      <c r="A2971" t="s">
        <v>23</v>
      </c>
      <c r="B2971" t="s">
        <v>19</v>
      </c>
      <c r="C2971" t="s">
        <v>18</v>
      </c>
      <c r="D2971" t="s">
        <v>16</v>
      </c>
      <c r="E2971">
        <v>0</v>
      </c>
      <c r="F2971">
        <v>0.75</v>
      </c>
      <c r="G2971">
        <v>29.8888595104217</v>
      </c>
      <c r="H2971">
        <v>0</v>
      </c>
      <c r="I2971">
        <v>0</v>
      </c>
      <c r="J2971">
        <v>30</v>
      </c>
    </row>
    <row r="2972" spans="1:10" x14ac:dyDescent="0.25">
      <c r="A2972" t="s">
        <v>23</v>
      </c>
      <c r="B2972" t="s">
        <v>19</v>
      </c>
      <c r="C2972" t="s">
        <v>18</v>
      </c>
      <c r="D2972" t="s">
        <v>17</v>
      </c>
      <c r="E2972">
        <v>2.7329192546583801E-2</v>
      </c>
      <c r="F2972">
        <v>0.75450223497838498</v>
      </c>
      <c r="G2972">
        <v>738.51828789710999</v>
      </c>
      <c r="H2972">
        <v>34</v>
      </c>
      <c r="I2972">
        <v>43</v>
      </c>
      <c r="J2972">
        <v>30</v>
      </c>
    </row>
    <row r="2973" spans="1:10" x14ac:dyDescent="0.25">
      <c r="A2973" t="s">
        <v>23</v>
      </c>
      <c r="B2973" t="s">
        <v>19</v>
      </c>
      <c r="C2973" t="s">
        <v>18</v>
      </c>
      <c r="D2973" t="s">
        <v>17</v>
      </c>
      <c r="E2973">
        <v>2.4844720496894401E-2</v>
      </c>
      <c r="F2973">
        <v>0.75265372993167701</v>
      </c>
      <c r="G2973">
        <v>1088.60437750816</v>
      </c>
      <c r="H2973">
        <v>47</v>
      </c>
      <c r="I2973">
        <v>57</v>
      </c>
      <c r="J2973">
        <v>30</v>
      </c>
    </row>
    <row r="2974" spans="1:10" x14ac:dyDescent="0.25">
      <c r="A2974" t="s">
        <v>23</v>
      </c>
      <c r="B2974" t="s">
        <v>19</v>
      </c>
      <c r="C2974" t="s">
        <v>18</v>
      </c>
      <c r="D2974" t="s">
        <v>17</v>
      </c>
      <c r="E2974">
        <v>3.2298136645962698E-2</v>
      </c>
      <c r="F2974">
        <v>0.75369093368844697</v>
      </c>
      <c r="G2974">
        <v>1118.9487469196299</v>
      </c>
      <c r="H2974">
        <v>48</v>
      </c>
      <c r="I2974">
        <v>58</v>
      </c>
      <c r="J2974">
        <v>30</v>
      </c>
    </row>
    <row r="2975" spans="1:10" x14ac:dyDescent="0.25">
      <c r="A2975" t="s">
        <v>23</v>
      </c>
      <c r="B2975" t="s">
        <v>19</v>
      </c>
      <c r="C2975" t="s">
        <v>18</v>
      </c>
      <c r="D2975" t="s">
        <v>17</v>
      </c>
      <c r="E2975">
        <v>2.6086956521739101E-2</v>
      </c>
      <c r="F2975">
        <v>0.75375173959192499</v>
      </c>
      <c r="G2975">
        <v>1137.0039825439401</v>
      </c>
      <c r="H2975">
        <v>47</v>
      </c>
      <c r="I2975">
        <v>58</v>
      </c>
      <c r="J2975">
        <v>30</v>
      </c>
    </row>
    <row r="2976" spans="1:10" x14ac:dyDescent="0.25">
      <c r="A2976" t="s">
        <v>23</v>
      </c>
      <c r="B2976" t="s">
        <v>19</v>
      </c>
      <c r="C2976" t="s">
        <v>18</v>
      </c>
      <c r="D2976" t="s">
        <v>17</v>
      </c>
      <c r="E2976">
        <v>2.2360248447204901E-2</v>
      </c>
      <c r="F2976">
        <v>0.752457160133291</v>
      </c>
      <c r="G2976">
        <v>1153.6684186458499</v>
      </c>
      <c r="H2976">
        <v>47</v>
      </c>
      <c r="I2976">
        <v>60</v>
      </c>
      <c r="J2976">
        <v>30</v>
      </c>
    </row>
    <row r="2977" spans="1:10" x14ac:dyDescent="0.25">
      <c r="A2977" t="s">
        <v>23</v>
      </c>
      <c r="B2977" t="s">
        <v>19</v>
      </c>
      <c r="C2977" t="s">
        <v>18</v>
      </c>
      <c r="D2977" t="s">
        <v>17</v>
      </c>
      <c r="E2977">
        <v>2.8571428571428501E-2</v>
      </c>
      <c r="F2977">
        <v>0.75310937807353995</v>
      </c>
      <c r="G2977">
        <v>1169.5751295089699</v>
      </c>
      <c r="H2977">
        <v>44</v>
      </c>
      <c r="I2977">
        <v>49</v>
      </c>
      <c r="J2977">
        <v>30</v>
      </c>
    </row>
    <row r="2978" spans="1:10" x14ac:dyDescent="0.25">
      <c r="A2978" t="s">
        <v>23</v>
      </c>
      <c r="B2978" t="s">
        <v>19</v>
      </c>
      <c r="C2978" t="s">
        <v>18</v>
      </c>
      <c r="D2978" t="s">
        <v>17</v>
      </c>
      <c r="E2978">
        <v>2.2360248447204901E-2</v>
      </c>
      <c r="F2978">
        <v>0.75126291371863296</v>
      </c>
      <c r="G2978">
        <v>1190.45736718177</v>
      </c>
      <c r="H2978">
        <v>46</v>
      </c>
      <c r="I2978">
        <v>52</v>
      </c>
      <c r="J2978">
        <v>30</v>
      </c>
    </row>
    <row r="2979" spans="1:10" x14ac:dyDescent="0.25">
      <c r="A2979" t="s">
        <v>23</v>
      </c>
      <c r="B2979" t="s">
        <v>19</v>
      </c>
      <c r="C2979" t="s">
        <v>18</v>
      </c>
      <c r="D2979" t="s">
        <v>17</v>
      </c>
      <c r="E2979">
        <v>3.1055900621118002E-2</v>
      </c>
      <c r="F2979">
        <v>0.75298376683975099</v>
      </c>
      <c r="G2979">
        <v>1199.9017546176899</v>
      </c>
      <c r="H2979">
        <v>47</v>
      </c>
      <c r="I2979">
        <v>59</v>
      </c>
      <c r="J2979">
        <v>30</v>
      </c>
    </row>
    <row r="2980" spans="1:10" x14ac:dyDescent="0.25">
      <c r="A2980" t="s">
        <v>23</v>
      </c>
      <c r="B2980" t="s">
        <v>19</v>
      </c>
      <c r="C2980" t="s">
        <v>18</v>
      </c>
      <c r="D2980" t="s">
        <v>17</v>
      </c>
      <c r="E2980">
        <v>2.8571428571428501E-2</v>
      </c>
      <c r="F2980">
        <v>0.75247821424658301</v>
      </c>
      <c r="G2980">
        <v>1221.23017454147</v>
      </c>
      <c r="H2980">
        <v>55</v>
      </c>
      <c r="I2980">
        <v>66</v>
      </c>
      <c r="J2980">
        <v>30</v>
      </c>
    </row>
    <row r="2981" spans="1:10" x14ac:dyDescent="0.25">
      <c r="A2981" t="s">
        <v>23</v>
      </c>
      <c r="B2981" t="s">
        <v>19</v>
      </c>
      <c r="C2981" t="s">
        <v>18</v>
      </c>
      <c r="D2981" t="s">
        <v>17</v>
      </c>
      <c r="E2981">
        <v>4.7204968944099299E-2</v>
      </c>
      <c r="F2981">
        <v>0.755102567218633</v>
      </c>
      <c r="G2981">
        <v>1272.7908313274299</v>
      </c>
      <c r="H2981">
        <v>57</v>
      </c>
      <c r="I2981">
        <v>66</v>
      </c>
      <c r="J2981">
        <v>30</v>
      </c>
    </row>
    <row r="2982" spans="1:10" x14ac:dyDescent="0.25">
      <c r="A2982" t="s">
        <v>23</v>
      </c>
      <c r="B2982" t="s">
        <v>19</v>
      </c>
      <c r="C2982" t="s">
        <v>18</v>
      </c>
      <c r="D2982" t="s">
        <v>17</v>
      </c>
      <c r="E2982">
        <v>3.3540372670807402E-2</v>
      </c>
      <c r="F2982">
        <v>0.75138180158186296</v>
      </c>
      <c r="G2982">
        <v>1285.7778570651999</v>
      </c>
      <c r="H2982">
        <v>53</v>
      </c>
      <c r="I2982">
        <v>66</v>
      </c>
      <c r="J2982">
        <v>30</v>
      </c>
    </row>
    <row r="2983" spans="1:10" x14ac:dyDescent="0.25">
      <c r="A2983" t="s">
        <v>23</v>
      </c>
      <c r="B2983" t="s">
        <v>19</v>
      </c>
      <c r="C2983" t="s">
        <v>18</v>
      </c>
      <c r="D2983" t="s">
        <v>17</v>
      </c>
      <c r="E2983">
        <v>3.7267080745341602E-2</v>
      </c>
      <c r="F2983">
        <v>0.75443672595515499</v>
      </c>
      <c r="G2983">
        <v>1302.90000367164</v>
      </c>
      <c r="H2983">
        <v>52</v>
      </c>
      <c r="I2983">
        <v>64</v>
      </c>
      <c r="J2983">
        <v>30</v>
      </c>
    </row>
    <row r="2984" spans="1:10" x14ac:dyDescent="0.25">
      <c r="A2984" t="s">
        <v>23</v>
      </c>
      <c r="B2984" t="s">
        <v>19</v>
      </c>
      <c r="C2984" t="s">
        <v>18</v>
      </c>
      <c r="D2984" t="s">
        <v>17</v>
      </c>
      <c r="E2984">
        <v>3.1055900621118002E-2</v>
      </c>
      <c r="F2984">
        <v>0.75334218244360196</v>
      </c>
      <c r="G2984">
        <v>1342.7268791198701</v>
      </c>
      <c r="H2984">
        <v>54</v>
      </c>
      <c r="I2984">
        <v>62</v>
      </c>
      <c r="J2984">
        <v>30</v>
      </c>
    </row>
    <row r="2985" spans="1:10" x14ac:dyDescent="0.25">
      <c r="A2985" t="s">
        <v>23</v>
      </c>
      <c r="B2985" t="s">
        <v>19</v>
      </c>
      <c r="C2985" t="s">
        <v>18</v>
      </c>
      <c r="D2985" t="s">
        <v>17</v>
      </c>
      <c r="E2985">
        <v>2.3602484472049601E-2</v>
      </c>
      <c r="F2985">
        <v>0.75158644313204903</v>
      </c>
      <c r="G2985">
        <v>1420.27152323722</v>
      </c>
      <c r="H2985">
        <v>62</v>
      </c>
      <c r="I2985">
        <v>71</v>
      </c>
      <c r="J2985">
        <v>30</v>
      </c>
    </row>
    <row r="2986" spans="1:10" x14ac:dyDescent="0.25">
      <c r="A2986" t="s">
        <v>23</v>
      </c>
      <c r="B2986" t="s">
        <v>19</v>
      </c>
      <c r="C2986" t="s">
        <v>18</v>
      </c>
      <c r="D2986" t="s">
        <v>17</v>
      </c>
      <c r="E2986">
        <v>8.1987577639751494E-2</v>
      </c>
      <c r="F2986">
        <v>0.76307262797987496</v>
      </c>
      <c r="G2986">
        <v>1510.8296463489501</v>
      </c>
      <c r="H2986">
        <v>71</v>
      </c>
      <c r="I2986">
        <v>84</v>
      </c>
      <c r="J2986">
        <v>30</v>
      </c>
    </row>
    <row r="2987" spans="1:10" x14ac:dyDescent="0.25">
      <c r="A2987" t="s">
        <v>23</v>
      </c>
      <c r="B2987" t="s">
        <v>19</v>
      </c>
      <c r="C2987" t="s">
        <v>18</v>
      </c>
      <c r="D2987" t="s">
        <v>17</v>
      </c>
      <c r="E2987">
        <v>6.08695652173913E-2</v>
      </c>
      <c r="F2987">
        <v>0.75930931036583804</v>
      </c>
      <c r="G2987">
        <v>1618.71524763107</v>
      </c>
      <c r="H2987">
        <v>71</v>
      </c>
      <c r="I2987">
        <v>82</v>
      </c>
      <c r="J2987">
        <v>30</v>
      </c>
    </row>
    <row r="2988" spans="1:10" x14ac:dyDescent="0.25">
      <c r="A2988" t="s">
        <v>23</v>
      </c>
      <c r="B2988" t="s">
        <v>19</v>
      </c>
      <c r="C2988" t="s">
        <v>18</v>
      </c>
      <c r="D2988" t="s">
        <v>17</v>
      </c>
      <c r="E2988">
        <v>5.9627329192546499E-2</v>
      </c>
      <c r="F2988">
        <v>0.75870478885739101</v>
      </c>
      <c r="G2988">
        <v>1695.7464764118099</v>
      </c>
      <c r="H2988">
        <v>69</v>
      </c>
      <c r="I2988">
        <v>86</v>
      </c>
      <c r="J2988">
        <v>30</v>
      </c>
    </row>
    <row r="2989" spans="1:10" x14ac:dyDescent="0.25">
      <c r="A2989" t="s">
        <v>23</v>
      </c>
      <c r="B2989" t="s">
        <v>19</v>
      </c>
      <c r="C2989" t="s">
        <v>18</v>
      </c>
      <c r="D2989" t="s">
        <v>17</v>
      </c>
      <c r="E2989">
        <v>6.8322981366459604E-2</v>
      </c>
      <c r="F2989">
        <v>0.76137744078695602</v>
      </c>
      <c r="G2989">
        <v>1695.9861729145</v>
      </c>
      <c r="H2989">
        <v>71</v>
      </c>
      <c r="I2989">
        <v>88</v>
      </c>
      <c r="J2989">
        <v>30</v>
      </c>
    </row>
    <row r="2990" spans="1:10" x14ac:dyDescent="0.25">
      <c r="A2990" t="s">
        <v>23</v>
      </c>
      <c r="B2990" t="s">
        <v>19</v>
      </c>
      <c r="C2990" t="s">
        <v>18</v>
      </c>
      <c r="D2990" t="s">
        <v>17</v>
      </c>
      <c r="E2990">
        <v>4.4720496894409899E-2</v>
      </c>
      <c r="F2990">
        <v>0.75690289191192495</v>
      </c>
      <c r="G2990">
        <v>1706.1450107097601</v>
      </c>
      <c r="H2990">
        <v>68</v>
      </c>
      <c r="I2990">
        <v>83</v>
      </c>
      <c r="J2990">
        <v>30</v>
      </c>
    </row>
    <row r="2991" spans="1:10" x14ac:dyDescent="0.25">
      <c r="A2991" t="s">
        <v>23</v>
      </c>
      <c r="B2991" t="s">
        <v>19</v>
      </c>
      <c r="C2991" t="s">
        <v>18</v>
      </c>
      <c r="D2991" t="s">
        <v>17</v>
      </c>
      <c r="E2991">
        <v>5.7142857142857099E-2</v>
      </c>
      <c r="F2991">
        <v>0.75708056607428498</v>
      </c>
      <c r="G2991">
        <v>1709.19227695465</v>
      </c>
      <c r="H2991">
        <v>68</v>
      </c>
      <c r="I2991">
        <v>79</v>
      </c>
      <c r="J2991">
        <v>30</v>
      </c>
    </row>
    <row r="2992" spans="1:10" x14ac:dyDescent="0.25">
      <c r="A2992" t="s">
        <v>23</v>
      </c>
      <c r="B2992" t="s">
        <v>19</v>
      </c>
      <c r="C2992" t="s">
        <v>18</v>
      </c>
      <c r="D2992" t="s">
        <v>17</v>
      </c>
      <c r="E2992">
        <v>5.3416149068322899E-2</v>
      </c>
      <c r="F2992">
        <v>0.75794756153950305</v>
      </c>
      <c r="G2992">
        <v>1714.34752678871</v>
      </c>
      <c r="H2992">
        <v>73</v>
      </c>
      <c r="I2992">
        <v>82</v>
      </c>
      <c r="J2992">
        <v>30</v>
      </c>
    </row>
    <row r="2993" spans="1:10" x14ac:dyDescent="0.25">
      <c r="A2993" t="s">
        <v>23</v>
      </c>
      <c r="B2993" t="s">
        <v>19</v>
      </c>
      <c r="C2993" t="s">
        <v>18</v>
      </c>
      <c r="D2993" t="s">
        <v>17</v>
      </c>
      <c r="E2993">
        <v>6.58385093167701E-2</v>
      </c>
      <c r="F2993">
        <v>0.75767264444335403</v>
      </c>
      <c r="G2993">
        <v>1720.14420747756</v>
      </c>
      <c r="H2993">
        <v>75</v>
      </c>
      <c r="I2993">
        <v>89</v>
      </c>
      <c r="J2993">
        <v>30</v>
      </c>
    </row>
    <row r="2994" spans="1:10" x14ac:dyDescent="0.25">
      <c r="A2994" t="s">
        <v>23</v>
      </c>
      <c r="B2994" t="s">
        <v>19</v>
      </c>
      <c r="C2994" t="s">
        <v>18</v>
      </c>
      <c r="D2994" t="s">
        <v>17</v>
      </c>
      <c r="E2994">
        <v>8.4472049689440998E-2</v>
      </c>
      <c r="F2994">
        <v>0.76125005330148998</v>
      </c>
      <c r="G2994">
        <v>1784.71154403686</v>
      </c>
      <c r="H2994">
        <v>87</v>
      </c>
      <c r="I2994">
        <v>98</v>
      </c>
      <c r="J2994">
        <v>30</v>
      </c>
    </row>
    <row r="2995" spans="1:10" x14ac:dyDescent="0.25">
      <c r="A2995" t="s">
        <v>23</v>
      </c>
      <c r="B2995" t="s">
        <v>19</v>
      </c>
      <c r="C2995" t="s">
        <v>18</v>
      </c>
      <c r="D2995" t="s">
        <v>17</v>
      </c>
      <c r="E2995">
        <v>6.08695652173913E-2</v>
      </c>
      <c r="F2995">
        <v>0.75581038206360196</v>
      </c>
      <c r="G2995">
        <v>1792.8096632957399</v>
      </c>
      <c r="H2995">
        <v>87</v>
      </c>
      <c r="I2995">
        <v>110</v>
      </c>
      <c r="J2995">
        <v>30</v>
      </c>
    </row>
    <row r="2996" spans="1:10" x14ac:dyDescent="0.25">
      <c r="A2996" t="s">
        <v>23</v>
      </c>
      <c r="B2996" t="s">
        <v>19</v>
      </c>
      <c r="C2996" t="s">
        <v>18</v>
      </c>
      <c r="D2996" t="s">
        <v>17</v>
      </c>
      <c r="E2996">
        <v>8.0745341614906804E-2</v>
      </c>
      <c r="F2996">
        <v>0.757638403287204</v>
      </c>
      <c r="G2996">
        <v>1817.70034480094</v>
      </c>
      <c r="H2996">
        <v>96</v>
      </c>
      <c r="I2996">
        <v>111</v>
      </c>
      <c r="J2996">
        <v>30</v>
      </c>
    </row>
    <row r="2997" spans="1:10" x14ac:dyDescent="0.25">
      <c r="A2997" t="s">
        <v>23</v>
      </c>
      <c r="B2997" t="s">
        <v>19</v>
      </c>
      <c r="C2997" t="s">
        <v>18</v>
      </c>
      <c r="D2997" t="s">
        <v>17</v>
      </c>
      <c r="E2997">
        <v>7.4534161490683204E-2</v>
      </c>
      <c r="F2997">
        <v>0.75964977524944099</v>
      </c>
      <c r="G2997">
        <v>1824.77300620079</v>
      </c>
      <c r="H2997">
        <v>92</v>
      </c>
      <c r="I2997">
        <v>111</v>
      </c>
      <c r="J2997">
        <v>30</v>
      </c>
    </row>
    <row r="2998" spans="1:10" x14ac:dyDescent="0.25">
      <c r="A2998" t="s">
        <v>23</v>
      </c>
      <c r="B2998" t="s">
        <v>19</v>
      </c>
      <c r="C2998" t="s">
        <v>18</v>
      </c>
      <c r="D2998" t="s">
        <v>17</v>
      </c>
      <c r="E2998">
        <v>0.10807453416149</v>
      </c>
      <c r="F2998">
        <v>0.76517545053403702</v>
      </c>
      <c r="G2998">
        <v>1841.0228531360599</v>
      </c>
      <c r="H2998">
        <v>104</v>
      </c>
      <c r="I2998">
        <v>125</v>
      </c>
      <c r="J2998">
        <v>30</v>
      </c>
    </row>
    <row r="2999" spans="1:10" x14ac:dyDescent="0.25">
      <c r="A2999" t="s">
        <v>23</v>
      </c>
      <c r="B2999" t="s">
        <v>19</v>
      </c>
      <c r="C2999" t="s">
        <v>18</v>
      </c>
      <c r="D2999" t="s">
        <v>17</v>
      </c>
      <c r="E2999">
        <v>0.13167701863354001</v>
      </c>
      <c r="F2999">
        <v>0.77200870282322898</v>
      </c>
      <c r="G2999">
        <v>1880.6233420372</v>
      </c>
      <c r="H2999">
        <v>116</v>
      </c>
      <c r="I2999">
        <v>136</v>
      </c>
      <c r="J2999">
        <v>30</v>
      </c>
    </row>
    <row r="3000" spans="1:10" x14ac:dyDescent="0.25">
      <c r="A3000" t="s">
        <v>23</v>
      </c>
      <c r="B3000" t="s">
        <v>19</v>
      </c>
      <c r="C3000" t="s">
        <v>18</v>
      </c>
      <c r="D3000" t="s">
        <v>17</v>
      </c>
      <c r="E3000">
        <v>0.19254658385093101</v>
      </c>
      <c r="F3000">
        <v>0.78020088240012397</v>
      </c>
      <c r="G3000">
        <v>1957.6170344352699</v>
      </c>
      <c r="H3000">
        <v>188</v>
      </c>
      <c r="I3000">
        <v>210</v>
      </c>
      <c r="J3000">
        <v>30</v>
      </c>
    </row>
    <row r="3001" spans="1:10" x14ac:dyDescent="0.25">
      <c r="A3001" t="s">
        <v>23</v>
      </c>
      <c r="B3001" t="s">
        <v>19</v>
      </c>
      <c r="C3001" t="s">
        <v>18</v>
      </c>
      <c r="D3001" t="s">
        <v>17</v>
      </c>
      <c r="E3001">
        <v>0.32546583850931599</v>
      </c>
      <c r="F3001">
        <v>0.80687621851813596</v>
      </c>
      <c r="G3001">
        <v>2021.0995466709101</v>
      </c>
      <c r="H3001">
        <v>238</v>
      </c>
      <c r="I3001">
        <v>271</v>
      </c>
      <c r="J3001">
        <v>30</v>
      </c>
    </row>
    <row r="3002" spans="1:10" x14ac:dyDescent="0.25">
      <c r="A3002" t="s">
        <v>23</v>
      </c>
      <c r="B3002" t="s">
        <v>20</v>
      </c>
      <c r="C3002" t="s">
        <v>12</v>
      </c>
      <c r="D3002" t="s">
        <v>13</v>
      </c>
      <c r="E3002">
        <v>0.99627329192546499</v>
      </c>
      <c r="F3002">
        <v>0.99603947072608701</v>
      </c>
      <c r="G3002">
        <v>431.88383007049498</v>
      </c>
      <c r="H3002">
        <v>9</v>
      </c>
      <c r="I3002">
        <v>11</v>
      </c>
      <c r="J3002">
        <v>30</v>
      </c>
    </row>
    <row r="3003" spans="1:10" x14ac:dyDescent="0.25">
      <c r="A3003" t="s">
        <v>23</v>
      </c>
      <c r="B3003" t="s">
        <v>20</v>
      </c>
      <c r="C3003" t="s">
        <v>12</v>
      </c>
      <c r="D3003" t="s">
        <v>13</v>
      </c>
      <c r="E3003">
        <v>0.99627329192546499</v>
      </c>
      <c r="F3003">
        <v>0.99616655890037198</v>
      </c>
      <c r="G3003">
        <v>432.54641103744501</v>
      </c>
      <c r="H3003">
        <v>9</v>
      </c>
      <c r="I3003">
        <v>10</v>
      </c>
      <c r="J3003">
        <v>30</v>
      </c>
    </row>
    <row r="3004" spans="1:10" x14ac:dyDescent="0.25">
      <c r="A3004" t="s">
        <v>23</v>
      </c>
      <c r="B3004" t="s">
        <v>20</v>
      </c>
      <c r="C3004" t="s">
        <v>12</v>
      </c>
      <c r="D3004" t="s">
        <v>13</v>
      </c>
      <c r="E3004">
        <v>0.99875776397515503</v>
      </c>
      <c r="F3004">
        <v>0.99879630638695605</v>
      </c>
      <c r="G3004">
        <v>437.93291950225802</v>
      </c>
      <c r="H3004">
        <v>11</v>
      </c>
      <c r="I3004">
        <v>12</v>
      </c>
      <c r="J3004">
        <v>30</v>
      </c>
    </row>
    <row r="3005" spans="1:10" x14ac:dyDescent="0.25">
      <c r="A3005" t="s">
        <v>23</v>
      </c>
      <c r="B3005" t="s">
        <v>20</v>
      </c>
      <c r="C3005" t="s">
        <v>12</v>
      </c>
      <c r="D3005" t="s">
        <v>13</v>
      </c>
      <c r="E3005">
        <v>0.99875776397515503</v>
      </c>
      <c r="F3005">
        <v>0.99855704529701805</v>
      </c>
      <c r="G3005">
        <v>441.55752086639399</v>
      </c>
      <c r="H3005">
        <v>11</v>
      </c>
      <c r="I3005">
        <v>12</v>
      </c>
      <c r="J3005">
        <v>30</v>
      </c>
    </row>
    <row r="3006" spans="1:10" x14ac:dyDescent="0.25">
      <c r="A3006" t="s">
        <v>23</v>
      </c>
      <c r="B3006" t="s">
        <v>20</v>
      </c>
      <c r="C3006" t="s">
        <v>12</v>
      </c>
      <c r="D3006" t="s">
        <v>13</v>
      </c>
      <c r="E3006">
        <v>0.99875776397515503</v>
      </c>
      <c r="F3006">
        <v>0.99845618406347802</v>
      </c>
      <c r="G3006">
        <v>443.33755016326899</v>
      </c>
      <c r="H3006">
        <v>11</v>
      </c>
      <c r="I3006">
        <v>12</v>
      </c>
      <c r="J3006">
        <v>30</v>
      </c>
    </row>
    <row r="3007" spans="1:10" x14ac:dyDescent="0.25">
      <c r="A3007" t="s">
        <v>23</v>
      </c>
      <c r="B3007" t="s">
        <v>20</v>
      </c>
      <c r="C3007" t="s">
        <v>12</v>
      </c>
      <c r="D3007" t="s">
        <v>13</v>
      </c>
      <c r="E3007">
        <v>0.99254658385093097</v>
      </c>
      <c r="F3007">
        <v>0.99269702460881903</v>
      </c>
      <c r="G3007">
        <v>448.03446674346901</v>
      </c>
      <c r="H3007">
        <v>11</v>
      </c>
      <c r="I3007">
        <v>12</v>
      </c>
      <c r="J3007">
        <v>30</v>
      </c>
    </row>
    <row r="3008" spans="1:10" x14ac:dyDescent="0.25">
      <c r="A3008" t="s">
        <v>23</v>
      </c>
      <c r="B3008" t="s">
        <v>20</v>
      </c>
      <c r="C3008" t="s">
        <v>12</v>
      </c>
      <c r="D3008" t="s">
        <v>13</v>
      </c>
      <c r="E3008">
        <v>1</v>
      </c>
      <c r="F3008">
        <v>0.99970316160546502</v>
      </c>
      <c r="G3008">
        <v>452.84884619712801</v>
      </c>
      <c r="H3008">
        <v>10</v>
      </c>
      <c r="I3008">
        <v>11</v>
      </c>
      <c r="J3008">
        <v>30</v>
      </c>
    </row>
    <row r="3009" spans="1:10" x14ac:dyDescent="0.25">
      <c r="A3009" t="s">
        <v>23</v>
      </c>
      <c r="B3009" t="s">
        <v>20</v>
      </c>
      <c r="C3009" t="s">
        <v>12</v>
      </c>
      <c r="D3009" t="s">
        <v>13</v>
      </c>
      <c r="E3009">
        <v>1</v>
      </c>
      <c r="F3009">
        <v>0.99980474863937796</v>
      </c>
      <c r="G3009">
        <v>452.89512610435401</v>
      </c>
      <c r="H3009">
        <v>11</v>
      </c>
      <c r="I3009">
        <v>13</v>
      </c>
      <c r="J3009">
        <v>30</v>
      </c>
    </row>
    <row r="3010" spans="1:10" x14ac:dyDescent="0.25">
      <c r="A3010" t="s">
        <v>23</v>
      </c>
      <c r="B3010" t="s">
        <v>20</v>
      </c>
      <c r="C3010" t="s">
        <v>12</v>
      </c>
      <c r="D3010" t="s">
        <v>13</v>
      </c>
      <c r="E3010">
        <v>0.99627329192546499</v>
      </c>
      <c r="F3010">
        <v>0.99634936561726695</v>
      </c>
      <c r="G3010">
        <v>455.66680693626398</v>
      </c>
      <c r="H3010">
        <v>11</v>
      </c>
      <c r="I3010">
        <v>13</v>
      </c>
      <c r="J3010">
        <v>30</v>
      </c>
    </row>
    <row r="3011" spans="1:10" x14ac:dyDescent="0.25">
      <c r="A3011" t="s">
        <v>23</v>
      </c>
      <c r="B3011" t="s">
        <v>20</v>
      </c>
      <c r="C3011" t="s">
        <v>12</v>
      </c>
      <c r="D3011" t="s">
        <v>13</v>
      </c>
      <c r="E3011">
        <v>0.99875776397515503</v>
      </c>
      <c r="F3011">
        <v>0.99869317607664598</v>
      </c>
      <c r="G3011">
        <v>472.97536945343001</v>
      </c>
      <c r="H3011">
        <v>9</v>
      </c>
      <c r="I3011">
        <v>11</v>
      </c>
      <c r="J3011">
        <v>30</v>
      </c>
    </row>
    <row r="3012" spans="1:10" x14ac:dyDescent="0.25">
      <c r="A3012" t="s">
        <v>23</v>
      </c>
      <c r="B3012" t="s">
        <v>20</v>
      </c>
      <c r="C3012" t="s">
        <v>12</v>
      </c>
      <c r="D3012" t="s">
        <v>13</v>
      </c>
      <c r="E3012">
        <v>1</v>
      </c>
      <c r="F3012">
        <v>0.99966245240335405</v>
      </c>
      <c r="G3012">
        <v>474.49301338195801</v>
      </c>
      <c r="H3012">
        <v>9</v>
      </c>
      <c r="I3012">
        <v>10</v>
      </c>
      <c r="J3012">
        <v>30</v>
      </c>
    </row>
    <row r="3013" spans="1:10" x14ac:dyDescent="0.25">
      <c r="A3013" t="s">
        <v>23</v>
      </c>
      <c r="B3013" t="s">
        <v>20</v>
      </c>
      <c r="C3013" t="s">
        <v>12</v>
      </c>
      <c r="D3013" t="s">
        <v>13</v>
      </c>
      <c r="E3013">
        <v>0.99875776397515503</v>
      </c>
      <c r="F3013">
        <v>0.99838186771975101</v>
      </c>
      <c r="G3013">
        <v>475.67768073081902</v>
      </c>
      <c r="H3013">
        <v>10</v>
      </c>
      <c r="I3013">
        <v>12</v>
      </c>
      <c r="J3013">
        <v>30</v>
      </c>
    </row>
    <row r="3014" spans="1:10" x14ac:dyDescent="0.25">
      <c r="A3014" t="s">
        <v>23</v>
      </c>
      <c r="B3014" t="s">
        <v>20</v>
      </c>
      <c r="C3014" t="s">
        <v>12</v>
      </c>
      <c r="D3014" t="s">
        <v>13</v>
      </c>
      <c r="E3014">
        <v>0.99875776397515503</v>
      </c>
      <c r="F3014">
        <v>0.99848306503403705</v>
      </c>
      <c r="G3014">
        <v>478.356377840042</v>
      </c>
      <c r="H3014">
        <v>11</v>
      </c>
      <c r="I3014">
        <v>12</v>
      </c>
      <c r="J3014">
        <v>30</v>
      </c>
    </row>
    <row r="3015" spans="1:10" x14ac:dyDescent="0.25">
      <c r="A3015" t="s">
        <v>23</v>
      </c>
      <c r="B3015" t="s">
        <v>20</v>
      </c>
      <c r="C3015" t="s">
        <v>12</v>
      </c>
      <c r="D3015" t="s">
        <v>13</v>
      </c>
      <c r="E3015">
        <v>0.99751552795030995</v>
      </c>
      <c r="F3015">
        <v>0.99709685252708002</v>
      </c>
      <c r="G3015">
        <v>480.180522918701</v>
      </c>
      <c r="H3015">
        <v>10</v>
      </c>
      <c r="I3015">
        <v>11</v>
      </c>
      <c r="J3015">
        <v>30</v>
      </c>
    </row>
    <row r="3016" spans="1:10" x14ac:dyDescent="0.25">
      <c r="A3016" t="s">
        <v>23</v>
      </c>
      <c r="B3016" t="s">
        <v>20</v>
      </c>
      <c r="C3016" t="s">
        <v>12</v>
      </c>
      <c r="D3016" t="s">
        <v>13</v>
      </c>
      <c r="E3016">
        <v>1</v>
      </c>
      <c r="F3016">
        <v>0.999597963722484</v>
      </c>
      <c r="G3016">
        <v>481.28757476806601</v>
      </c>
      <c r="H3016">
        <v>10</v>
      </c>
      <c r="I3016">
        <v>11</v>
      </c>
      <c r="J3016">
        <v>30</v>
      </c>
    </row>
    <row r="3017" spans="1:10" x14ac:dyDescent="0.25">
      <c r="A3017" t="s">
        <v>23</v>
      </c>
      <c r="B3017" t="s">
        <v>20</v>
      </c>
      <c r="C3017" t="s">
        <v>12</v>
      </c>
      <c r="D3017" t="s">
        <v>13</v>
      </c>
      <c r="E3017">
        <v>0.99875776397515503</v>
      </c>
      <c r="F3017">
        <v>0.99841539135726698</v>
      </c>
      <c r="G3017">
        <v>484.500244140625</v>
      </c>
      <c r="H3017">
        <v>9</v>
      </c>
      <c r="I3017">
        <v>10</v>
      </c>
      <c r="J3017">
        <v>30</v>
      </c>
    </row>
    <row r="3018" spans="1:10" x14ac:dyDescent="0.25">
      <c r="A3018" t="s">
        <v>23</v>
      </c>
      <c r="B3018" t="s">
        <v>20</v>
      </c>
      <c r="C3018" t="s">
        <v>12</v>
      </c>
      <c r="D3018" t="s">
        <v>13</v>
      </c>
      <c r="E3018">
        <v>1</v>
      </c>
      <c r="F3018">
        <v>0.99960934958931602</v>
      </c>
      <c r="G3018">
        <v>485.48835515975901</v>
      </c>
      <c r="H3018">
        <v>12</v>
      </c>
      <c r="I3018">
        <v>13</v>
      </c>
      <c r="J3018">
        <v>30</v>
      </c>
    </row>
    <row r="3019" spans="1:10" x14ac:dyDescent="0.25">
      <c r="A3019" t="s">
        <v>23</v>
      </c>
      <c r="B3019" t="s">
        <v>20</v>
      </c>
      <c r="C3019" t="s">
        <v>12</v>
      </c>
      <c r="D3019" t="s">
        <v>13</v>
      </c>
      <c r="E3019">
        <v>0.99875776397515503</v>
      </c>
      <c r="F3019">
        <v>0.99841418078248401</v>
      </c>
      <c r="G3019">
        <v>485.69202303886402</v>
      </c>
      <c r="H3019">
        <v>10</v>
      </c>
      <c r="I3019">
        <v>11</v>
      </c>
      <c r="J3019">
        <v>30</v>
      </c>
    </row>
    <row r="3020" spans="1:10" x14ac:dyDescent="0.25">
      <c r="A3020" t="s">
        <v>23</v>
      </c>
      <c r="B3020" t="s">
        <v>20</v>
      </c>
      <c r="C3020" t="s">
        <v>12</v>
      </c>
      <c r="D3020" t="s">
        <v>13</v>
      </c>
      <c r="E3020">
        <v>0.99751552795030995</v>
      </c>
      <c r="F3020">
        <v>0.99654268156571402</v>
      </c>
      <c r="G3020">
        <v>494.63936090469298</v>
      </c>
      <c r="H3020">
        <v>11</v>
      </c>
      <c r="I3020">
        <v>12</v>
      </c>
      <c r="J3020">
        <v>30</v>
      </c>
    </row>
    <row r="3021" spans="1:10" x14ac:dyDescent="0.25">
      <c r="A3021" t="s">
        <v>23</v>
      </c>
      <c r="B3021" t="s">
        <v>20</v>
      </c>
      <c r="C3021" t="s">
        <v>12</v>
      </c>
      <c r="D3021" t="s">
        <v>13</v>
      </c>
      <c r="E3021">
        <v>0.99875776397515503</v>
      </c>
      <c r="F3021">
        <v>0.998073137807577</v>
      </c>
      <c r="G3021">
        <v>500.31743454933098</v>
      </c>
      <c r="H3021">
        <v>12</v>
      </c>
      <c r="I3021">
        <v>13</v>
      </c>
      <c r="J3021">
        <v>30</v>
      </c>
    </row>
    <row r="3022" spans="1:10" x14ac:dyDescent="0.25">
      <c r="A3022" t="s">
        <v>23</v>
      </c>
      <c r="B3022" t="s">
        <v>20</v>
      </c>
      <c r="C3022" t="s">
        <v>12</v>
      </c>
      <c r="D3022" t="s">
        <v>13</v>
      </c>
      <c r="E3022">
        <v>0.99875776397515503</v>
      </c>
      <c r="F3022">
        <v>0.99841728829763898</v>
      </c>
      <c r="G3022">
        <v>500.97305703163101</v>
      </c>
      <c r="H3022">
        <v>12</v>
      </c>
      <c r="I3022">
        <v>14</v>
      </c>
      <c r="J3022">
        <v>30</v>
      </c>
    </row>
    <row r="3023" spans="1:10" x14ac:dyDescent="0.25">
      <c r="A3023" t="s">
        <v>23</v>
      </c>
      <c r="B3023" t="s">
        <v>20</v>
      </c>
      <c r="C3023" t="s">
        <v>12</v>
      </c>
      <c r="D3023" t="s">
        <v>13</v>
      </c>
      <c r="E3023">
        <v>0.99503105590062102</v>
      </c>
      <c r="F3023">
        <v>0.99488219967788805</v>
      </c>
      <c r="G3023">
        <v>508.90306544303797</v>
      </c>
      <c r="H3023">
        <v>13</v>
      </c>
      <c r="I3023">
        <v>15</v>
      </c>
      <c r="J3023">
        <v>30</v>
      </c>
    </row>
    <row r="3024" spans="1:10" x14ac:dyDescent="0.25">
      <c r="A3024" t="s">
        <v>23</v>
      </c>
      <c r="B3024" t="s">
        <v>20</v>
      </c>
      <c r="C3024" t="s">
        <v>12</v>
      </c>
      <c r="D3024" t="s">
        <v>13</v>
      </c>
      <c r="E3024">
        <v>0.99627329192546499</v>
      </c>
      <c r="F3024">
        <v>0.99618841069776398</v>
      </c>
      <c r="G3024">
        <v>510.10804986953701</v>
      </c>
      <c r="H3024">
        <v>13</v>
      </c>
      <c r="I3024">
        <v>15</v>
      </c>
      <c r="J3024">
        <v>30</v>
      </c>
    </row>
    <row r="3025" spans="1:10" x14ac:dyDescent="0.25">
      <c r="A3025" t="s">
        <v>23</v>
      </c>
      <c r="B3025" t="s">
        <v>20</v>
      </c>
      <c r="C3025" t="s">
        <v>12</v>
      </c>
      <c r="D3025" t="s">
        <v>13</v>
      </c>
      <c r="E3025">
        <v>0.99627329192546499</v>
      </c>
      <c r="F3025">
        <v>0.99720395049614896</v>
      </c>
      <c r="G3025">
        <v>511.26598763465802</v>
      </c>
      <c r="H3025">
        <v>12</v>
      </c>
      <c r="I3025">
        <v>14</v>
      </c>
      <c r="J3025">
        <v>30</v>
      </c>
    </row>
    <row r="3026" spans="1:10" x14ac:dyDescent="0.25">
      <c r="A3026" t="s">
        <v>23</v>
      </c>
      <c r="B3026" t="s">
        <v>20</v>
      </c>
      <c r="C3026" t="s">
        <v>12</v>
      </c>
      <c r="D3026" t="s">
        <v>13</v>
      </c>
      <c r="E3026">
        <v>0.99751552795030995</v>
      </c>
      <c r="F3026">
        <v>0.99716524814062102</v>
      </c>
      <c r="G3026">
        <v>513.30295157432499</v>
      </c>
      <c r="H3026">
        <v>11</v>
      </c>
      <c r="I3026">
        <v>13</v>
      </c>
      <c r="J3026">
        <v>30</v>
      </c>
    </row>
    <row r="3027" spans="1:10" x14ac:dyDescent="0.25">
      <c r="A3027" t="s">
        <v>23</v>
      </c>
      <c r="B3027" t="s">
        <v>20</v>
      </c>
      <c r="C3027" t="s">
        <v>12</v>
      </c>
      <c r="D3027" t="s">
        <v>13</v>
      </c>
      <c r="E3027">
        <v>0.99751552795030995</v>
      </c>
      <c r="F3027">
        <v>0.996430828484969</v>
      </c>
      <c r="G3027">
        <v>516.23909497261002</v>
      </c>
      <c r="H3027">
        <v>13</v>
      </c>
      <c r="I3027">
        <v>16</v>
      </c>
      <c r="J3027">
        <v>30</v>
      </c>
    </row>
    <row r="3028" spans="1:10" x14ac:dyDescent="0.25">
      <c r="A3028" t="s">
        <v>23</v>
      </c>
      <c r="B3028" t="s">
        <v>20</v>
      </c>
      <c r="C3028" t="s">
        <v>12</v>
      </c>
      <c r="D3028" t="s">
        <v>13</v>
      </c>
      <c r="E3028">
        <v>1</v>
      </c>
      <c r="F3028">
        <v>0.99878294201403695</v>
      </c>
      <c r="G3028">
        <v>515.62777566909699</v>
      </c>
      <c r="H3028">
        <v>14</v>
      </c>
      <c r="I3028">
        <v>16</v>
      </c>
      <c r="J3028">
        <v>30</v>
      </c>
    </row>
    <row r="3029" spans="1:10" x14ac:dyDescent="0.25">
      <c r="A3029" t="s">
        <v>23</v>
      </c>
      <c r="B3029" t="s">
        <v>20</v>
      </c>
      <c r="C3029" t="s">
        <v>12</v>
      </c>
      <c r="D3029" t="s">
        <v>13</v>
      </c>
      <c r="E3029">
        <v>0.99627329192546499</v>
      </c>
      <c r="F3029">
        <v>0.99550074930422305</v>
      </c>
      <c r="G3029">
        <v>519.487316131591</v>
      </c>
      <c r="H3029">
        <v>13</v>
      </c>
      <c r="I3029">
        <v>15</v>
      </c>
      <c r="J3029">
        <v>30</v>
      </c>
    </row>
    <row r="3030" spans="1:10" x14ac:dyDescent="0.25">
      <c r="A3030" t="s">
        <v>23</v>
      </c>
      <c r="B3030" t="s">
        <v>20</v>
      </c>
      <c r="C3030" t="s">
        <v>12</v>
      </c>
      <c r="D3030" t="s">
        <v>13</v>
      </c>
      <c r="E3030">
        <v>0.99875776397515503</v>
      </c>
      <c r="F3030">
        <v>0.99822680728558999</v>
      </c>
      <c r="G3030">
        <v>520.77163052558899</v>
      </c>
      <c r="H3030">
        <v>16</v>
      </c>
      <c r="I3030">
        <v>18</v>
      </c>
      <c r="J3030">
        <v>30</v>
      </c>
    </row>
    <row r="3031" spans="1:10" x14ac:dyDescent="0.25">
      <c r="A3031" t="s">
        <v>23</v>
      </c>
      <c r="B3031" t="s">
        <v>20</v>
      </c>
      <c r="C3031" t="s">
        <v>12</v>
      </c>
      <c r="D3031" t="s">
        <v>13</v>
      </c>
      <c r="E3031">
        <v>0.99627329192546499</v>
      </c>
      <c r="F3031">
        <v>0.99588391839677004</v>
      </c>
      <c r="G3031">
        <v>522.69595885276794</v>
      </c>
      <c r="H3031">
        <v>15</v>
      </c>
      <c r="I3031">
        <v>18</v>
      </c>
      <c r="J3031">
        <v>30</v>
      </c>
    </row>
    <row r="3032" spans="1:10" x14ac:dyDescent="0.25">
      <c r="A3032" t="s">
        <v>23</v>
      </c>
      <c r="B3032" t="s">
        <v>20</v>
      </c>
      <c r="C3032" t="s">
        <v>12</v>
      </c>
      <c r="D3032" t="s">
        <v>14</v>
      </c>
      <c r="E3032">
        <v>0.23354037267080699</v>
      </c>
      <c r="F3032">
        <v>0.80815002979503103</v>
      </c>
      <c r="G3032">
        <v>108.139266252517</v>
      </c>
      <c r="H3032">
        <v>4</v>
      </c>
      <c r="I3032">
        <v>4</v>
      </c>
      <c r="J3032">
        <v>30</v>
      </c>
    </row>
    <row r="3033" spans="1:10" x14ac:dyDescent="0.25">
      <c r="A3033" t="s">
        <v>23</v>
      </c>
      <c r="B3033" t="s">
        <v>20</v>
      </c>
      <c r="C3033" t="s">
        <v>12</v>
      </c>
      <c r="D3033" t="s">
        <v>14</v>
      </c>
      <c r="E3033">
        <v>0.231055900621118</v>
      </c>
      <c r="F3033">
        <v>0.80771041272695598</v>
      </c>
      <c r="G3033">
        <v>138.238152265548</v>
      </c>
      <c r="H3033">
        <v>5</v>
      </c>
      <c r="I3033">
        <v>5</v>
      </c>
      <c r="J3033">
        <v>30</v>
      </c>
    </row>
    <row r="3034" spans="1:10" x14ac:dyDescent="0.25">
      <c r="A3034" t="s">
        <v>23</v>
      </c>
      <c r="B3034" t="s">
        <v>20</v>
      </c>
      <c r="C3034" t="s">
        <v>12</v>
      </c>
      <c r="D3034" t="s">
        <v>14</v>
      </c>
      <c r="E3034">
        <v>0.23975155279503099</v>
      </c>
      <c r="F3034">
        <v>0.80805802261664605</v>
      </c>
      <c r="G3034">
        <v>139.16928219795199</v>
      </c>
      <c r="H3034">
        <v>5</v>
      </c>
      <c r="I3034">
        <v>5</v>
      </c>
      <c r="J3034">
        <v>30</v>
      </c>
    </row>
    <row r="3035" spans="1:10" x14ac:dyDescent="0.25">
      <c r="A3035" t="s">
        <v>23</v>
      </c>
      <c r="B3035" t="s">
        <v>20</v>
      </c>
      <c r="C3035" t="s">
        <v>12</v>
      </c>
      <c r="D3035" t="s">
        <v>14</v>
      </c>
      <c r="E3035">
        <v>0.27329192546583803</v>
      </c>
      <c r="F3035">
        <v>0.81794794645068303</v>
      </c>
      <c r="G3035">
        <v>140.235496282577</v>
      </c>
      <c r="H3035">
        <v>5</v>
      </c>
      <c r="I3035">
        <v>5</v>
      </c>
      <c r="J3035">
        <v>30</v>
      </c>
    </row>
    <row r="3036" spans="1:10" x14ac:dyDescent="0.25">
      <c r="A3036" t="s">
        <v>23</v>
      </c>
      <c r="B3036" t="s">
        <v>20</v>
      </c>
      <c r="C3036" t="s">
        <v>12</v>
      </c>
      <c r="D3036" t="s">
        <v>14</v>
      </c>
      <c r="E3036">
        <v>0.24844720496894401</v>
      </c>
      <c r="F3036">
        <v>0.81155922629913002</v>
      </c>
      <c r="G3036">
        <v>140.871116876602</v>
      </c>
      <c r="H3036">
        <v>5</v>
      </c>
      <c r="I3036">
        <v>5</v>
      </c>
      <c r="J3036">
        <v>30</v>
      </c>
    </row>
    <row r="3037" spans="1:10" x14ac:dyDescent="0.25">
      <c r="A3037" t="s">
        <v>23</v>
      </c>
      <c r="B3037" t="s">
        <v>20</v>
      </c>
      <c r="C3037" t="s">
        <v>12</v>
      </c>
      <c r="D3037" t="s">
        <v>14</v>
      </c>
      <c r="E3037">
        <v>0.27701863354037198</v>
      </c>
      <c r="F3037">
        <v>0.81809617659167699</v>
      </c>
      <c r="G3037">
        <v>141.13330078125</v>
      </c>
      <c r="H3037">
        <v>5</v>
      </c>
      <c r="I3037">
        <v>5</v>
      </c>
      <c r="J3037">
        <v>30</v>
      </c>
    </row>
    <row r="3038" spans="1:10" x14ac:dyDescent="0.25">
      <c r="A3038" t="s">
        <v>23</v>
      </c>
      <c r="B3038" t="s">
        <v>20</v>
      </c>
      <c r="C3038" t="s">
        <v>12</v>
      </c>
      <c r="D3038" t="s">
        <v>14</v>
      </c>
      <c r="E3038">
        <v>0.25217391304347803</v>
      </c>
      <c r="F3038">
        <v>0.81281732093192505</v>
      </c>
      <c r="G3038">
        <v>141.896733760833</v>
      </c>
      <c r="H3038">
        <v>5</v>
      </c>
      <c r="I3038">
        <v>5</v>
      </c>
      <c r="J3038">
        <v>30</v>
      </c>
    </row>
    <row r="3039" spans="1:10" x14ac:dyDescent="0.25">
      <c r="A3039" t="s">
        <v>23</v>
      </c>
      <c r="B3039" t="s">
        <v>20</v>
      </c>
      <c r="C3039" t="s">
        <v>12</v>
      </c>
      <c r="D3039" t="s">
        <v>14</v>
      </c>
      <c r="E3039">
        <v>0.259627329192546</v>
      </c>
      <c r="F3039">
        <v>0.81437557876944</v>
      </c>
      <c r="G3039">
        <v>143.84219479560801</v>
      </c>
      <c r="H3039">
        <v>5</v>
      </c>
      <c r="I3039">
        <v>5</v>
      </c>
      <c r="J3039">
        <v>30</v>
      </c>
    </row>
    <row r="3040" spans="1:10" x14ac:dyDescent="0.25">
      <c r="A3040" t="s">
        <v>23</v>
      </c>
      <c r="B3040" t="s">
        <v>20</v>
      </c>
      <c r="C3040" t="s">
        <v>12</v>
      </c>
      <c r="D3040" t="s">
        <v>14</v>
      </c>
      <c r="E3040">
        <v>0.26211180124223599</v>
      </c>
      <c r="F3040">
        <v>0.81528402658633603</v>
      </c>
      <c r="G3040">
        <v>146.403897285461</v>
      </c>
      <c r="H3040">
        <v>5</v>
      </c>
      <c r="I3040">
        <v>5</v>
      </c>
      <c r="J3040">
        <v>30</v>
      </c>
    </row>
    <row r="3041" spans="1:10" x14ac:dyDescent="0.25">
      <c r="A3041" t="s">
        <v>23</v>
      </c>
      <c r="B3041" t="s">
        <v>20</v>
      </c>
      <c r="C3041" t="s">
        <v>12</v>
      </c>
      <c r="D3041" t="s">
        <v>14</v>
      </c>
      <c r="E3041">
        <v>0.23354037267080699</v>
      </c>
      <c r="F3041">
        <v>0.80823579275478197</v>
      </c>
      <c r="G3041">
        <v>150.193041563034</v>
      </c>
      <c r="H3041">
        <v>6</v>
      </c>
      <c r="I3041">
        <v>6</v>
      </c>
      <c r="J3041">
        <v>30</v>
      </c>
    </row>
    <row r="3042" spans="1:10" x14ac:dyDescent="0.25">
      <c r="A3042" t="s">
        <v>23</v>
      </c>
      <c r="B3042" t="s">
        <v>20</v>
      </c>
      <c r="C3042" t="s">
        <v>12</v>
      </c>
      <c r="D3042" t="s">
        <v>14</v>
      </c>
      <c r="E3042">
        <v>0.26086956521739102</v>
      </c>
      <c r="F3042">
        <v>0.81467912638956497</v>
      </c>
      <c r="G3042">
        <v>151.26926445960899</v>
      </c>
      <c r="H3042">
        <v>6</v>
      </c>
      <c r="I3042">
        <v>6</v>
      </c>
      <c r="J3042">
        <v>30</v>
      </c>
    </row>
    <row r="3043" spans="1:10" x14ac:dyDescent="0.25">
      <c r="A3043" t="s">
        <v>23</v>
      </c>
      <c r="B3043" t="s">
        <v>20</v>
      </c>
      <c r="C3043" t="s">
        <v>12</v>
      </c>
      <c r="D3043" t="s">
        <v>14</v>
      </c>
      <c r="E3043">
        <v>0.259627329192546</v>
      </c>
      <c r="F3043">
        <v>0.814539834964223</v>
      </c>
      <c r="G3043">
        <v>151.39045023918101</v>
      </c>
      <c r="H3043">
        <v>6</v>
      </c>
      <c r="I3043">
        <v>6</v>
      </c>
      <c r="J3043">
        <v>30</v>
      </c>
    </row>
    <row r="3044" spans="1:10" x14ac:dyDescent="0.25">
      <c r="A3044" t="s">
        <v>23</v>
      </c>
      <c r="B3044" t="s">
        <v>20</v>
      </c>
      <c r="C3044" t="s">
        <v>12</v>
      </c>
      <c r="D3044" t="s">
        <v>14</v>
      </c>
      <c r="E3044">
        <v>0.26832298136645899</v>
      </c>
      <c r="F3044">
        <v>0.81663129799080703</v>
      </c>
      <c r="G3044">
        <v>151.37656569480799</v>
      </c>
      <c r="H3044">
        <v>6</v>
      </c>
      <c r="I3044">
        <v>6</v>
      </c>
      <c r="J3044">
        <v>30</v>
      </c>
    </row>
    <row r="3045" spans="1:10" x14ac:dyDescent="0.25">
      <c r="A3045" t="s">
        <v>23</v>
      </c>
      <c r="B3045" t="s">
        <v>20</v>
      </c>
      <c r="C3045" t="s">
        <v>12</v>
      </c>
      <c r="D3045" t="s">
        <v>14</v>
      </c>
      <c r="E3045">
        <v>0.245962732919254</v>
      </c>
      <c r="F3045">
        <v>0.81050578199180001</v>
      </c>
      <c r="G3045">
        <v>152.218424081802</v>
      </c>
      <c r="H3045">
        <v>6</v>
      </c>
      <c r="I3045">
        <v>6</v>
      </c>
      <c r="J3045">
        <v>30</v>
      </c>
    </row>
    <row r="3046" spans="1:10" x14ac:dyDescent="0.25">
      <c r="A3046" t="s">
        <v>23</v>
      </c>
      <c r="B3046" t="s">
        <v>20</v>
      </c>
      <c r="C3046" t="s">
        <v>12</v>
      </c>
      <c r="D3046" t="s">
        <v>14</v>
      </c>
      <c r="E3046">
        <v>0.250931677018633</v>
      </c>
      <c r="F3046">
        <v>0.81171352326273205</v>
      </c>
      <c r="G3046">
        <v>152.80273914337101</v>
      </c>
      <c r="H3046">
        <v>6</v>
      </c>
      <c r="I3046">
        <v>6</v>
      </c>
      <c r="J3046">
        <v>30</v>
      </c>
    </row>
    <row r="3047" spans="1:10" x14ac:dyDescent="0.25">
      <c r="A3047" t="s">
        <v>23</v>
      </c>
      <c r="B3047" t="s">
        <v>20</v>
      </c>
      <c r="C3047" t="s">
        <v>12</v>
      </c>
      <c r="D3047" t="s">
        <v>14</v>
      </c>
      <c r="E3047">
        <v>0.27950310559006197</v>
      </c>
      <c r="F3047">
        <v>0.81878621659117901</v>
      </c>
      <c r="G3047">
        <v>153.26742339134199</v>
      </c>
      <c r="H3047">
        <v>6</v>
      </c>
      <c r="I3047">
        <v>6</v>
      </c>
      <c r="J3047">
        <v>30</v>
      </c>
    </row>
    <row r="3048" spans="1:10" x14ac:dyDescent="0.25">
      <c r="A3048" t="s">
        <v>23</v>
      </c>
      <c r="B3048" t="s">
        <v>20</v>
      </c>
      <c r="C3048" t="s">
        <v>12</v>
      </c>
      <c r="D3048" t="s">
        <v>14</v>
      </c>
      <c r="E3048">
        <v>0.26086956521739102</v>
      </c>
      <c r="F3048">
        <v>0.81513182193465805</v>
      </c>
      <c r="G3048">
        <v>154.32489132881099</v>
      </c>
      <c r="H3048">
        <v>6</v>
      </c>
      <c r="I3048">
        <v>6</v>
      </c>
      <c r="J3048">
        <v>30</v>
      </c>
    </row>
    <row r="3049" spans="1:10" x14ac:dyDescent="0.25">
      <c r="A3049" t="s">
        <v>23</v>
      </c>
      <c r="B3049" t="s">
        <v>20</v>
      </c>
      <c r="C3049" t="s">
        <v>12</v>
      </c>
      <c r="D3049" t="s">
        <v>14</v>
      </c>
      <c r="E3049">
        <v>0.24720496894409899</v>
      </c>
      <c r="F3049">
        <v>0.81173277962534096</v>
      </c>
      <c r="G3049">
        <v>154.466129302978</v>
      </c>
      <c r="H3049">
        <v>6</v>
      </c>
      <c r="I3049">
        <v>6</v>
      </c>
      <c r="J3049">
        <v>30</v>
      </c>
    </row>
    <row r="3050" spans="1:10" x14ac:dyDescent="0.25">
      <c r="A3050" t="s">
        <v>23</v>
      </c>
      <c r="B3050" t="s">
        <v>20</v>
      </c>
      <c r="C3050" t="s">
        <v>12</v>
      </c>
      <c r="D3050" t="s">
        <v>14</v>
      </c>
      <c r="E3050">
        <v>0.27329192546583803</v>
      </c>
      <c r="F3050">
        <v>0.81823215819180095</v>
      </c>
      <c r="G3050">
        <v>155.398640632629</v>
      </c>
      <c r="H3050">
        <v>6</v>
      </c>
      <c r="I3050">
        <v>6</v>
      </c>
      <c r="J3050">
        <v>30</v>
      </c>
    </row>
    <row r="3051" spans="1:10" x14ac:dyDescent="0.25">
      <c r="A3051" t="s">
        <v>23</v>
      </c>
      <c r="B3051" t="s">
        <v>20</v>
      </c>
      <c r="C3051" t="s">
        <v>12</v>
      </c>
      <c r="D3051" t="s">
        <v>14</v>
      </c>
      <c r="E3051">
        <v>0.250931677018633</v>
      </c>
      <c r="F3051">
        <v>0.81223814074981304</v>
      </c>
      <c r="G3051">
        <v>155.58134531974699</v>
      </c>
      <c r="H3051">
        <v>6</v>
      </c>
      <c r="I3051">
        <v>6</v>
      </c>
      <c r="J3051">
        <v>30</v>
      </c>
    </row>
    <row r="3052" spans="1:10" x14ac:dyDescent="0.25">
      <c r="A3052" t="s">
        <v>23</v>
      </c>
      <c r="B3052" t="s">
        <v>20</v>
      </c>
      <c r="C3052" t="s">
        <v>12</v>
      </c>
      <c r="D3052" t="s">
        <v>14</v>
      </c>
      <c r="E3052">
        <v>0.25590062111801198</v>
      </c>
      <c r="F3052">
        <v>0.81333629747080705</v>
      </c>
      <c r="G3052">
        <v>156.071092844009</v>
      </c>
      <c r="H3052">
        <v>6</v>
      </c>
      <c r="I3052">
        <v>6</v>
      </c>
      <c r="J3052">
        <v>30</v>
      </c>
    </row>
    <row r="3053" spans="1:10" x14ac:dyDescent="0.25">
      <c r="A3053" t="s">
        <v>23</v>
      </c>
      <c r="B3053" t="s">
        <v>20</v>
      </c>
      <c r="C3053" t="s">
        <v>12</v>
      </c>
      <c r="D3053" t="s">
        <v>14</v>
      </c>
      <c r="E3053">
        <v>0.25465838509316702</v>
      </c>
      <c r="F3053">
        <v>0.81309237308248405</v>
      </c>
      <c r="G3053">
        <v>157.02792811393701</v>
      </c>
      <c r="H3053">
        <v>6</v>
      </c>
      <c r="I3053">
        <v>6</v>
      </c>
      <c r="J3053">
        <v>30</v>
      </c>
    </row>
    <row r="3054" spans="1:10" x14ac:dyDescent="0.25">
      <c r="A3054" t="s">
        <v>23</v>
      </c>
      <c r="B3054" t="s">
        <v>20</v>
      </c>
      <c r="C3054" t="s">
        <v>12</v>
      </c>
      <c r="D3054" t="s">
        <v>14</v>
      </c>
      <c r="E3054">
        <v>0.26211180124223599</v>
      </c>
      <c r="F3054">
        <v>0.81479521645515596</v>
      </c>
      <c r="G3054">
        <v>156.82165980338999</v>
      </c>
      <c r="H3054">
        <v>6</v>
      </c>
      <c r="I3054">
        <v>6</v>
      </c>
      <c r="J3054">
        <v>30</v>
      </c>
    </row>
    <row r="3055" spans="1:10" x14ac:dyDescent="0.25">
      <c r="A3055" t="s">
        <v>23</v>
      </c>
      <c r="B3055" t="s">
        <v>20</v>
      </c>
      <c r="C3055" t="s">
        <v>12</v>
      </c>
      <c r="D3055" t="s">
        <v>14</v>
      </c>
      <c r="E3055">
        <v>0.24844720496894401</v>
      </c>
      <c r="F3055">
        <v>0.81130032486037196</v>
      </c>
      <c r="G3055">
        <v>158.07295036315901</v>
      </c>
      <c r="H3055">
        <v>6</v>
      </c>
      <c r="I3055">
        <v>6</v>
      </c>
      <c r="J3055">
        <v>30</v>
      </c>
    </row>
    <row r="3056" spans="1:10" x14ac:dyDescent="0.25">
      <c r="A3056" t="s">
        <v>23</v>
      </c>
      <c r="B3056" t="s">
        <v>20</v>
      </c>
      <c r="C3056" t="s">
        <v>12</v>
      </c>
      <c r="D3056" t="s">
        <v>14</v>
      </c>
      <c r="E3056">
        <v>0.27329192546583803</v>
      </c>
      <c r="F3056">
        <v>0.81759796574571497</v>
      </c>
      <c r="G3056">
        <v>158.943804979324</v>
      </c>
      <c r="H3056">
        <v>7</v>
      </c>
      <c r="I3056">
        <v>7</v>
      </c>
      <c r="J3056">
        <v>30</v>
      </c>
    </row>
    <row r="3057" spans="1:10" x14ac:dyDescent="0.25">
      <c r="A3057" t="s">
        <v>23</v>
      </c>
      <c r="B3057" t="s">
        <v>20</v>
      </c>
      <c r="C3057" t="s">
        <v>12</v>
      </c>
      <c r="D3057" t="s">
        <v>14</v>
      </c>
      <c r="E3057">
        <v>0.25465838509316702</v>
      </c>
      <c r="F3057">
        <v>0.81283702622832199</v>
      </c>
      <c r="G3057">
        <v>159.43065547943101</v>
      </c>
      <c r="H3057">
        <v>7</v>
      </c>
      <c r="I3057">
        <v>7</v>
      </c>
      <c r="J3057">
        <v>30</v>
      </c>
    </row>
    <row r="3058" spans="1:10" x14ac:dyDescent="0.25">
      <c r="A3058" t="s">
        <v>23</v>
      </c>
      <c r="B3058" t="s">
        <v>20</v>
      </c>
      <c r="C3058" t="s">
        <v>12</v>
      </c>
      <c r="D3058" t="s">
        <v>14</v>
      </c>
      <c r="E3058">
        <v>0.26956521739130401</v>
      </c>
      <c r="F3058">
        <v>0.81711649837788802</v>
      </c>
      <c r="G3058">
        <v>159.162348985672</v>
      </c>
      <c r="H3058">
        <v>7</v>
      </c>
      <c r="I3058">
        <v>7</v>
      </c>
      <c r="J3058">
        <v>30</v>
      </c>
    </row>
    <row r="3059" spans="1:10" x14ac:dyDescent="0.25">
      <c r="A3059" t="s">
        <v>23</v>
      </c>
      <c r="B3059" t="s">
        <v>20</v>
      </c>
      <c r="C3059" t="s">
        <v>12</v>
      </c>
      <c r="D3059" t="s">
        <v>14</v>
      </c>
      <c r="E3059">
        <v>0.25714285714285701</v>
      </c>
      <c r="F3059">
        <v>0.813069106202856</v>
      </c>
      <c r="G3059">
        <v>159.62079787254299</v>
      </c>
      <c r="H3059">
        <v>7</v>
      </c>
      <c r="I3059">
        <v>7</v>
      </c>
      <c r="J3059">
        <v>30</v>
      </c>
    </row>
    <row r="3060" spans="1:10" x14ac:dyDescent="0.25">
      <c r="A3060" t="s">
        <v>23</v>
      </c>
      <c r="B3060" t="s">
        <v>20</v>
      </c>
      <c r="C3060" t="s">
        <v>12</v>
      </c>
      <c r="D3060" t="s">
        <v>14</v>
      </c>
      <c r="E3060">
        <v>0.244720496894409</v>
      </c>
      <c r="F3060">
        <v>0.81081764024459602</v>
      </c>
      <c r="G3060">
        <v>159.64967918395899</v>
      </c>
      <c r="H3060">
        <v>7</v>
      </c>
      <c r="I3060">
        <v>7</v>
      </c>
      <c r="J3060">
        <v>30</v>
      </c>
    </row>
    <row r="3061" spans="1:10" x14ac:dyDescent="0.25">
      <c r="A3061" t="s">
        <v>23</v>
      </c>
      <c r="B3061" t="s">
        <v>20</v>
      </c>
      <c r="C3061" t="s">
        <v>12</v>
      </c>
      <c r="D3061" t="s">
        <v>14</v>
      </c>
      <c r="E3061">
        <v>0.25714285714285701</v>
      </c>
      <c r="F3061">
        <v>0.81322637051490598</v>
      </c>
      <c r="G3061">
        <v>159.97267007827699</v>
      </c>
      <c r="H3061">
        <v>7</v>
      </c>
      <c r="I3061">
        <v>7</v>
      </c>
      <c r="J3061">
        <v>30</v>
      </c>
    </row>
    <row r="3062" spans="1:10" x14ac:dyDescent="0.25">
      <c r="A3062" t="s">
        <v>23</v>
      </c>
      <c r="B3062" t="s">
        <v>20</v>
      </c>
      <c r="C3062" t="s">
        <v>12</v>
      </c>
      <c r="D3062" t="s">
        <v>15</v>
      </c>
      <c r="E3062">
        <v>0</v>
      </c>
      <c r="F3062">
        <v>0.75</v>
      </c>
      <c r="G3062">
        <v>184.50737237930201</v>
      </c>
      <c r="H3062">
        <v>0</v>
      </c>
      <c r="I3062">
        <v>0</v>
      </c>
      <c r="J3062">
        <v>30</v>
      </c>
    </row>
    <row r="3063" spans="1:10" x14ac:dyDescent="0.25">
      <c r="A3063" t="s">
        <v>23</v>
      </c>
      <c r="B3063" t="s">
        <v>20</v>
      </c>
      <c r="C3063" t="s">
        <v>12</v>
      </c>
      <c r="D3063" t="s">
        <v>15</v>
      </c>
      <c r="E3063">
        <v>0</v>
      </c>
      <c r="F3063">
        <v>0.75</v>
      </c>
      <c r="G3063">
        <v>187.60530734062101</v>
      </c>
      <c r="H3063">
        <v>0</v>
      </c>
      <c r="I3063">
        <v>0</v>
      </c>
      <c r="J3063">
        <v>30</v>
      </c>
    </row>
    <row r="3064" spans="1:10" x14ac:dyDescent="0.25">
      <c r="A3064" t="s">
        <v>23</v>
      </c>
      <c r="B3064" t="s">
        <v>20</v>
      </c>
      <c r="C3064" t="s">
        <v>12</v>
      </c>
      <c r="D3064" t="s">
        <v>15</v>
      </c>
      <c r="E3064">
        <v>0</v>
      </c>
      <c r="F3064">
        <v>0.75</v>
      </c>
      <c r="G3064">
        <v>194.42506146430901</v>
      </c>
      <c r="H3064">
        <v>0</v>
      </c>
      <c r="I3064">
        <v>0</v>
      </c>
      <c r="J3064">
        <v>30</v>
      </c>
    </row>
    <row r="3065" spans="1:10" x14ac:dyDescent="0.25">
      <c r="A3065" t="s">
        <v>23</v>
      </c>
      <c r="B3065" t="s">
        <v>20</v>
      </c>
      <c r="C3065" t="s">
        <v>12</v>
      </c>
      <c r="D3065" t="s">
        <v>15</v>
      </c>
      <c r="E3065">
        <v>0</v>
      </c>
      <c r="F3065">
        <v>0.75</v>
      </c>
      <c r="G3065">
        <v>195.94146895408599</v>
      </c>
      <c r="H3065">
        <v>0</v>
      </c>
      <c r="I3065">
        <v>0</v>
      </c>
      <c r="J3065">
        <v>30</v>
      </c>
    </row>
    <row r="3066" spans="1:10" x14ac:dyDescent="0.25">
      <c r="A3066" t="s">
        <v>23</v>
      </c>
      <c r="B3066" t="s">
        <v>20</v>
      </c>
      <c r="C3066" t="s">
        <v>12</v>
      </c>
      <c r="D3066" t="s">
        <v>15</v>
      </c>
      <c r="E3066">
        <v>0</v>
      </c>
      <c r="F3066">
        <v>0.75</v>
      </c>
      <c r="G3066">
        <v>196.87022852897601</v>
      </c>
      <c r="H3066">
        <v>0</v>
      </c>
      <c r="I3066">
        <v>0</v>
      </c>
      <c r="J3066">
        <v>30</v>
      </c>
    </row>
    <row r="3067" spans="1:10" x14ac:dyDescent="0.25">
      <c r="A3067" t="s">
        <v>23</v>
      </c>
      <c r="B3067" t="s">
        <v>20</v>
      </c>
      <c r="C3067" t="s">
        <v>12</v>
      </c>
      <c r="D3067" t="s">
        <v>15</v>
      </c>
      <c r="E3067">
        <v>0</v>
      </c>
      <c r="F3067">
        <v>0.75</v>
      </c>
      <c r="G3067">
        <v>218.83416223526001</v>
      </c>
      <c r="H3067">
        <v>0</v>
      </c>
      <c r="I3067">
        <v>0</v>
      </c>
      <c r="J3067">
        <v>30</v>
      </c>
    </row>
    <row r="3068" spans="1:10" x14ac:dyDescent="0.25">
      <c r="A3068" t="s">
        <v>23</v>
      </c>
      <c r="B3068" t="s">
        <v>20</v>
      </c>
      <c r="C3068" t="s">
        <v>12</v>
      </c>
      <c r="D3068" t="s">
        <v>15</v>
      </c>
      <c r="E3068">
        <v>0</v>
      </c>
      <c r="F3068">
        <v>0.75</v>
      </c>
      <c r="G3068">
        <v>308.28090310096701</v>
      </c>
      <c r="H3068">
        <v>1</v>
      </c>
      <c r="I3068">
        <v>3</v>
      </c>
      <c r="J3068">
        <v>30</v>
      </c>
    </row>
    <row r="3069" spans="1:10" x14ac:dyDescent="0.25">
      <c r="A3069" t="s">
        <v>23</v>
      </c>
      <c r="B3069" t="s">
        <v>20</v>
      </c>
      <c r="C3069" t="s">
        <v>12</v>
      </c>
      <c r="D3069" t="s">
        <v>15</v>
      </c>
      <c r="E3069">
        <v>0</v>
      </c>
      <c r="F3069">
        <v>0.75</v>
      </c>
      <c r="G3069">
        <v>311.632523059844</v>
      </c>
      <c r="H3069">
        <v>1</v>
      </c>
      <c r="I3069">
        <v>3</v>
      </c>
      <c r="J3069">
        <v>30</v>
      </c>
    </row>
    <row r="3070" spans="1:10" x14ac:dyDescent="0.25">
      <c r="A3070" t="s">
        <v>23</v>
      </c>
      <c r="B3070" t="s">
        <v>20</v>
      </c>
      <c r="C3070" t="s">
        <v>12</v>
      </c>
      <c r="D3070" t="s">
        <v>15</v>
      </c>
      <c r="E3070">
        <v>0</v>
      </c>
      <c r="F3070">
        <v>0.75</v>
      </c>
      <c r="G3070">
        <v>318.10493803024201</v>
      </c>
      <c r="H3070">
        <v>1</v>
      </c>
      <c r="I3070">
        <v>3</v>
      </c>
      <c r="J3070">
        <v>30</v>
      </c>
    </row>
    <row r="3071" spans="1:10" x14ac:dyDescent="0.25">
      <c r="A3071" t="s">
        <v>23</v>
      </c>
      <c r="B3071" t="s">
        <v>20</v>
      </c>
      <c r="C3071" t="s">
        <v>12</v>
      </c>
      <c r="D3071" t="s">
        <v>15</v>
      </c>
      <c r="E3071">
        <v>0</v>
      </c>
      <c r="F3071">
        <v>0.75</v>
      </c>
      <c r="G3071">
        <v>325.07121181487997</v>
      </c>
      <c r="H3071">
        <v>1</v>
      </c>
      <c r="I3071">
        <v>3</v>
      </c>
      <c r="J3071">
        <v>30</v>
      </c>
    </row>
    <row r="3072" spans="1:10" x14ac:dyDescent="0.25">
      <c r="A3072" t="s">
        <v>23</v>
      </c>
      <c r="B3072" t="s">
        <v>20</v>
      </c>
      <c r="C3072" t="s">
        <v>12</v>
      </c>
      <c r="D3072" t="s">
        <v>15</v>
      </c>
      <c r="E3072">
        <v>0</v>
      </c>
      <c r="F3072">
        <v>0.75</v>
      </c>
      <c r="G3072">
        <v>345.82747387886002</v>
      </c>
      <c r="H3072">
        <v>1</v>
      </c>
      <c r="I3072">
        <v>4</v>
      </c>
      <c r="J3072">
        <v>30</v>
      </c>
    </row>
    <row r="3073" spans="1:10" x14ac:dyDescent="0.25">
      <c r="A3073" t="s">
        <v>23</v>
      </c>
      <c r="B3073" t="s">
        <v>20</v>
      </c>
      <c r="C3073" t="s">
        <v>12</v>
      </c>
      <c r="D3073" t="s">
        <v>15</v>
      </c>
      <c r="E3073">
        <v>1.2422360248447199E-3</v>
      </c>
      <c r="F3073">
        <v>0.75005900621118005</v>
      </c>
      <c r="G3073">
        <v>418.07534670829699</v>
      </c>
      <c r="H3073">
        <v>2</v>
      </c>
      <c r="I3073">
        <v>5</v>
      </c>
      <c r="J3073">
        <v>30</v>
      </c>
    </row>
    <row r="3074" spans="1:10" x14ac:dyDescent="0.25">
      <c r="A3074" t="s">
        <v>23</v>
      </c>
      <c r="B3074" t="s">
        <v>20</v>
      </c>
      <c r="C3074" t="s">
        <v>12</v>
      </c>
      <c r="D3074" t="s">
        <v>15</v>
      </c>
      <c r="E3074">
        <v>1.2422360248447199E-3</v>
      </c>
      <c r="F3074">
        <v>0.749993788819875</v>
      </c>
      <c r="G3074">
        <v>426.37862777709898</v>
      </c>
      <c r="H3074">
        <v>2</v>
      </c>
      <c r="I3074">
        <v>5</v>
      </c>
      <c r="J3074">
        <v>30</v>
      </c>
    </row>
    <row r="3075" spans="1:10" x14ac:dyDescent="0.25">
      <c r="A3075" t="s">
        <v>23</v>
      </c>
      <c r="B3075" t="s">
        <v>20</v>
      </c>
      <c r="C3075" t="s">
        <v>12</v>
      </c>
      <c r="D3075" t="s">
        <v>15</v>
      </c>
      <c r="E3075">
        <v>0</v>
      </c>
      <c r="F3075">
        <v>0.75</v>
      </c>
      <c r="G3075">
        <v>429.07121562957701</v>
      </c>
      <c r="H3075">
        <v>2</v>
      </c>
      <c r="I3075">
        <v>5</v>
      </c>
      <c r="J3075">
        <v>30</v>
      </c>
    </row>
    <row r="3076" spans="1:10" x14ac:dyDescent="0.25">
      <c r="A3076" t="s">
        <v>23</v>
      </c>
      <c r="B3076" t="s">
        <v>20</v>
      </c>
      <c r="C3076" t="s">
        <v>12</v>
      </c>
      <c r="D3076" t="s">
        <v>15</v>
      </c>
      <c r="E3076">
        <v>1.2422360248447199E-3</v>
      </c>
      <c r="F3076">
        <v>0.749993788819875</v>
      </c>
      <c r="G3076">
        <v>429.14804410934403</v>
      </c>
      <c r="H3076">
        <v>2</v>
      </c>
      <c r="I3076">
        <v>5</v>
      </c>
      <c r="J3076">
        <v>30</v>
      </c>
    </row>
    <row r="3077" spans="1:10" x14ac:dyDescent="0.25">
      <c r="A3077" t="s">
        <v>23</v>
      </c>
      <c r="B3077" t="s">
        <v>20</v>
      </c>
      <c r="C3077" t="s">
        <v>12</v>
      </c>
      <c r="D3077" t="s">
        <v>15</v>
      </c>
      <c r="E3077">
        <v>1.2422360248447199E-3</v>
      </c>
      <c r="F3077">
        <v>0.749993788819875</v>
      </c>
      <c r="G3077">
        <v>443.68285703659001</v>
      </c>
      <c r="H3077">
        <v>2</v>
      </c>
      <c r="I3077">
        <v>5</v>
      </c>
      <c r="J3077">
        <v>30</v>
      </c>
    </row>
    <row r="3078" spans="1:10" x14ac:dyDescent="0.25">
      <c r="A3078" t="s">
        <v>23</v>
      </c>
      <c r="B3078" t="s">
        <v>20</v>
      </c>
      <c r="C3078" t="s">
        <v>12</v>
      </c>
      <c r="D3078" t="s">
        <v>15</v>
      </c>
      <c r="E3078">
        <v>1.2422360248447199E-3</v>
      </c>
      <c r="F3078">
        <v>0.75005900621118005</v>
      </c>
      <c r="G3078">
        <v>495.76734590530299</v>
      </c>
      <c r="H3078">
        <v>3</v>
      </c>
      <c r="I3078">
        <v>7</v>
      </c>
      <c r="J3078">
        <v>30</v>
      </c>
    </row>
    <row r="3079" spans="1:10" x14ac:dyDescent="0.25">
      <c r="A3079" t="s">
        <v>23</v>
      </c>
      <c r="B3079" t="s">
        <v>20</v>
      </c>
      <c r="C3079" t="s">
        <v>12</v>
      </c>
      <c r="D3079" t="s">
        <v>15</v>
      </c>
      <c r="E3079">
        <v>0</v>
      </c>
      <c r="F3079">
        <v>0.75</v>
      </c>
      <c r="G3079">
        <v>506.50680828094403</v>
      </c>
      <c r="H3079">
        <v>3</v>
      </c>
      <c r="I3079">
        <v>8</v>
      </c>
      <c r="J3079">
        <v>30</v>
      </c>
    </row>
    <row r="3080" spans="1:10" x14ac:dyDescent="0.25">
      <c r="A3080" t="s">
        <v>23</v>
      </c>
      <c r="B3080" t="s">
        <v>20</v>
      </c>
      <c r="C3080" t="s">
        <v>12</v>
      </c>
      <c r="D3080" t="s">
        <v>15</v>
      </c>
      <c r="E3080">
        <v>1.2422360248447199E-3</v>
      </c>
      <c r="F3080">
        <v>0.75005900621118005</v>
      </c>
      <c r="G3080">
        <v>557.88962650299004</v>
      </c>
      <c r="H3080">
        <v>4</v>
      </c>
      <c r="I3080">
        <v>9</v>
      </c>
      <c r="J3080">
        <v>30</v>
      </c>
    </row>
    <row r="3081" spans="1:10" x14ac:dyDescent="0.25">
      <c r="A3081" t="s">
        <v>23</v>
      </c>
      <c r="B3081" t="s">
        <v>20</v>
      </c>
      <c r="C3081" t="s">
        <v>12</v>
      </c>
      <c r="D3081" t="s">
        <v>15</v>
      </c>
      <c r="E3081">
        <v>2.4844720496894398E-3</v>
      </c>
      <c r="F3081">
        <v>0.75011801242235998</v>
      </c>
      <c r="G3081">
        <v>617.51491260528496</v>
      </c>
      <c r="H3081">
        <v>5</v>
      </c>
      <c r="I3081">
        <v>11</v>
      </c>
      <c r="J3081">
        <v>30</v>
      </c>
    </row>
    <row r="3082" spans="1:10" x14ac:dyDescent="0.25">
      <c r="A3082" t="s">
        <v>23</v>
      </c>
      <c r="B3082" t="s">
        <v>20</v>
      </c>
      <c r="C3082" t="s">
        <v>12</v>
      </c>
      <c r="D3082" t="s">
        <v>15</v>
      </c>
      <c r="E3082">
        <v>0</v>
      </c>
      <c r="F3082">
        <v>0.75</v>
      </c>
      <c r="G3082">
        <v>618.78895926475502</v>
      </c>
      <c r="H3082">
        <v>5</v>
      </c>
      <c r="I3082">
        <v>11</v>
      </c>
      <c r="J3082">
        <v>30</v>
      </c>
    </row>
    <row r="3083" spans="1:10" x14ac:dyDescent="0.25">
      <c r="A3083" t="s">
        <v>23</v>
      </c>
      <c r="B3083" t="s">
        <v>20</v>
      </c>
      <c r="C3083" t="s">
        <v>12</v>
      </c>
      <c r="D3083" t="s">
        <v>15</v>
      </c>
      <c r="E3083">
        <v>0</v>
      </c>
      <c r="F3083">
        <v>0.75</v>
      </c>
      <c r="G3083">
        <v>665.97523355483997</v>
      </c>
      <c r="H3083">
        <v>6</v>
      </c>
      <c r="I3083">
        <v>13</v>
      </c>
      <c r="J3083">
        <v>30</v>
      </c>
    </row>
    <row r="3084" spans="1:10" x14ac:dyDescent="0.25">
      <c r="A3084" t="s">
        <v>23</v>
      </c>
      <c r="B3084" t="s">
        <v>20</v>
      </c>
      <c r="C3084" t="s">
        <v>12</v>
      </c>
      <c r="D3084" t="s">
        <v>15</v>
      </c>
      <c r="E3084">
        <v>3.7267080745341601E-3</v>
      </c>
      <c r="F3084">
        <v>0.75017701863354003</v>
      </c>
      <c r="G3084">
        <v>705.60053157806396</v>
      </c>
      <c r="H3084">
        <v>7</v>
      </c>
      <c r="I3084">
        <v>15</v>
      </c>
      <c r="J3084">
        <v>30</v>
      </c>
    </row>
    <row r="3085" spans="1:10" x14ac:dyDescent="0.25">
      <c r="A3085" t="s">
        <v>23</v>
      </c>
      <c r="B3085" t="s">
        <v>20</v>
      </c>
      <c r="C3085" t="s">
        <v>12</v>
      </c>
      <c r="D3085" t="s">
        <v>15</v>
      </c>
      <c r="E3085">
        <v>0</v>
      </c>
      <c r="F3085">
        <v>0.75</v>
      </c>
      <c r="G3085">
        <v>710.76266932487397</v>
      </c>
      <c r="H3085">
        <v>7</v>
      </c>
      <c r="I3085">
        <v>15</v>
      </c>
      <c r="J3085">
        <v>30</v>
      </c>
    </row>
    <row r="3086" spans="1:10" x14ac:dyDescent="0.25">
      <c r="A3086" t="s">
        <v>23</v>
      </c>
      <c r="B3086" t="s">
        <v>20</v>
      </c>
      <c r="C3086" t="s">
        <v>12</v>
      </c>
      <c r="D3086" t="s">
        <v>15</v>
      </c>
      <c r="E3086">
        <v>2.4844720496894398E-3</v>
      </c>
      <c r="F3086">
        <v>0.75011801242235998</v>
      </c>
      <c r="G3086">
        <v>764.75785779953003</v>
      </c>
      <c r="H3086">
        <v>9</v>
      </c>
      <c r="I3086">
        <v>19</v>
      </c>
      <c r="J3086">
        <v>30</v>
      </c>
    </row>
    <row r="3087" spans="1:10" x14ac:dyDescent="0.25">
      <c r="A3087" t="s">
        <v>23</v>
      </c>
      <c r="B3087" t="s">
        <v>20</v>
      </c>
      <c r="C3087" t="s">
        <v>12</v>
      </c>
      <c r="D3087" t="s">
        <v>15</v>
      </c>
      <c r="E3087">
        <v>2.4844720496894398E-3</v>
      </c>
      <c r="F3087">
        <v>0.75011801242235998</v>
      </c>
      <c r="G3087">
        <v>768.48658061027504</v>
      </c>
      <c r="H3087">
        <v>9</v>
      </c>
      <c r="I3087">
        <v>20</v>
      </c>
      <c r="J3087">
        <v>30</v>
      </c>
    </row>
    <row r="3088" spans="1:10" x14ac:dyDescent="0.25">
      <c r="A3088" t="s">
        <v>23</v>
      </c>
      <c r="B3088" t="s">
        <v>20</v>
      </c>
      <c r="C3088" t="s">
        <v>12</v>
      </c>
      <c r="D3088" t="s">
        <v>15</v>
      </c>
      <c r="E3088">
        <v>0</v>
      </c>
      <c r="F3088">
        <v>0.75</v>
      </c>
      <c r="G3088">
        <v>814.77190613746598</v>
      </c>
      <c r="H3088">
        <v>11</v>
      </c>
      <c r="I3088">
        <v>26</v>
      </c>
      <c r="J3088">
        <v>30</v>
      </c>
    </row>
    <row r="3089" spans="1:10" x14ac:dyDescent="0.25">
      <c r="A3089" t="s">
        <v>23</v>
      </c>
      <c r="B3089" t="s">
        <v>20</v>
      </c>
      <c r="C3089" t="s">
        <v>12</v>
      </c>
      <c r="D3089" t="s">
        <v>15</v>
      </c>
      <c r="E3089">
        <v>1.2422360248447199E-3</v>
      </c>
      <c r="F3089">
        <v>0.749993788819875</v>
      </c>
      <c r="G3089">
        <v>818.76773309707596</v>
      </c>
      <c r="H3089">
        <v>11</v>
      </c>
      <c r="I3089">
        <v>26</v>
      </c>
      <c r="J3089">
        <v>30</v>
      </c>
    </row>
    <row r="3090" spans="1:10" x14ac:dyDescent="0.25">
      <c r="A3090" t="s">
        <v>23</v>
      </c>
      <c r="B3090" t="s">
        <v>20</v>
      </c>
      <c r="C3090" t="s">
        <v>12</v>
      </c>
      <c r="D3090" t="s">
        <v>15</v>
      </c>
      <c r="E3090">
        <v>0</v>
      </c>
      <c r="F3090">
        <v>0.74993478260869495</v>
      </c>
      <c r="G3090">
        <v>827.89629602432206</v>
      </c>
      <c r="H3090">
        <v>12</v>
      </c>
      <c r="I3090">
        <v>26</v>
      </c>
      <c r="J3090">
        <v>30</v>
      </c>
    </row>
    <row r="3091" spans="1:10" x14ac:dyDescent="0.25">
      <c r="A3091" t="s">
        <v>23</v>
      </c>
      <c r="B3091" t="s">
        <v>20</v>
      </c>
      <c r="C3091" t="s">
        <v>12</v>
      </c>
      <c r="D3091" t="s">
        <v>15</v>
      </c>
      <c r="E3091">
        <v>0</v>
      </c>
      <c r="F3091">
        <v>0.74993478260869495</v>
      </c>
      <c r="G3091">
        <v>857.47702145576397</v>
      </c>
      <c r="H3091">
        <v>17</v>
      </c>
      <c r="I3091">
        <v>38</v>
      </c>
      <c r="J3091">
        <v>30</v>
      </c>
    </row>
    <row r="3092" spans="1:10" x14ac:dyDescent="0.25">
      <c r="A3092" t="s">
        <v>23</v>
      </c>
      <c r="B3092" t="s">
        <v>20</v>
      </c>
      <c r="C3092" t="s">
        <v>12</v>
      </c>
      <c r="D3092" t="s">
        <v>16</v>
      </c>
      <c r="E3092">
        <v>0</v>
      </c>
      <c r="F3092">
        <v>0.75</v>
      </c>
      <c r="G3092">
        <v>40.206078767776397</v>
      </c>
      <c r="H3092">
        <v>0</v>
      </c>
      <c r="I3092">
        <v>0</v>
      </c>
      <c r="J3092">
        <v>30</v>
      </c>
    </row>
    <row r="3093" spans="1:10" x14ac:dyDescent="0.25">
      <c r="A3093" t="s">
        <v>23</v>
      </c>
      <c r="B3093" t="s">
        <v>20</v>
      </c>
      <c r="C3093" t="s">
        <v>12</v>
      </c>
      <c r="D3093" t="s">
        <v>16</v>
      </c>
      <c r="E3093">
        <v>0</v>
      </c>
      <c r="F3093">
        <v>0.75</v>
      </c>
      <c r="G3093">
        <v>41.475127220153801</v>
      </c>
      <c r="H3093">
        <v>0</v>
      </c>
      <c r="I3093">
        <v>0</v>
      </c>
      <c r="J3093">
        <v>30</v>
      </c>
    </row>
    <row r="3094" spans="1:10" x14ac:dyDescent="0.25">
      <c r="A3094" t="s">
        <v>23</v>
      </c>
      <c r="B3094" t="s">
        <v>20</v>
      </c>
      <c r="C3094" t="s">
        <v>12</v>
      </c>
      <c r="D3094" t="s">
        <v>16</v>
      </c>
      <c r="E3094">
        <v>0</v>
      </c>
      <c r="F3094">
        <v>0.75</v>
      </c>
      <c r="G3094">
        <v>41.440507888793903</v>
      </c>
      <c r="H3094">
        <v>0</v>
      </c>
      <c r="I3094">
        <v>0</v>
      </c>
      <c r="J3094">
        <v>30</v>
      </c>
    </row>
    <row r="3095" spans="1:10" x14ac:dyDescent="0.25">
      <c r="A3095" t="s">
        <v>23</v>
      </c>
      <c r="B3095" t="s">
        <v>20</v>
      </c>
      <c r="C3095" t="s">
        <v>12</v>
      </c>
      <c r="D3095" t="s">
        <v>16</v>
      </c>
      <c r="E3095">
        <v>0</v>
      </c>
      <c r="F3095">
        <v>0.75</v>
      </c>
      <c r="G3095">
        <v>41.648359775543199</v>
      </c>
      <c r="H3095">
        <v>0</v>
      </c>
      <c r="I3095">
        <v>0</v>
      </c>
      <c r="J3095">
        <v>30</v>
      </c>
    </row>
    <row r="3096" spans="1:10" x14ac:dyDescent="0.25">
      <c r="A3096" t="s">
        <v>23</v>
      </c>
      <c r="B3096" t="s">
        <v>20</v>
      </c>
      <c r="C3096" t="s">
        <v>12</v>
      </c>
      <c r="D3096" t="s">
        <v>16</v>
      </c>
      <c r="E3096">
        <v>0</v>
      </c>
      <c r="F3096">
        <v>0.75</v>
      </c>
      <c r="G3096">
        <v>41.624853134155202</v>
      </c>
      <c r="H3096">
        <v>0</v>
      </c>
      <c r="I3096">
        <v>0</v>
      </c>
      <c r="J3096">
        <v>30</v>
      </c>
    </row>
    <row r="3097" spans="1:10" x14ac:dyDescent="0.25">
      <c r="A3097" t="s">
        <v>23</v>
      </c>
      <c r="B3097" t="s">
        <v>20</v>
      </c>
      <c r="C3097" t="s">
        <v>12</v>
      </c>
      <c r="D3097" t="s">
        <v>16</v>
      </c>
      <c r="E3097">
        <v>0</v>
      </c>
      <c r="F3097">
        <v>0.75</v>
      </c>
      <c r="G3097">
        <v>41.927283763885498</v>
      </c>
      <c r="H3097">
        <v>0</v>
      </c>
      <c r="I3097">
        <v>0</v>
      </c>
      <c r="J3097">
        <v>30</v>
      </c>
    </row>
    <row r="3098" spans="1:10" x14ac:dyDescent="0.25">
      <c r="A3098" t="s">
        <v>23</v>
      </c>
      <c r="B3098" t="s">
        <v>20</v>
      </c>
      <c r="C3098" t="s">
        <v>12</v>
      </c>
      <c r="D3098" t="s">
        <v>16</v>
      </c>
      <c r="E3098">
        <v>0</v>
      </c>
      <c r="F3098">
        <v>0.75</v>
      </c>
      <c r="G3098">
        <v>42.697259902954102</v>
      </c>
      <c r="H3098">
        <v>0</v>
      </c>
      <c r="I3098">
        <v>0</v>
      </c>
      <c r="J3098">
        <v>30</v>
      </c>
    </row>
    <row r="3099" spans="1:10" x14ac:dyDescent="0.25">
      <c r="A3099" t="s">
        <v>23</v>
      </c>
      <c r="B3099" t="s">
        <v>20</v>
      </c>
      <c r="C3099" t="s">
        <v>12</v>
      </c>
      <c r="D3099" t="s">
        <v>16</v>
      </c>
      <c r="E3099">
        <v>0</v>
      </c>
      <c r="F3099">
        <v>0.75</v>
      </c>
      <c r="G3099">
        <v>43.7181429862976</v>
      </c>
      <c r="H3099">
        <v>0</v>
      </c>
      <c r="I3099">
        <v>0</v>
      </c>
      <c r="J3099">
        <v>30</v>
      </c>
    </row>
    <row r="3100" spans="1:10" x14ac:dyDescent="0.25">
      <c r="A3100" t="s">
        <v>23</v>
      </c>
      <c r="B3100" t="s">
        <v>20</v>
      </c>
      <c r="C3100" t="s">
        <v>12</v>
      </c>
      <c r="D3100" t="s">
        <v>16</v>
      </c>
      <c r="E3100">
        <v>0</v>
      </c>
      <c r="F3100">
        <v>0.75</v>
      </c>
      <c r="G3100">
        <v>43.920790195465003</v>
      </c>
      <c r="H3100">
        <v>0</v>
      </c>
      <c r="I3100">
        <v>0</v>
      </c>
      <c r="J3100">
        <v>30</v>
      </c>
    </row>
    <row r="3101" spans="1:10" x14ac:dyDescent="0.25">
      <c r="A3101" t="s">
        <v>23</v>
      </c>
      <c r="B3101" t="s">
        <v>20</v>
      </c>
      <c r="C3101" t="s">
        <v>12</v>
      </c>
      <c r="D3101" t="s">
        <v>16</v>
      </c>
      <c r="E3101">
        <v>0</v>
      </c>
      <c r="F3101">
        <v>0.75</v>
      </c>
      <c r="G3101">
        <v>44.578732728958101</v>
      </c>
      <c r="H3101">
        <v>0</v>
      </c>
      <c r="I3101">
        <v>0</v>
      </c>
      <c r="J3101">
        <v>30</v>
      </c>
    </row>
    <row r="3102" spans="1:10" x14ac:dyDescent="0.25">
      <c r="A3102" t="s">
        <v>23</v>
      </c>
      <c r="B3102" t="s">
        <v>20</v>
      </c>
      <c r="C3102" t="s">
        <v>12</v>
      </c>
      <c r="D3102" t="s">
        <v>16</v>
      </c>
      <c r="E3102">
        <v>0</v>
      </c>
      <c r="F3102">
        <v>0.75</v>
      </c>
      <c r="G3102">
        <v>46.758031606674102</v>
      </c>
      <c r="H3102">
        <v>0</v>
      </c>
      <c r="I3102">
        <v>0</v>
      </c>
      <c r="J3102">
        <v>30</v>
      </c>
    </row>
    <row r="3103" spans="1:10" x14ac:dyDescent="0.25">
      <c r="A3103" t="s">
        <v>23</v>
      </c>
      <c r="B3103" t="s">
        <v>20</v>
      </c>
      <c r="C3103" t="s">
        <v>12</v>
      </c>
      <c r="D3103" t="s">
        <v>16</v>
      </c>
      <c r="E3103">
        <v>0</v>
      </c>
      <c r="F3103">
        <v>0.75</v>
      </c>
      <c r="G3103">
        <v>47.142565488815301</v>
      </c>
      <c r="H3103">
        <v>0</v>
      </c>
      <c r="I3103">
        <v>0</v>
      </c>
      <c r="J3103">
        <v>30</v>
      </c>
    </row>
    <row r="3104" spans="1:10" x14ac:dyDescent="0.25">
      <c r="A3104" t="s">
        <v>23</v>
      </c>
      <c r="B3104" t="s">
        <v>20</v>
      </c>
      <c r="C3104" t="s">
        <v>12</v>
      </c>
      <c r="D3104" t="s">
        <v>16</v>
      </c>
      <c r="E3104">
        <v>0</v>
      </c>
      <c r="F3104">
        <v>0.75</v>
      </c>
      <c r="G3104">
        <v>46.144734621047903</v>
      </c>
      <c r="H3104">
        <v>0</v>
      </c>
      <c r="I3104">
        <v>0</v>
      </c>
      <c r="J3104">
        <v>30</v>
      </c>
    </row>
    <row r="3105" spans="1:10" x14ac:dyDescent="0.25">
      <c r="A3105" t="s">
        <v>23</v>
      </c>
      <c r="B3105" t="s">
        <v>20</v>
      </c>
      <c r="C3105" t="s">
        <v>12</v>
      </c>
      <c r="D3105" t="s">
        <v>16</v>
      </c>
      <c r="E3105">
        <v>0</v>
      </c>
      <c r="F3105">
        <v>0.75</v>
      </c>
      <c r="G3105">
        <v>46.4152317047119</v>
      </c>
      <c r="H3105">
        <v>0</v>
      </c>
      <c r="I3105">
        <v>0</v>
      </c>
      <c r="J3105">
        <v>30</v>
      </c>
    </row>
    <row r="3106" spans="1:10" x14ac:dyDescent="0.25">
      <c r="A3106" t="s">
        <v>23</v>
      </c>
      <c r="B3106" t="s">
        <v>20</v>
      </c>
      <c r="C3106" t="s">
        <v>12</v>
      </c>
      <c r="D3106" t="s">
        <v>16</v>
      </c>
      <c r="E3106">
        <v>0</v>
      </c>
      <c r="F3106">
        <v>0.75</v>
      </c>
      <c r="G3106">
        <v>47.269796848297098</v>
      </c>
      <c r="H3106">
        <v>0</v>
      </c>
      <c r="I3106">
        <v>0</v>
      </c>
      <c r="J3106">
        <v>30</v>
      </c>
    </row>
    <row r="3107" spans="1:10" x14ac:dyDescent="0.25">
      <c r="A3107" t="s">
        <v>23</v>
      </c>
      <c r="B3107" t="s">
        <v>20</v>
      </c>
      <c r="C3107" t="s">
        <v>12</v>
      </c>
      <c r="D3107" t="s">
        <v>16</v>
      </c>
      <c r="E3107">
        <v>0</v>
      </c>
      <c r="F3107">
        <v>0.75</v>
      </c>
      <c r="G3107">
        <v>47.4483897686004</v>
      </c>
      <c r="H3107">
        <v>0</v>
      </c>
      <c r="I3107">
        <v>0</v>
      </c>
      <c r="J3107">
        <v>30</v>
      </c>
    </row>
    <row r="3108" spans="1:10" x14ac:dyDescent="0.25">
      <c r="A3108" t="s">
        <v>23</v>
      </c>
      <c r="B3108" t="s">
        <v>20</v>
      </c>
      <c r="C3108" t="s">
        <v>12</v>
      </c>
      <c r="D3108" t="s">
        <v>16</v>
      </c>
      <c r="E3108">
        <v>0</v>
      </c>
      <c r="F3108">
        <v>0.75</v>
      </c>
      <c r="G3108">
        <v>48.801690816879201</v>
      </c>
      <c r="H3108">
        <v>0</v>
      </c>
      <c r="I3108">
        <v>0</v>
      </c>
      <c r="J3108">
        <v>30</v>
      </c>
    </row>
    <row r="3109" spans="1:10" x14ac:dyDescent="0.25">
      <c r="A3109" t="s">
        <v>23</v>
      </c>
      <c r="B3109" t="s">
        <v>20</v>
      </c>
      <c r="C3109" t="s">
        <v>12</v>
      </c>
      <c r="D3109" t="s">
        <v>16</v>
      </c>
      <c r="E3109">
        <v>0</v>
      </c>
      <c r="F3109">
        <v>0.75</v>
      </c>
      <c r="G3109">
        <v>49.293234348297098</v>
      </c>
      <c r="H3109">
        <v>0</v>
      </c>
      <c r="I3109">
        <v>0</v>
      </c>
      <c r="J3109">
        <v>30</v>
      </c>
    </row>
    <row r="3110" spans="1:10" x14ac:dyDescent="0.25">
      <c r="A3110" t="s">
        <v>23</v>
      </c>
      <c r="B3110" t="s">
        <v>20</v>
      </c>
      <c r="C3110" t="s">
        <v>12</v>
      </c>
      <c r="D3110" t="s">
        <v>16</v>
      </c>
      <c r="E3110">
        <v>0</v>
      </c>
      <c r="F3110">
        <v>0.75</v>
      </c>
      <c r="G3110">
        <v>49.454379320144596</v>
      </c>
      <c r="H3110">
        <v>0</v>
      </c>
      <c r="I3110">
        <v>0</v>
      </c>
      <c r="J3110">
        <v>30</v>
      </c>
    </row>
    <row r="3111" spans="1:10" x14ac:dyDescent="0.25">
      <c r="A3111" t="s">
        <v>23</v>
      </c>
      <c r="B3111" t="s">
        <v>20</v>
      </c>
      <c r="C3111" t="s">
        <v>12</v>
      </c>
      <c r="D3111" t="s">
        <v>16</v>
      </c>
      <c r="E3111">
        <v>0</v>
      </c>
      <c r="F3111">
        <v>0.75</v>
      </c>
      <c r="G3111">
        <v>48.879409313201897</v>
      </c>
      <c r="H3111">
        <v>0</v>
      </c>
      <c r="I3111">
        <v>0</v>
      </c>
      <c r="J3111">
        <v>30</v>
      </c>
    </row>
    <row r="3112" spans="1:10" x14ac:dyDescent="0.25">
      <c r="A3112" t="s">
        <v>23</v>
      </c>
      <c r="B3112" t="s">
        <v>20</v>
      </c>
      <c r="C3112" t="s">
        <v>12</v>
      </c>
      <c r="D3112" t="s">
        <v>16</v>
      </c>
      <c r="E3112">
        <v>0</v>
      </c>
      <c r="F3112">
        <v>0.75</v>
      </c>
      <c r="G3112">
        <v>48.9910118579864</v>
      </c>
      <c r="H3112">
        <v>0</v>
      </c>
      <c r="I3112">
        <v>0</v>
      </c>
      <c r="J3112">
        <v>30</v>
      </c>
    </row>
    <row r="3113" spans="1:10" x14ac:dyDescent="0.25">
      <c r="A3113" t="s">
        <v>23</v>
      </c>
      <c r="B3113" t="s">
        <v>20</v>
      </c>
      <c r="C3113" t="s">
        <v>12</v>
      </c>
      <c r="D3113" t="s">
        <v>16</v>
      </c>
      <c r="E3113">
        <v>0</v>
      </c>
      <c r="F3113">
        <v>0.75</v>
      </c>
      <c r="G3113">
        <v>50.896748781204202</v>
      </c>
      <c r="H3113">
        <v>0</v>
      </c>
      <c r="I3113">
        <v>0</v>
      </c>
      <c r="J3113">
        <v>30</v>
      </c>
    </row>
    <row r="3114" spans="1:10" x14ac:dyDescent="0.25">
      <c r="A3114" t="s">
        <v>23</v>
      </c>
      <c r="B3114" t="s">
        <v>20</v>
      </c>
      <c r="C3114" t="s">
        <v>12</v>
      </c>
      <c r="D3114" t="s">
        <v>16</v>
      </c>
      <c r="E3114">
        <v>0</v>
      </c>
      <c r="F3114">
        <v>0.75</v>
      </c>
      <c r="G3114">
        <v>50.591186046600299</v>
      </c>
      <c r="H3114">
        <v>0</v>
      </c>
      <c r="I3114">
        <v>0</v>
      </c>
      <c r="J3114">
        <v>30</v>
      </c>
    </row>
    <row r="3115" spans="1:10" x14ac:dyDescent="0.25">
      <c r="A3115" t="s">
        <v>23</v>
      </c>
      <c r="B3115" t="s">
        <v>20</v>
      </c>
      <c r="C3115" t="s">
        <v>12</v>
      </c>
      <c r="D3115" t="s">
        <v>16</v>
      </c>
      <c r="E3115">
        <v>0</v>
      </c>
      <c r="F3115">
        <v>0.75</v>
      </c>
      <c r="G3115">
        <v>50.930116653442298</v>
      </c>
      <c r="H3115">
        <v>0</v>
      </c>
      <c r="I3115">
        <v>0</v>
      </c>
      <c r="J3115">
        <v>30</v>
      </c>
    </row>
    <row r="3116" spans="1:10" x14ac:dyDescent="0.25">
      <c r="A3116" t="s">
        <v>23</v>
      </c>
      <c r="B3116" t="s">
        <v>20</v>
      </c>
      <c r="C3116" t="s">
        <v>12</v>
      </c>
      <c r="D3116" t="s">
        <v>16</v>
      </c>
      <c r="E3116">
        <v>0</v>
      </c>
      <c r="F3116">
        <v>0.75</v>
      </c>
      <c r="G3116">
        <v>49.838610410690301</v>
      </c>
      <c r="H3116">
        <v>0</v>
      </c>
      <c r="I3116">
        <v>0</v>
      </c>
      <c r="J3116">
        <v>30</v>
      </c>
    </row>
    <row r="3117" spans="1:10" x14ac:dyDescent="0.25">
      <c r="A3117" t="s">
        <v>23</v>
      </c>
      <c r="B3117" t="s">
        <v>20</v>
      </c>
      <c r="C3117" t="s">
        <v>12</v>
      </c>
      <c r="D3117" t="s">
        <v>16</v>
      </c>
      <c r="E3117">
        <v>0</v>
      </c>
      <c r="F3117">
        <v>0.75</v>
      </c>
      <c r="G3117">
        <v>51.143856048583899</v>
      </c>
      <c r="H3117">
        <v>0</v>
      </c>
      <c r="I3117">
        <v>0</v>
      </c>
      <c r="J3117">
        <v>30</v>
      </c>
    </row>
    <row r="3118" spans="1:10" x14ac:dyDescent="0.25">
      <c r="A3118" t="s">
        <v>23</v>
      </c>
      <c r="B3118" t="s">
        <v>20</v>
      </c>
      <c r="C3118" t="s">
        <v>12</v>
      </c>
      <c r="D3118" t="s">
        <v>16</v>
      </c>
      <c r="E3118">
        <v>0</v>
      </c>
      <c r="F3118">
        <v>0.75</v>
      </c>
      <c r="G3118">
        <v>49.914805173873901</v>
      </c>
      <c r="H3118">
        <v>0</v>
      </c>
      <c r="I3118">
        <v>0</v>
      </c>
      <c r="J3118">
        <v>30</v>
      </c>
    </row>
    <row r="3119" spans="1:10" x14ac:dyDescent="0.25">
      <c r="A3119" t="s">
        <v>23</v>
      </c>
      <c r="B3119" t="s">
        <v>20</v>
      </c>
      <c r="C3119" t="s">
        <v>12</v>
      </c>
      <c r="D3119" t="s">
        <v>16</v>
      </c>
      <c r="E3119">
        <v>0</v>
      </c>
      <c r="F3119">
        <v>0.75</v>
      </c>
      <c r="G3119">
        <v>50.393404483795102</v>
      </c>
      <c r="H3119">
        <v>0</v>
      </c>
      <c r="I3119">
        <v>0</v>
      </c>
      <c r="J3119">
        <v>30</v>
      </c>
    </row>
    <row r="3120" spans="1:10" x14ac:dyDescent="0.25">
      <c r="A3120" t="s">
        <v>23</v>
      </c>
      <c r="B3120" t="s">
        <v>20</v>
      </c>
      <c r="C3120" t="s">
        <v>12</v>
      </c>
      <c r="D3120" t="s">
        <v>16</v>
      </c>
      <c r="E3120">
        <v>0</v>
      </c>
      <c r="F3120">
        <v>0.75</v>
      </c>
      <c r="G3120">
        <v>51.274677038192699</v>
      </c>
      <c r="H3120">
        <v>0</v>
      </c>
      <c r="I3120">
        <v>0</v>
      </c>
      <c r="J3120">
        <v>30</v>
      </c>
    </row>
    <row r="3121" spans="1:10" x14ac:dyDescent="0.25">
      <c r="A3121" t="s">
        <v>23</v>
      </c>
      <c r="B3121" t="s">
        <v>20</v>
      </c>
      <c r="C3121" t="s">
        <v>12</v>
      </c>
      <c r="D3121" t="s">
        <v>16</v>
      </c>
      <c r="E3121">
        <v>0</v>
      </c>
      <c r="F3121">
        <v>0.75</v>
      </c>
      <c r="G3121">
        <v>51.502675294876099</v>
      </c>
      <c r="H3121">
        <v>0</v>
      </c>
      <c r="I3121">
        <v>0</v>
      </c>
      <c r="J3121">
        <v>30</v>
      </c>
    </row>
    <row r="3122" spans="1:10" x14ac:dyDescent="0.25">
      <c r="A3122" t="s">
        <v>23</v>
      </c>
      <c r="B3122" t="s">
        <v>20</v>
      </c>
      <c r="C3122" t="s">
        <v>12</v>
      </c>
      <c r="D3122" t="s">
        <v>17</v>
      </c>
      <c r="E3122">
        <v>0.81987577639751497</v>
      </c>
      <c r="F3122">
        <v>0.86111883315863302</v>
      </c>
      <c r="G3122">
        <v>43811.710583925204</v>
      </c>
      <c r="H3122">
        <v>1001</v>
      </c>
      <c r="I3122">
        <v>915</v>
      </c>
      <c r="J3122">
        <v>30</v>
      </c>
    </row>
    <row r="3123" spans="1:10" x14ac:dyDescent="0.25">
      <c r="A3123" t="s">
        <v>23</v>
      </c>
      <c r="B3123" t="s">
        <v>20</v>
      </c>
      <c r="C3123" t="s">
        <v>12</v>
      </c>
      <c r="D3123" t="s">
        <v>17</v>
      </c>
      <c r="E3123">
        <v>0.831055900621118</v>
      </c>
      <c r="F3123">
        <v>0.86300258074981295</v>
      </c>
      <c r="G3123">
        <v>43952.320245981202</v>
      </c>
      <c r="H3123">
        <v>1010</v>
      </c>
      <c r="I3123">
        <v>932</v>
      </c>
      <c r="J3123">
        <v>30</v>
      </c>
    </row>
    <row r="3124" spans="1:10" x14ac:dyDescent="0.25">
      <c r="A3124" t="s">
        <v>23</v>
      </c>
      <c r="B3124" t="s">
        <v>20</v>
      </c>
      <c r="C3124" t="s">
        <v>12</v>
      </c>
      <c r="D3124" t="s">
        <v>17</v>
      </c>
      <c r="E3124">
        <v>0.82360248447204898</v>
      </c>
      <c r="F3124">
        <v>0.85989784668931601</v>
      </c>
      <c r="G3124">
        <v>44002.509644985199</v>
      </c>
      <c r="H3124">
        <v>1043</v>
      </c>
      <c r="I3124">
        <v>929</v>
      </c>
      <c r="J3124">
        <v>30</v>
      </c>
    </row>
    <row r="3125" spans="1:10" x14ac:dyDescent="0.25">
      <c r="A3125" t="s">
        <v>23</v>
      </c>
      <c r="B3125" t="s">
        <v>20</v>
      </c>
      <c r="C3125" t="s">
        <v>12</v>
      </c>
      <c r="D3125" t="s">
        <v>17</v>
      </c>
      <c r="E3125">
        <v>0.79627329192546503</v>
      </c>
      <c r="F3125">
        <v>0.84828177663378801</v>
      </c>
      <c r="G3125">
        <v>44660.435631275097</v>
      </c>
      <c r="H3125">
        <v>979</v>
      </c>
      <c r="I3125">
        <v>878</v>
      </c>
      <c r="J3125">
        <v>30</v>
      </c>
    </row>
    <row r="3126" spans="1:10" x14ac:dyDescent="0.25">
      <c r="A3126" t="s">
        <v>23</v>
      </c>
      <c r="B3126" t="s">
        <v>20</v>
      </c>
      <c r="C3126" t="s">
        <v>12</v>
      </c>
      <c r="D3126" t="s">
        <v>17</v>
      </c>
      <c r="E3126">
        <v>0.83229813664596197</v>
      </c>
      <c r="F3126">
        <v>0.86391190975341603</v>
      </c>
      <c r="G3126">
        <v>45078.651807784998</v>
      </c>
      <c r="H3126">
        <v>998</v>
      </c>
      <c r="I3126">
        <v>915</v>
      </c>
      <c r="J3126">
        <v>30</v>
      </c>
    </row>
    <row r="3127" spans="1:10" x14ac:dyDescent="0.25">
      <c r="A3127" t="s">
        <v>23</v>
      </c>
      <c r="B3127" t="s">
        <v>20</v>
      </c>
      <c r="C3127" t="s">
        <v>12</v>
      </c>
      <c r="D3127" t="s">
        <v>17</v>
      </c>
      <c r="E3127">
        <v>0.80745341614906796</v>
      </c>
      <c r="F3127">
        <v>0.85539200150422301</v>
      </c>
      <c r="G3127">
        <v>45249.365060567798</v>
      </c>
      <c r="H3127">
        <v>983</v>
      </c>
      <c r="I3127">
        <v>900</v>
      </c>
      <c r="J3127">
        <v>30</v>
      </c>
    </row>
    <row r="3128" spans="1:10" x14ac:dyDescent="0.25">
      <c r="A3128" t="s">
        <v>23</v>
      </c>
      <c r="B3128" t="s">
        <v>20</v>
      </c>
      <c r="C3128" t="s">
        <v>12</v>
      </c>
      <c r="D3128" t="s">
        <v>17</v>
      </c>
      <c r="E3128">
        <v>0.80993788819875701</v>
      </c>
      <c r="F3128">
        <v>0.85503525431031002</v>
      </c>
      <c r="G3128">
        <v>45495.039893388697</v>
      </c>
      <c r="H3128">
        <v>1040</v>
      </c>
      <c r="I3128">
        <v>929</v>
      </c>
      <c r="J3128">
        <v>30</v>
      </c>
    </row>
    <row r="3129" spans="1:10" x14ac:dyDescent="0.25">
      <c r="A3129" t="s">
        <v>23</v>
      </c>
      <c r="B3129" t="s">
        <v>20</v>
      </c>
      <c r="C3129" t="s">
        <v>12</v>
      </c>
      <c r="D3129" t="s">
        <v>17</v>
      </c>
      <c r="E3129">
        <v>0.83478260869565202</v>
      </c>
      <c r="F3129">
        <v>0.85857148002782602</v>
      </c>
      <c r="G3129">
        <v>45502.271019697102</v>
      </c>
      <c r="H3129">
        <v>995</v>
      </c>
      <c r="I3129">
        <v>919</v>
      </c>
      <c r="J3129">
        <v>30</v>
      </c>
    </row>
    <row r="3130" spans="1:10" x14ac:dyDescent="0.25">
      <c r="A3130" t="s">
        <v>23</v>
      </c>
      <c r="B3130" t="s">
        <v>20</v>
      </c>
      <c r="C3130" t="s">
        <v>12</v>
      </c>
      <c r="D3130" t="s">
        <v>17</v>
      </c>
      <c r="E3130">
        <v>0.81118012422360197</v>
      </c>
      <c r="F3130">
        <v>0.853183150700496</v>
      </c>
      <c r="G3130">
        <v>45834.324392795497</v>
      </c>
      <c r="H3130">
        <v>981</v>
      </c>
      <c r="I3130">
        <v>914</v>
      </c>
      <c r="J3130">
        <v>30</v>
      </c>
    </row>
    <row r="3131" spans="1:10" x14ac:dyDescent="0.25">
      <c r="A3131" t="s">
        <v>23</v>
      </c>
      <c r="B3131" t="s">
        <v>20</v>
      </c>
      <c r="C3131" t="s">
        <v>12</v>
      </c>
      <c r="D3131" t="s">
        <v>17</v>
      </c>
      <c r="E3131">
        <v>0.81614906832298095</v>
      </c>
      <c r="F3131">
        <v>0.85474429028049603</v>
      </c>
      <c r="G3131">
        <v>45841.159473657601</v>
      </c>
      <c r="H3131">
        <v>1015</v>
      </c>
      <c r="I3131">
        <v>933</v>
      </c>
      <c r="J3131">
        <v>30</v>
      </c>
    </row>
    <row r="3132" spans="1:10" x14ac:dyDescent="0.25">
      <c r="A3132" t="s">
        <v>23</v>
      </c>
      <c r="B3132" t="s">
        <v>20</v>
      </c>
      <c r="C3132" t="s">
        <v>12</v>
      </c>
      <c r="D3132" t="s">
        <v>17</v>
      </c>
      <c r="E3132">
        <v>0.80869565217391304</v>
      </c>
      <c r="F3132">
        <v>0.85244582030236005</v>
      </c>
      <c r="G3132">
        <v>45887.2787816524</v>
      </c>
      <c r="H3132">
        <v>990</v>
      </c>
      <c r="I3132">
        <v>902</v>
      </c>
      <c r="J3132">
        <v>30</v>
      </c>
    </row>
    <row r="3133" spans="1:10" x14ac:dyDescent="0.25">
      <c r="A3133" t="s">
        <v>23</v>
      </c>
      <c r="B3133" t="s">
        <v>20</v>
      </c>
      <c r="C3133" t="s">
        <v>12</v>
      </c>
      <c r="D3133" t="s">
        <v>17</v>
      </c>
      <c r="E3133">
        <v>0.81987577639751497</v>
      </c>
      <c r="F3133">
        <v>0.862769306028074</v>
      </c>
      <c r="G3133">
        <v>46079.363999128298</v>
      </c>
      <c r="H3133">
        <v>991</v>
      </c>
      <c r="I3133">
        <v>909</v>
      </c>
      <c r="J3133">
        <v>30</v>
      </c>
    </row>
    <row r="3134" spans="1:10" x14ac:dyDescent="0.25">
      <c r="A3134" t="s">
        <v>23</v>
      </c>
      <c r="B3134" t="s">
        <v>20</v>
      </c>
      <c r="C3134" t="s">
        <v>12</v>
      </c>
      <c r="D3134" t="s">
        <v>17</v>
      </c>
      <c r="E3134">
        <v>0.81490683229813599</v>
      </c>
      <c r="F3134">
        <v>0.85407434310559005</v>
      </c>
      <c r="G3134">
        <v>46124.1766681671</v>
      </c>
      <c r="H3134">
        <v>973</v>
      </c>
      <c r="I3134">
        <v>899</v>
      </c>
      <c r="J3134">
        <v>30</v>
      </c>
    </row>
    <row r="3135" spans="1:10" x14ac:dyDescent="0.25">
      <c r="A3135" t="s">
        <v>23</v>
      </c>
      <c r="B3135" t="s">
        <v>20</v>
      </c>
      <c r="C3135" t="s">
        <v>12</v>
      </c>
      <c r="D3135" t="s">
        <v>17</v>
      </c>
      <c r="E3135">
        <v>0.82732919254658299</v>
      </c>
      <c r="F3135">
        <v>0.85994628276658303</v>
      </c>
      <c r="G3135">
        <v>46299.741983890497</v>
      </c>
      <c r="H3135">
        <v>987</v>
      </c>
      <c r="I3135">
        <v>905</v>
      </c>
      <c r="J3135">
        <v>30</v>
      </c>
    </row>
    <row r="3136" spans="1:10" x14ac:dyDescent="0.25">
      <c r="A3136" t="s">
        <v>23</v>
      </c>
      <c r="B3136" t="s">
        <v>20</v>
      </c>
      <c r="C3136" t="s">
        <v>12</v>
      </c>
      <c r="D3136" t="s">
        <v>17</v>
      </c>
      <c r="E3136">
        <v>0.79254658385093102</v>
      </c>
      <c r="F3136">
        <v>0.84549578334844699</v>
      </c>
      <c r="G3136">
        <v>46361.759658098199</v>
      </c>
      <c r="H3136">
        <v>1017</v>
      </c>
      <c r="I3136">
        <v>926</v>
      </c>
      <c r="J3136">
        <v>30</v>
      </c>
    </row>
    <row r="3137" spans="1:10" x14ac:dyDescent="0.25">
      <c r="A3137" t="s">
        <v>23</v>
      </c>
      <c r="B3137" t="s">
        <v>20</v>
      </c>
      <c r="C3137" t="s">
        <v>12</v>
      </c>
      <c r="D3137" t="s">
        <v>17</v>
      </c>
      <c r="E3137">
        <v>0.78136645962732898</v>
      </c>
      <c r="F3137">
        <v>0.83800160484993702</v>
      </c>
      <c r="G3137">
        <v>46447.206932783098</v>
      </c>
      <c r="H3137">
        <v>950</v>
      </c>
      <c r="I3137">
        <v>875</v>
      </c>
      <c r="J3137">
        <v>30</v>
      </c>
    </row>
    <row r="3138" spans="1:10" x14ac:dyDescent="0.25">
      <c r="A3138" t="s">
        <v>23</v>
      </c>
      <c r="B3138" t="s">
        <v>20</v>
      </c>
      <c r="C3138" t="s">
        <v>12</v>
      </c>
      <c r="D3138" t="s">
        <v>17</v>
      </c>
      <c r="E3138">
        <v>0.831055900621118</v>
      </c>
      <c r="F3138">
        <v>0.85651939896857099</v>
      </c>
      <c r="G3138">
        <v>46500.769219636903</v>
      </c>
      <c r="H3138">
        <v>986</v>
      </c>
      <c r="I3138">
        <v>906</v>
      </c>
      <c r="J3138">
        <v>30</v>
      </c>
    </row>
    <row r="3139" spans="1:10" x14ac:dyDescent="0.25">
      <c r="A3139" t="s">
        <v>23</v>
      </c>
      <c r="B3139" t="s">
        <v>20</v>
      </c>
      <c r="C3139" t="s">
        <v>12</v>
      </c>
      <c r="D3139" t="s">
        <v>17</v>
      </c>
      <c r="E3139">
        <v>0.80372670807453395</v>
      </c>
      <c r="F3139">
        <v>0.85173650502447196</v>
      </c>
      <c r="G3139">
        <v>46523.135619163499</v>
      </c>
      <c r="H3139">
        <v>986</v>
      </c>
      <c r="I3139">
        <v>899</v>
      </c>
      <c r="J3139">
        <v>30</v>
      </c>
    </row>
    <row r="3140" spans="1:10" x14ac:dyDescent="0.25">
      <c r="A3140" t="s">
        <v>23</v>
      </c>
      <c r="B3140" t="s">
        <v>20</v>
      </c>
      <c r="C3140" t="s">
        <v>12</v>
      </c>
      <c r="D3140" t="s">
        <v>17</v>
      </c>
      <c r="E3140">
        <v>0.84720496894409902</v>
      </c>
      <c r="F3140">
        <v>0.865585930181615</v>
      </c>
      <c r="G3140">
        <v>46540.313021421403</v>
      </c>
      <c r="H3140">
        <v>980</v>
      </c>
      <c r="I3140">
        <v>909</v>
      </c>
      <c r="J3140">
        <v>30</v>
      </c>
    </row>
    <row r="3141" spans="1:10" x14ac:dyDescent="0.25">
      <c r="A3141" t="s">
        <v>23</v>
      </c>
      <c r="B3141" t="s">
        <v>20</v>
      </c>
      <c r="C3141" t="s">
        <v>12</v>
      </c>
      <c r="D3141" t="s">
        <v>17</v>
      </c>
      <c r="E3141">
        <v>0.80496894409937803</v>
      </c>
      <c r="F3141">
        <v>0.84796214958546501</v>
      </c>
      <c r="G3141">
        <v>46576.170142173702</v>
      </c>
      <c r="H3141">
        <v>1007</v>
      </c>
      <c r="I3141">
        <v>915</v>
      </c>
      <c r="J3141">
        <v>30</v>
      </c>
    </row>
    <row r="3142" spans="1:10" x14ac:dyDescent="0.25">
      <c r="A3142" t="s">
        <v>23</v>
      </c>
      <c r="B3142" t="s">
        <v>20</v>
      </c>
      <c r="C3142" t="s">
        <v>12</v>
      </c>
      <c r="D3142" t="s">
        <v>17</v>
      </c>
      <c r="E3142">
        <v>0.82360248447204898</v>
      </c>
      <c r="F3142">
        <v>0.85929502846521699</v>
      </c>
      <c r="G3142">
        <v>46588.279619693698</v>
      </c>
      <c r="H3142">
        <v>1022</v>
      </c>
      <c r="I3142">
        <v>936</v>
      </c>
      <c r="J3142">
        <v>30</v>
      </c>
    </row>
    <row r="3143" spans="1:10" x14ac:dyDescent="0.25">
      <c r="A3143" t="s">
        <v>23</v>
      </c>
      <c r="B3143" t="s">
        <v>20</v>
      </c>
      <c r="C3143" t="s">
        <v>12</v>
      </c>
      <c r="D3143" t="s">
        <v>17</v>
      </c>
      <c r="E3143">
        <v>0.80372670807453395</v>
      </c>
      <c r="F3143">
        <v>0.84675231151055796</v>
      </c>
      <c r="G3143">
        <v>46592.013738632202</v>
      </c>
      <c r="H3143">
        <v>945</v>
      </c>
      <c r="I3143">
        <v>881</v>
      </c>
      <c r="J3143">
        <v>30</v>
      </c>
    </row>
    <row r="3144" spans="1:10" x14ac:dyDescent="0.25">
      <c r="A3144" t="s">
        <v>23</v>
      </c>
      <c r="B3144" t="s">
        <v>20</v>
      </c>
      <c r="C3144" t="s">
        <v>12</v>
      </c>
      <c r="D3144" t="s">
        <v>17</v>
      </c>
      <c r="E3144">
        <v>0.79006211180124197</v>
      </c>
      <c r="F3144">
        <v>0.84587903547229804</v>
      </c>
      <c r="G3144">
        <v>46642.046832084598</v>
      </c>
      <c r="H3144">
        <v>967</v>
      </c>
      <c r="I3144">
        <v>884</v>
      </c>
      <c r="J3144">
        <v>30</v>
      </c>
    </row>
    <row r="3145" spans="1:10" x14ac:dyDescent="0.25">
      <c r="A3145" t="s">
        <v>23</v>
      </c>
      <c r="B3145" t="s">
        <v>20</v>
      </c>
      <c r="C3145" t="s">
        <v>12</v>
      </c>
      <c r="D3145" t="s">
        <v>17</v>
      </c>
      <c r="E3145">
        <v>0.81118012422360197</v>
      </c>
      <c r="F3145">
        <v>0.85488705827304301</v>
      </c>
      <c r="G3145">
        <v>46654.974855661298</v>
      </c>
      <c r="H3145">
        <v>1016</v>
      </c>
      <c r="I3145">
        <v>932</v>
      </c>
      <c r="J3145">
        <v>30</v>
      </c>
    </row>
    <row r="3146" spans="1:10" x14ac:dyDescent="0.25">
      <c r="A3146" t="s">
        <v>23</v>
      </c>
      <c r="B3146" t="s">
        <v>20</v>
      </c>
      <c r="C3146" t="s">
        <v>12</v>
      </c>
      <c r="D3146" t="s">
        <v>17</v>
      </c>
      <c r="E3146">
        <v>0.83229813664596197</v>
      </c>
      <c r="F3146">
        <v>0.86047086161043496</v>
      </c>
      <c r="G3146">
        <v>46703.5529906749</v>
      </c>
      <c r="H3146">
        <v>1012</v>
      </c>
      <c r="I3146">
        <v>932</v>
      </c>
      <c r="J3146">
        <v>30</v>
      </c>
    </row>
    <row r="3147" spans="1:10" x14ac:dyDescent="0.25">
      <c r="A3147" t="s">
        <v>23</v>
      </c>
      <c r="B3147" t="s">
        <v>20</v>
      </c>
      <c r="C3147" t="s">
        <v>12</v>
      </c>
      <c r="D3147" t="s">
        <v>17</v>
      </c>
      <c r="E3147">
        <v>0.82360248447204898</v>
      </c>
      <c r="F3147">
        <v>0.86195707532434696</v>
      </c>
      <c r="G3147">
        <v>46725.491816520604</v>
      </c>
      <c r="H3147">
        <v>1027</v>
      </c>
      <c r="I3147">
        <v>930</v>
      </c>
      <c r="J3147">
        <v>30</v>
      </c>
    </row>
    <row r="3148" spans="1:10" x14ac:dyDescent="0.25">
      <c r="A3148" t="s">
        <v>23</v>
      </c>
      <c r="B3148" t="s">
        <v>20</v>
      </c>
      <c r="C3148" t="s">
        <v>12</v>
      </c>
      <c r="D3148" t="s">
        <v>17</v>
      </c>
      <c r="E3148">
        <v>0.80621118012422299</v>
      </c>
      <c r="F3148">
        <v>0.85102191914148995</v>
      </c>
      <c r="G3148">
        <v>46774.850109100298</v>
      </c>
      <c r="H3148">
        <v>1003</v>
      </c>
      <c r="I3148">
        <v>907</v>
      </c>
      <c r="J3148">
        <v>30</v>
      </c>
    </row>
    <row r="3149" spans="1:10" x14ac:dyDescent="0.25">
      <c r="A3149" t="s">
        <v>23</v>
      </c>
      <c r="B3149" t="s">
        <v>20</v>
      </c>
      <c r="C3149" t="s">
        <v>12</v>
      </c>
      <c r="D3149" t="s">
        <v>17</v>
      </c>
      <c r="E3149">
        <v>0.76770186335403701</v>
      </c>
      <c r="F3149">
        <v>0.83462331134534096</v>
      </c>
      <c r="G3149">
        <v>46777.878703355702</v>
      </c>
      <c r="H3149">
        <v>1000</v>
      </c>
      <c r="I3149">
        <v>922</v>
      </c>
      <c r="J3149">
        <v>30</v>
      </c>
    </row>
    <row r="3150" spans="1:10" x14ac:dyDescent="0.25">
      <c r="A3150" t="s">
        <v>23</v>
      </c>
      <c r="B3150" t="s">
        <v>20</v>
      </c>
      <c r="C3150" t="s">
        <v>12</v>
      </c>
      <c r="D3150" t="s">
        <v>17</v>
      </c>
      <c r="E3150">
        <v>0.81614906832298095</v>
      </c>
      <c r="F3150">
        <v>0.84671462096596195</v>
      </c>
      <c r="G3150">
        <v>46968.013772010803</v>
      </c>
      <c r="H3150">
        <v>1006</v>
      </c>
      <c r="I3150">
        <v>907</v>
      </c>
      <c r="J3150">
        <v>30</v>
      </c>
    </row>
    <row r="3151" spans="1:10" x14ac:dyDescent="0.25">
      <c r="A3151" t="s">
        <v>23</v>
      </c>
      <c r="B3151" t="s">
        <v>20</v>
      </c>
      <c r="C3151" t="s">
        <v>12</v>
      </c>
      <c r="D3151" t="s">
        <v>17</v>
      </c>
      <c r="E3151">
        <v>0.80745341614906796</v>
      </c>
      <c r="F3151">
        <v>0.84774773672409898</v>
      </c>
      <c r="G3151">
        <v>47022.359625339501</v>
      </c>
      <c r="H3151">
        <v>995</v>
      </c>
      <c r="I3151">
        <v>909</v>
      </c>
      <c r="J3151">
        <v>30</v>
      </c>
    </row>
    <row r="3152" spans="1:10" x14ac:dyDescent="0.25">
      <c r="A3152" t="s">
        <v>23</v>
      </c>
      <c r="B3152" t="s">
        <v>20</v>
      </c>
      <c r="C3152" t="s">
        <v>18</v>
      </c>
      <c r="D3152" t="s">
        <v>13</v>
      </c>
      <c r="E3152">
        <v>0.99503105590062102</v>
      </c>
      <c r="F3152">
        <v>0.994933755466335</v>
      </c>
      <c r="G3152">
        <v>175.07688426971399</v>
      </c>
      <c r="H3152">
        <v>8</v>
      </c>
      <c r="I3152">
        <v>9</v>
      </c>
      <c r="J3152">
        <v>30</v>
      </c>
    </row>
    <row r="3153" spans="1:10" x14ac:dyDescent="0.25">
      <c r="A3153" t="s">
        <v>23</v>
      </c>
      <c r="B3153" t="s">
        <v>20</v>
      </c>
      <c r="C3153" t="s">
        <v>18</v>
      </c>
      <c r="D3153" t="s">
        <v>13</v>
      </c>
      <c r="E3153">
        <v>0.99627329192546499</v>
      </c>
      <c r="F3153">
        <v>0.99579652203043401</v>
      </c>
      <c r="G3153">
        <v>186.61005425453101</v>
      </c>
      <c r="H3153">
        <v>9</v>
      </c>
      <c r="I3153">
        <v>10</v>
      </c>
      <c r="J3153">
        <v>30</v>
      </c>
    </row>
    <row r="3154" spans="1:10" x14ac:dyDescent="0.25">
      <c r="A3154" t="s">
        <v>23</v>
      </c>
      <c r="B3154" t="s">
        <v>20</v>
      </c>
      <c r="C3154" t="s">
        <v>18</v>
      </c>
      <c r="D3154" t="s">
        <v>13</v>
      </c>
      <c r="E3154">
        <v>1</v>
      </c>
      <c r="F3154">
        <v>0.99914205752298102</v>
      </c>
      <c r="G3154">
        <v>217.50241518020599</v>
      </c>
      <c r="H3154">
        <v>11</v>
      </c>
      <c r="I3154">
        <v>12</v>
      </c>
      <c r="J3154">
        <v>30</v>
      </c>
    </row>
    <row r="3155" spans="1:10" x14ac:dyDescent="0.25">
      <c r="A3155" t="s">
        <v>23</v>
      </c>
      <c r="B3155" t="s">
        <v>20</v>
      </c>
      <c r="C3155" t="s">
        <v>18</v>
      </c>
      <c r="D3155" t="s">
        <v>13</v>
      </c>
      <c r="E3155">
        <v>0.99503105590062102</v>
      </c>
      <c r="F3155">
        <v>0.993806431141118</v>
      </c>
      <c r="G3155">
        <v>319.438635349273</v>
      </c>
      <c r="H3155">
        <v>12</v>
      </c>
      <c r="I3155">
        <v>14</v>
      </c>
      <c r="J3155">
        <v>30</v>
      </c>
    </row>
    <row r="3156" spans="1:10" x14ac:dyDescent="0.25">
      <c r="A3156" t="s">
        <v>23</v>
      </c>
      <c r="B3156" t="s">
        <v>20</v>
      </c>
      <c r="C3156" t="s">
        <v>18</v>
      </c>
      <c r="D3156" t="s">
        <v>13</v>
      </c>
      <c r="E3156">
        <v>0.99254658385093097</v>
      </c>
      <c r="F3156">
        <v>0.99141759412012398</v>
      </c>
      <c r="G3156">
        <v>362.19852542877197</v>
      </c>
      <c r="H3156">
        <v>13</v>
      </c>
      <c r="I3156">
        <v>16</v>
      </c>
      <c r="J3156">
        <v>30</v>
      </c>
    </row>
    <row r="3157" spans="1:10" x14ac:dyDescent="0.25">
      <c r="A3157" t="s">
        <v>23</v>
      </c>
      <c r="B3157" t="s">
        <v>20</v>
      </c>
      <c r="C3157" t="s">
        <v>18</v>
      </c>
      <c r="D3157" t="s">
        <v>13</v>
      </c>
      <c r="E3157">
        <v>0.99503105590062102</v>
      </c>
      <c r="F3157">
        <v>0.99476320407366403</v>
      </c>
      <c r="G3157">
        <v>391.095299243927</v>
      </c>
      <c r="H3157">
        <v>8</v>
      </c>
      <c r="I3157">
        <v>10</v>
      </c>
      <c r="J3157">
        <v>30</v>
      </c>
    </row>
    <row r="3158" spans="1:10" x14ac:dyDescent="0.25">
      <c r="A3158" t="s">
        <v>23</v>
      </c>
      <c r="B3158" t="s">
        <v>20</v>
      </c>
      <c r="C3158" t="s">
        <v>18</v>
      </c>
      <c r="D3158" t="s">
        <v>13</v>
      </c>
      <c r="E3158">
        <v>0.99378881987577605</v>
      </c>
      <c r="F3158">
        <v>0.99362303919912998</v>
      </c>
      <c r="G3158">
        <v>400.96343493461598</v>
      </c>
      <c r="H3158">
        <v>8</v>
      </c>
      <c r="I3158">
        <v>9</v>
      </c>
      <c r="J3158">
        <v>30</v>
      </c>
    </row>
    <row r="3159" spans="1:10" x14ac:dyDescent="0.25">
      <c r="A3159" t="s">
        <v>23</v>
      </c>
      <c r="B3159" t="s">
        <v>20</v>
      </c>
      <c r="C3159" t="s">
        <v>18</v>
      </c>
      <c r="D3159" t="s">
        <v>13</v>
      </c>
      <c r="E3159">
        <v>0.99503105590062102</v>
      </c>
      <c r="F3159">
        <v>0.99500964984385099</v>
      </c>
      <c r="G3159">
        <v>405.845806837081</v>
      </c>
      <c r="H3159">
        <v>8</v>
      </c>
      <c r="I3159">
        <v>10</v>
      </c>
      <c r="J3159">
        <v>30</v>
      </c>
    </row>
    <row r="3160" spans="1:10" x14ac:dyDescent="0.25">
      <c r="A3160" t="s">
        <v>23</v>
      </c>
      <c r="B3160" t="s">
        <v>20</v>
      </c>
      <c r="C3160" t="s">
        <v>18</v>
      </c>
      <c r="D3160" t="s">
        <v>13</v>
      </c>
      <c r="E3160">
        <v>0.99503105590062102</v>
      </c>
      <c r="F3160">
        <v>0.99479598298335403</v>
      </c>
      <c r="G3160">
        <v>412.93888902664099</v>
      </c>
      <c r="H3160">
        <v>8</v>
      </c>
      <c r="I3160">
        <v>9</v>
      </c>
      <c r="J3160">
        <v>30</v>
      </c>
    </row>
    <row r="3161" spans="1:10" x14ac:dyDescent="0.25">
      <c r="A3161" t="s">
        <v>23</v>
      </c>
      <c r="B3161" t="s">
        <v>20</v>
      </c>
      <c r="C3161" t="s">
        <v>18</v>
      </c>
      <c r="D3161" t="s">
        <v>13</v>
      </c>
      <c r="E3161">
        <v>0.98633540372670803</v>
      </c>
      <c r="F3161">
        <v>0.98658513080869503</v>
      </c>
      <c r="G3161">
        <v>419.03072810173001</v>
      </c>
      <c r="H3161">
        <v>8</v>
      </c>
      <c r="I3161">
        <v>9</v>
      </c>
      <c r="J3161">
        <v>30</v>
      </c>
    </row>
    <row r="3162" spans="1:10" x14ac:dyDescent="0.25">
      <c r="A3162" t="s">
        <v>23</v>
      </c>
      <c r="B3162" t="s">
        <v>20</v>
      </c>
      <c r="C3162" t="s">
        <v>18</v>
      </c>
      <c r="D3162" t="s">
        <v>13</v>
      </c>
      <c r="E3162">
        <v>0.99378881987577605</v>
      </c>
      <c r="F3162">
        <v>0.99360481818310498</v>
      </c>
      <c r="G3162">
        <v>422.51401638984601</v>
      </c>
      <c r="H3162">
        <v>8</v>
      </c>
      <c r="I3162">
        <v>10</v>
      </c>
      <c r="J3162">
        <v>30</v>
      </c>
    </row>
    <row r="3163" spans="1:10" x14ac:dyDescent="0.25">
      <c r="A3163" t="s">
        <v>23</v>
      </c>
      <c r="B3163" t="s">
        <v>20</v>
      </c>
      <c r="C3163" t="s">
        <v>18</v>
      </c>
      <c r="D3163" t="s">
        <v>13</v>
      </c>
      <c r="E3163">
        <v>0.99627329192546499</v>
      </c>
      <c r="F3163">
        <v>0.99617031953105595</v>
      </c>
      <c r="G3163">
        <v>423.54358983039799</v>
      </c>
      <c r="H3163">
        <v>8</v>
      </c>
      <c r="I3163">
        <v>9</v>
      </c>
      <c r="J3163">
        <v>30</v>
      </c>
    </row>
    <row r="3164" spans="1:10" x14ac:dyDescent="0.25">
      <c r="A3164" t="s">
        <v>23</v>
      </c>
      <c r="B3164" t="s">
        <v>20</v>
      </c>
      <c r="C3164" t="s">
        <v>18</v>
      </c>
      <c r="D3164" t="s">
        <v>13</v>
      </c>
      <c r="E3164">
        <v>0.99751552795030995</v>
      </c>
      <c r="F3164">
        <v>0.99714919608559005</v>
      </c>
      <c r="G3164">
        <v>430.11419701576199</v>
      </c>
      <c r="H3164">
        <v>8</v>
      </c>
      <c r="I3164">
        <v>10</v>
      </c>
      <c r="J3164">
        <v>30</v>
      </c>
    </row>
    <row r="3165" spans="1:10" x14ac:dyDescent="0.25">
      <c r="A3165" t="s">
        <v>23</v>
      </c>
      <c r="B3165" t="s">
        <v>20</v>
      </c>
      <c r="C3165" t="s">
        <v>18</v>
      </c>
      <c r="D3165" t="s">
        <v>13</v>
      </c>
      <c r="E3165">
        <v>0.99130434782608701</v>
      </c>
      <c r="F3165">
        <v>0.99081008239478197</v>
      </c>
      <c r="G3165">
        <v>440.92410707473698</v>
      </c>
      <c r="H3165">
        <v>9</v>
      </c>
      <c r="I3165">
        <v>10</v>
      </c>
      <c r="J3165">
        <v>30</v>
      </c>
    </row>
    <row r="3166" spans="1:10" x14ac:dyDescent="0.25">
      <c r="A3166" t="s">
        <v>23</v>
      </c>
      <c r="B3166" t="s">
        <v>20</v>
      </c>
      <c r="C3166" t="s">
        <v>18</v>
      </c>
      <c r="D3166" t="s">
        <v>13</v>
      </c>
      <c r="E3166">
        <v>0.99503105590062102</v>
      </c>
      <c r="F3166">
        <v>0.99458108121093103</v>
      </c>
      <c r="G3166">
        <v>443.56591558456398</v>
      </c>
      <c r="H3166">
        <v>9</v>
      </c>
      <c r="I3166">
        <v>10</v>
      </c>
      <c r="J3166">
        <v>30</v>
      </c>
    </row>
    <row r="3167" spans="1:10" x14ac:dyDescent="0.25">
      <c r="A3167" t="s">
        <v>23</v>
      </c>
      <c r="B3167" t="s">
        <v>20</v>
      </c>
      <c r="C3167" t="s">
        <v>18</v>
      </c>
      <c r="D3167" t="s">
        <v>13</v>
      </c>
      <c r="E3167">
        <v>0.99875776397515503</v>
      </c>
      <c r="F3167">
        <v>0.99851430080819803</v>
      </c>
      <c r="G3167">
        <v>446.14993119239801</v>
      </c>
      <c r="H3167">
        <v>9</v>
      </c>
      <c r="I3167">
        <v>10</v>
      </c>
      <c r="J3167">
        <v>30</v>
      </c>
    </row>
    <row r="3168" spans="1:10" x14ac:dyDescent="0.25">
      <c r="A3168" t="s">
        <v>23</v>
      </c>
      <c r="B3168" t="s">
        <v>20</v>
      </c>
      <c r="C3168" t="s">
        <v>18</v>
      </c>
      <c r="D3168" t="s">
        <v>13</v>
      </c>
      <c r="E3168">
        <v>0.98633540372670803</v>
      </c>
      <c r="F3168">
        <v>0.98621099988347805</v>
      </c>
      <c r="G3168">
        <v>447.18104505538901</v>
      </c>
      <c r="H3168">
        <v>9</v>
      </c>
      <c r="I3168">
        <v>10</v>
      </c>
      <c r="J3168">
        <v>30</v>
      </c>
    </row>
    <row r="3169" spans="1:10" x14ac:dyDescent="0.25">
      <c r="A3169" t="s">
        <v>23</v>
      </c>
      <c r="B3169" t="s">
        <v>20</v>
      </c>
      <c r="C3169" t="s">
        <v>18</v>
      </c>
      <c r="D3169" t="s">
        <v>13</v>
      </c>
      <c r="E3169">
        <v>0.99751552795030995</v>
      </c>
      <c r="F3169">
        <v>0.99728172415353999</v>
      </c>
      <c r="G3169">
        <v>448.20861268043501</v>
      </c>
      <c r="H3169">
        <v>9</v>
      </c>
      <c r="I3169">
        <v>10</v>
      </c>
      <c r="J3169">
        <v>30</v>
      </c>
    </row>
    <row r="3170" spans="1:10" x14ac:dyDescent="0.25">
      <c r="A3170" t="s">
        <v>23</v>
      </c>
      <c r="B3170" t="s">
        <v>20</v>
      </c>
      <c r="C3170" t="s">
        <v>18</v>
      </c>
      <c r="D3170" t="s">
        <v>13</v>
      </c>
      <c r="E3170">
        <v>0.99503105590062102</v>
      </c>
      <c r="F3170">
        <v>0.99463046436956504</v>
      </c>
      <c r="G3170">
        <v>449.69937825202902</v>
      </c>
      <c r="H3170">
        <v>9</v>
      </c>
      <c r="I3170">
        <v>10</v>
      </c>
      <c r="J3170">
        <v>30</v>
      </c>
    </row>
    <row r="3171" spans="1:10" x14ac:dyDescent="0.25">
      <c r="A3171" t="s">
        <v>23</v>
      </c>
      <c r="B3171" t="s">
        <v>20</v>
      </c>
      <c r="C3171" t="s">
        <v>18</v>
      </c>
      <c r="D3171" t="s">
        <v>13</v>
      </c>
      <c r="E3171">
        <v>0.99130434782608701</v>
      </c>
      <c r="F3171">
        <v>0.99095651175441002</v>
      </c>
      <c r="G3171">
        <v>450.94994974136301</v>
      </c>
      <c r="H3171">
        <v>9</v>
      </c>
      <c r="I3171">
        <v>10</v>
      </c>
      <c r="J3171">
        <v>30</v>
      </c>
    </row>
    <row r="3172" spans="1:10" x14ac:dyDescent="0.25">
      <c r="A3172" t="s">
        <v>23</v>
      </c>
      <c r="B3172" t="s">
        <v>20</v>
      </c>
      <c r="C3172" t="s">
        <v>18</v>
      </c>
      <c r="D3172" t="s">
        <v>13</v>
      </c>
      <c r="E3172">
        <v>0.99751552795030995</v>
      </c>
      <c r="F3172">
        <v>0.99711968194484402</v>
      </c>
      <c r="G3172">
        <v>454.57858610153198</v>
      </c>
      <c r="H3172">
        <v>11</v>
      </c>
      <c r="I3172">
        <v>12</v>
      </c>
      <c r="J3172">
        <v>30</v>
      </c>
    </row>
    <row r="3173" spans="1:10" x14ac:dyDescent="0.25">
      <c r="A3173" t="s">
        <v>23</v>
      </c>
      <c r="B3173" t="s">
        <v>20</v>
      </c>
      <c r="C3173" t="s">
        <v>18</v>
      </c>
      <c r="D3173" t="s">
        <v>13</v>
      </c>
      <c r="E3173">
        <v>0.99503105590062102</v>
      </c>
      <c r="F3173">
        <v>0.99486264358807397</v>
      </c>
      <c r="G3173">
        <v>455.27345943450899</v>
      </c>
      <c r="H3173">
        <v>10</v>
      </c>
      <c r="I3173">
        <v>12</v>
      </c>
      <c r="J3173">
        <v>30</v>
      </c>
    </row>
    <row r="3174" spans="1:10" x14ac:dyDescent="0.25">
      <c r="A3174" t="s">
        <v>23</v>
      </c>
      <c r="B3174" t="s">
        <v>20</v>
      </c>
      <c r="C3174" t="s">
        <v>18</v>
      </c>
      <c r="D3174" t="s">
        <v>13</v>
      </c>
      <c r="E3174">
        <v>1</v>
      </c>
      <c r="F3174">
        <v>0.99940494808558999</v>
      </c>
      <c r="G3174">
        <v>458.36048293113703</v>
      </c>
      <c r="H3174">
        <v>11</v>
      </c>
      <c r="I3174">
        <v>12</v>
      </c>
      <c r="J3174">
        <v>30</v>
      </c>
    </row>
    <row r="3175" spans="1:10" x14ac:dyDescent="0.25">
      <c r="A3175" t="s">
        <v>23</v>
      </c>
      <c r="B3175" t="s">
        <v>20</v>
      </c>
      <c r="C3175" t="s">
        <v>18</v>
      </c>
      <c r="D3175" t="s">
        <v>13</v>
      </c>
      <c r="E3175">
        <v>0.99254658385093097</v>
      </c>
      <c r="F3175">
        <v>0.99198179373118001</v>
      </c>
      <c r="G3175">
        <v>466.10542535781798</v>
      </c>
      <c r="H3175">
        <v>10</v>
      </c>
      <c r="I3175">
        <v>12</v>
      </c>
      <c r="J3175">
        <v>30</v>
      </c>
    </row>
    <row r="3176" spans="1:10" x14ac:dyDescent="0.25">
      <c r="A3176" t="s">
        <v>23</v>
      </c>
      <c r="B3176" t="s">
        <v>20</v>
      </c>
      <c r="C3176" t="s">
        <v>18</v>
      </c>
      <c r="D3176" t="s">
        <v>13</v>
      </c>
      <c r="E3176">
        <v>0.99875776397515503</v>
      </c>
      <c r="F3176">
        <v>0.99817719664571403</v>
      </c>
      <c r="G3176">
        <v>470.12308335304198</v>
      </c>
      <c r="H3176">
        <v>11</v>
      </c>
      <c r="I3176">
        <v>13</v>
      </c>
      <c r="J3176">
        <v>30</v>
      </c>
    </row>
    <row r="3177" spans="1:10" x14ac:dyDescent="0.25">
      <c r="A3177" t="s">
        <v>23</v>
      </c>
      <c r="B3177" t="s">
        <v>20</v>
      </c>
      <c r="C3177" t="s">
        <v>18</v>
      </c>
      <c r="D3177" t="s">
        <v>13</v>
      </c>
      <c r="E3177">
        <v>0.99627329192546499</v>
      </c>
      <c r="F3177">
        <v>0.99736393125888201</v>
      </c>
      <c r="G3177">
        <v>471.38398289680401</v>
      </c>
      <c r="H3177">
        <v>11</v>
      </c>
      <c r="I3177">
        <v>13</v>
      </c>
      <c r="J3177">
        <v>30</v>
      </c>
    </row>
    <row r="3178" spans="1:10" x14ac:dyDescent="0.25">
      <c r="A3178" t="s">
        <v>23</v>
      </c>
      <c r="B3178" t="s">
        <v>20</v>
      </c>
      <c r="C3178" t="s">
        <v>18</v>
      </c>
      <c r="D3178" t="s">
        <v>13</v>
      </c>
      <c r="E3178">
        <v>0.99254658385093097</v>
      </c>
      <c r="F3178">
        <v>0.99173147106248405</v>
      </c>
      <c r="G3178">
        <v>476.093059301376</v>
      </c>
      <c r="H3178">
        <v>12</v>
      </c>
      <c r="I3178">
        <v>16</v>
      </c>
      <c r="J3178">
        <v>30</v>
      </c>
    </row>
    <row r="3179" spans="1:10" x14ac:dyDescent="0.25">
      <c r="A3179" t="s">
        <v>23</v>
      </c>
      <c r="B3179" t="s">
        <v>20</v>
      </c>
      <c r="C3179" t="s">
        <v>18</v>
      </c>
      <c r="D3179" t="s">
        <v>13</v>
      </c>
      <c r="E3179">
        <v>0.98633540372670803</v>
      </c>
      <c r="F3179">
        <v>0.98633738792136605</v>
      </c>
      <c r="G3179">
        <v>477.57047343253998</v>
      </c>
      <c r="H3179">
        <v>13</v>
      </c>
      <c r="I3179">
        <v>17</v>
      </c>
      <c r="J3179">
        <v>30</v>
      </c>
    </row>
    <row r="3180" spans="1:10" x14ac:dyDescent="0.25">
      <c r="A3180" t="s">
        <v>23</v>
      </c>
      <c r="B3180" t="s">
        <v>20</v>
      </c>
      <c r="C3180" t="s">
        <v>18</v>
      </c>
      <c r="D3180" t="s">
        <v>13</v>
      </c>
      <c r="E3180">
        <v>0.99254658385093097</v>
      </c>
      <c r="F3180">
        <v>0.99207926746260799</v>
      </c>
      <c r="G3180">
        <v>479.03131079673699</v>
      </c>
      <c r="H3180">
        <v>13</v>
      </c>
      <c r="I3180">
        <v>16</v>
      </c>
      <c r="J3180">
        <v>30</v>
      </c>
    </row>
    <row r="3181" spans="1:10" x14ac:dyDescent="0.25">
      <c r="A3181" t="s">
        <v>23</v>
      </c>
      <c r="B3181" t="s">
        <v>20</v>
      </c>
      <c r="C3181" t="s">
        <v>18</v>
      </c>
      <c r="D3181" t="s">
        <v>13</v>
      </c>
      <c r="E3181">
        <v>0.99627329192546499</v>
      </c>
      <c r="F3181">
        <v>0.995330128459751</v>
      </c>
      <c r="G3181">
        <v>480.01086139678898</v>
      </c>
      <c r="H3181">
        <v>15</v>
      </c>
      <c r="I3181">
        <v>18</v>
      </c>
      <c r="J3181">
        <v>30</v>
      </c>
    </row>
    <row r="3182" spans="1:10" x14ac:dyDescent="0.25">
      <c r="A3182" t="s">
        <v>23</v>
      </c>
      <c r="B3182" t="s">
        <v>20</v>
      </c>
      <c r="C3182" t="s">
        <v>18</v>
      </c>
      <c r="D3182" t="s">
        <v>14</v>
      </c>
      <c r="E3182">
        <v>0.25590062111801198</v>
      </c>
      <c r="F3182">
        <v>0.81299426329403701</v>
      </c>
      <c r="G3182">
        <v>117.888157844543</v>
      </c>
      <c r="H3182">
        <v>5</v>
      </c>
      <c r="I3182">
        <v>5</v>
      </c>
      <c r="J3182">
        <v>30</v>
      </c>
    </row>
    <row r="3183" spans="1:10" x14ac:dyDescent="0.25">
      <c r="A3183" t="s">
        <v>23</v>
      </c>
      <c r="B3183" t="s">
        <v>20</v>
      </c>
      <c r="C3183" t="s">
        <v>18</v>
      </c>
      <c r="D3183" t="s">
        <v>14</v>
      </c>
      <c r="E3183">
        <v>0.259627329192546</v>
      </c>
      <c r="F3183">
        <v>0.81406962604136601</v>
      </c>
      <c r="G3183">
        <v>118.900974273681</v>
      </c>
      <c r="H3183">
        <v>5</v>
      </c>
      <c r="I3183">
        <v>5</v>
      </c>
      <c r="J3183">
        <v>30</v>
      </c>
    </row>
    <row r="3184" spans="1:10" x14ac:dyDescent="0.25">
      <c r="A3184" t="s">
        <v>23</v>
      </c>
      <c r="B3184" t="s">
        <v>20</v>
      </c>
      <c r="C3184" t="s">
        <v>18</v>
      </c>
      <c r="D3184" t="s">
        <v>14</v>
      </c>
      <c r="E3184">
        <v>0.24223602484472001</v>
      </c>
      <c r="F3184">
        <v>0.81033648843664496</v>
      </c>
      <c r="G3184">
        <v>121.913011312484</v>
      </c>
      <c r="H3184">
        <v>5</v>
      </c>
      <c r="I3184">
        <v>5</v>
      </c>
      <c r="J3184">
        <v>30</v>
      </c>
    </row>
    <row r="3185" spans="1:10" x14ac:dyDescent="0.25">
      <c r="A3185" t="s">
        <v>23</v>
      </c>
      <c r="B3185" t="s">
        <v>20</v>
      </c>
      <c r="C3185" t="s">
        <v>18</v>
      </c>
      <c r="D3185" t="s">
        <v>14</v>
      </c>
      <c r="E3185">
        <v>0.244720496894409</v>
      </c>
      <c r="F3185">
        <v>0.81112900502832197</v>
      </c>
      <c r="G3185">
        <v>121.998439311981</v>
      </c>
      <c r="H3185">
        <v>5</v>
      </c>
      <c r="I3185">
        <v>5</v>
      </c>
      <c r="J3185">
        <v>30</v>
      </c>
    </row>
    <row r="3186" spans="1:10" x14ac:dyDescent="0.25">
      <c r="A3186" t="s">
        <v>23</v>
      </c>
      <c r="B3186" t="s">
        <v>20</v>
      </c>
      <c r="C3186" t="s">
        <v>18</v>
      </c>
      <c r="D3186" t="s">
        <v>14</v>
      </c>
      <c r="E3186">
        <v>0.24347826086956501</v>
      </c>
      <c r="F3186">
        <v>0.80974566169242201</v>
      </c>
      <c r="G3186">
        <v>122.29604506492601</v>
      </c>
      <c r="H3186">
        <v>5</v>
      </c>
      <c r="I3186">
        <v>5</v>
      </c>
      <c r="J3186">
        <v>30</v>
      </c>
    </row>
    <row r="3187" spans="1:10" x14ac:dyDescent="0.25">
      <c r="A3187" t="s">
        <v>23</v>
      </c>
      <c r="B3187" t="s">
        <v>20</v>
      </c>
      <c r="C3187" t="s">
        <v>18</v>
      </c>
      <c r="D3187" t="s">
        <v>14</v>
      </c>
      <c r="E3187">
        <v>0.245962732919254</v>
      </c>
      <c r="F3187">
        <v>0.81107670810558896</v>
      </c>
      <c r="G3187">
        <v>123.677499532699</v>
      </c>
      <c r="H3187">
        <v>5</v>
      </c>
      <c r="I3187">
        <v>5</v>
      </c>
      <c r="J3187">
        <v>30</v>
      </c>
    </row>
    <row r="3188" spans="1:10" x14ac:dyDescent="0.25">
      <c r="A3188" t="s">
        <v>23</v>
      </c>
      <c r="B3188" t="s">
        <v>20</v>
      </c>
      <c r="C3188" t="s">
        <v>18</v>
      </c>
      <c r="D3188" t="s">
        <v>14</v>
      </c>
      <c r="E3188">
        <v>0.25838509316770097</v>
      </c>
      <c r="F3188">
        <v>0.81420371644534095</v>
      </c>
      <c r="G3188">
        <v>124.64955329895</v>
      </c>
      <c r="H3188">
        <v>5</v>
      </c>
      <c r="I3188">
        <v>5</v>
      </c>
      <c r="J3188">
        <v>30</v>
      </c>
    </row>
    <row r="3189" spans="1:10" x14ac:dyDescent="0.25">
      <c r="A3189" t="s">
        <v>23</v>
      </c>
      <c r="B3189" t="s">
        <v>20</v>
      </c>
      <c r="C3189" t="s">
        <v>18</v>
      </c>
      <c r="D3189" t="s">
        <v>14</v>
      </c>
      <c r="E3189">
        <v>0.25341614906832299</v>
      </c>
      <c r="F3189">
        <v>0.81263390859726603</v>
      </c>
      <c r="G3189">
        <v>126.09900045394799</v>
      </c>
      <c r="H3189">
        <v>5</v>
      </c>
      <c r="I3189">
        <v>5</v>
      </c>
      <c r="J3189">
        <v>30</v>
      </c>
    </row>
    <row r="3190" spans="1:10" x14ac:dyDescent="0.25">
      <c r="A3190" t="s">
        <v>23</v>
      </c>
      <c r="B3190" t="s">
        <v>20</v>
      </c>
      <c r="C3190" t="s">
        <v>18</v>
      </c>
      <c r="D3190" t="s">
        <v>14</v>
      </c>
      <c r="E3190">
        <v>0.26335403726708001</v>
      </c>
      <c r="F3190">
        <v>0.815529291065341</v>
      </c>
      <c r="G3190">
        <v>126.49139928817701</v>
      </c>
      <c r="H3190">
        <v>5</v>
      </c>
      <c r="I3190">
        <v>5</v>
      </c>
      <c r="J3190">
        <v>30</v>
      </c>
    </row>
    <row r="3191" spans="1:10" x14ac:dyDescent="0.25">
      <c r="A3191" t="s">
        <v>23</v>
      </c>
      <c r="B3191" t="s">
        <v>20</v>
      </c>
      <c r="C3191" t="s">
        <v>18</v>
      </c>
      <c r="D3191" t="s">
        <v>14</v>
      </c>
      <c r="E3191">
        <v>0.24844720496894401</v>
      </c>
      <c r="F3191">
        <v>0.81188268307875699</v>
      </c>
      <c r="G3191">
        <v>128.783178091049</v>
      </c>
      <c r="H3191">
        <v>5</v>
      </c>
      <c r="I3191">
        <v>5</v>
      </c>
      <c r="J3191">
        <v>30</v>
      </c>
    </row>
    <row r="3192" spans="1:10" x14ac:dyDescent="0.25">
      <c r="A3192" t="s">
        <v>23</v>
      </c>
      <c r="B3192" t="s">
        <v>20</v>
      </c>
      <c r="C3192" t="s">
        <v>18</v>
      </c>
      <c r="D3192" t="s">
        <v>14</v>
      </c>
      <c r="E3192">
        <v>0.25590062111801198</v>
      </c>
      <c r="F3192">
        <v>0.81390236051279397</v>
      </c>
      <c r="G3192">
        <v>131.30924057960499</v>
      </c>
      <c r="H3192">
        <v>5</v>
      </c>
      <c r="I3192">
        <v>5</v>
      </c>
      <c r="J3192">
        <v>30</v>
      </c>
    </row>
    <row r="3193" spans="1:10" x14ac:dyDescent="0.25">
      <c r="A3193" t="s">
        <v>23</v>
      </c>
      <c r="B3193" t="s">
        <v>20</v>
      </c>
      <c r="C3193" t="s">
        <v>18</v>
      </c>
      <c r="D3193" t="s">
        <v>14</v>
      </c>
      <c r="E3193">
        <v>0.25838509316770097</v>
      </c>
      <c r="F3193">
        <v>0.81422935222944104</v>
      </c>
      <c r="G3193">
        <v>134.56361269950801</v>
      </c>
      <c r="H3193">
        <v>6</v>
      </c>
      <c r="I3193">
        <v>6</v>
      </c>
      <c r="J3193">
        <v>30</v>
      </c>
    </row>
    <row r="3194" spans="1:10" x14ac:dyDescent="0.25">
      <c r="A3194" t="s">
        <v>23</v>
      </c>
      <c r="B3194" t="s">
        <v>20</v>
      </c>
      <c r="C3194" t="s">
        <v>18</v>
      </c>
      <c r="D3194" t="s">
        <v>14</v>
      </c>
      <c r="E3194">
        <v>0.26211180124223599</v>
      </c>
      <c r="F3194">
        <v>0.81525388933614895</v>
      </c>
      <c r="G3194">
        <v>134.43778991699199</v>
      </c>
      <c r="H3194">
        <v>6</v>
      </c>
      <c r="I3194">
        <v>6</v>
      </c>
      <c r="J3194">
        <v>30</v>
      </c>
    </row>
    <row r="3195" spans="1:10" x14ac:dyDescent="0.25">
      <c r="A3195" t="s">
        <v>23</v>
      </c>
      <c r="B3195" t="s">
        <v>20</v>
      </c>
      <c r="C3195" t="s">
        <v>18</v>
      </c>
      <c r="D3195" t="s">
        <v>14</v>
      </c>
      <c r="E3195">
        <v>0.24347826086956501</v>
      </c>
      <c r="F3195">
        <v>0.81024039322571295</v>
      </c>
      <c r="G3195">
        <v>135.21399426460201</v>
      </c>
      <c r="H3195">
        <v>6</v>
      </c>
      <c r="I3195">
        <v>6</v>
      </c>
      <c r="J3195">
        <v>30</v>
      </c>
    </row>
    <row r="3196" spans="1:10" x14ac:dyDescent="0.25">
      <c r="A3196" t="s">
        <v>23</v>
      </c>
      <c r="B3196" t="s">
        <v>20</v>
      </c>
      <c r="C3196" t="s">
        <v>18</v>
      </c>
      <c r="D3196" t="s">
        <v>14</v>
      </c>
      <c r="E3196">
        <v>0.26708074534161402</v>
      </c>
      <c r="F3196">
        <v>0.81648375541776397</v>
      </c>
      <c r="G3196">
        <v>135.532489299774</v>
      </c>
      <c r="H3196">
        <v>6</v>
      </c>
      <c r="I3196">
        <v>6</v>
      </c>
      <c r="J3196">
        <v>30</v>
      </c>
    </row>
    <row r="3197" spans="1:10" x14ac:dyDescent="0.25">
      <c r="A3197" t="s">
        <v>23</v>
      </c>
      <c r="B3197" t="s">
        <v>20</v>
      </c>
      <c r="C3197" t="s">
        <v>18</v>
      </c>
      <c r="D3197" t="s">
        <v>14</v>
      </c>
      <c r="E3197">
        <v>0.26832298136645899</v>
      </c>
      <c r="F3197">
        <v>0.81687677410285697</v>
      </c>
      <c r="G3197">
        <v>138.64160370826701</v>
      </c>
      <c r="H3197">
        <v>6</v>
      </c>
      <c r="I3197">
        <v>6</v>
      </c>
      <c r="J3197">
        <v>30</v>
      </c>
    </row>
    <row r="3198" spans="1:10" x14ac:dyDescent="0.25">
      <c r="A3198" t="s">
        <v>23</v>
      </c>
      <c r="B3198" t="s">
        <v>20</v>
      </c>
      <c r="C3198" t="s">
        <v>18</v>
      </c>
      <c r="D3198" t="s">
        <v>14</v>
      </c>
      <c r="E3198">
        <v>0.24223602484472001</v>
      </c>
      <c r="F3198">
        <v>0.81009408303763897</v>
      </c>
      <c r="G3198">
        <v>138.665690660476</v>
      </c>
      <c r="H3198">
        <v>6</v>
      </c>
      <c r="I3198">
        <v>6</v>
      </c>
      <c r="J3198">
        <v>30</v>
      </c>
    </row>
    <row r="3199" spans="1:10" x14ac:dyDescent="0.25">
      <c r="A3199" t="s">
        <v>23</v>
      </c>
      <c r="B3199" t="s">
        <v>20</v>
      </c>
      <c r="C3199" t="s">
        <v>18</v>
      </c>
      <c r="D3199" t="s">
        <v>14</v>
      </c>
      <c r="E3199">
        <v>0.272049689440993</v>
      </c>
      <c r="F3199">
        <v>0.81729773878509304</v>
      </c>
      <c r="G3199">
        <v>138.84069371223401</v>
      </c>
      <c r="H3199">
        <v>6</v>
      </c>
      <c r="I3199">
        <v>6</v>
      </c>
      <c r="J3199">
        <v>30</v>
      </c>
    </row>
    <row r="3200" spans="1:10" x14ac:dyDescent="0.25">
      <c r="A3200" t="s">
        <v>23</v>
      </c>
      <c r="B3200" t="s">
        <v>20</v>
      </c>
      <c r="C3200" t="s">
        <v>18</v>
      </c>
      <c r="D3200" t="s">
        <v>14</v>
      </c>
      <c r="E3200">
        <v>0.259627329192546</v>
      </c>
      <c r="F3200">
        <v>0.81452783542322904</v>
      </c>
      <c r="G3200">
        <v>138.78004479408199</v>
      </c>
      <c r="H3200">
        <v>6</v>
      </c>
      <c r="I3200">
        <v>6</v>
      </c>
      <c r="J3200">
        <v>30</v>
      </c>
    </row>
    <row r="3201" spans="1:10" x14ac:dyDescent="0.25">
      <c r="A3201" t="s">
        <v>23</v>
      </c>
      <c r="B3201" t="s">
        <v>20</v>
      </c>
      <c r="C3201" t="s">
        <v>18</v>
      </c>
      <c r="D3201" t="s">
        <v>14</v>
      </c>
      <c r="E3201">
        <v>0.24099378881987499</v>
      </c>
      <c r="F3201">
        <v>0.81001637908645896</v>
      </c>
      <c r="G3201">
        <v>139.033686876297</v>
      </c>
      <c r="H3201">
        <v>6</v>
      </c>
      <c r="I3201">
        <v>6</v>
      </c>
      <c r="J3201">
        <v>30</v>
      </c>
    </row>
    <row r="3202" spans="1:10" x14ac:dyDescent="0.25">
      <c r="A3202" t="s">
        <v>23</v>
      </c>
      <c r="B3202" t="s">
        <v>20</v>
      </c>
      <c r="C3202" t="s">
        <v>18</v>
      </c>
      <c r="D3202" t="s">
        <v>14</v>
      </c>
      <c r="E3202">
        <v>0.25838509316770097</v>
      </c>
      <c r="F3202">
        <v>0.81421304182310505</v>
      </c>
      <c r="G3202">
        <v>139.696266889572</v>
      </c>
      <c r="H3202">
        <v>6</v>
      </c>
      <c r="I3202">
        <v>6</v>
      </c>
      <c r="J3202">
        <v>30</v>
      </c>
    </row>
    <row r="3203" spans="1:10" x14ac:dyDescent="0.25">
      <c r="A3203" t="s">
        <v>23</v>
      </c>
      <c r="B3203" t="s">
        <v>20</v>
      </c>
      <c r="C3203" t="s">
        <v>18</v>
      </c>
      <c r="D3203" t="s">
        <v>14</v>
      </c>
      <c r="E3203">
        <v>0.244720496894409</v>
      </c>
      <c r="F3203">
        <v>0.81093332435975096</v>
      </c>
      <c r="G3203">
        <v>139.63120603561401</v>
      </c>
      <c r="H3203">
        <v>6</v>
      </c>
      <c r="I3203">
        <v>6</v>
      </c>
      <c r="J3203">
        <v>30</v>
      </c>
    </row>
    <row r="3204" spans="1:10" x14ac:dyDescent="0.25">
      <c r="A3204" t="s">
        <v>23</v>
      </c>
      <c r="B3204" t="s">
        <v>20</v>
      </c>
      <c r="C3204" t="s">
        <v>18</v>
      </c>
      <c r="D3204" t="s">
        <v>14</v>
      </c>
      <c r="E3204">
        <v>0.26211180124223599</v>
      </c>
      <c r="F3204">
        <v>0.814856802152919</v>
      </c>
      <c r="G3204">
        <v>139.72888898849399</v>
      </c>
      <c r="H3204">
        <v>6</v>
      </c>
      <c r="I3204">
        <v>6</v>
      </c>
      <c r="J3204">
        <v>30</v>
      </c>
    </row>
    <row r="3205" spans="1:10" x14ac:dyDescent="0.25">
      <c r="A3205" t="s">
        <v>23</v>
      </c>
      <c r="B3205" t="s">
        <v>20</v>
      </c>
      <c r="C3205" t="s">
        <v>18</v>
      </c>
      <c r="D3205" t="s">
        <v>14</v>
      </c>
      <c r="E3205">
        <v>0.26708074534161402</v>
      </c>
      <c r="F3205">
        <v>0.81638186467366503</v>
      </c>
      <c r="G3205">
        <v>140.37363147735499</v>
      </c>
      <c r="H3205">
        <v>7</v>
      </c>
      <c r="I3205">
        <v>7</v>
      </c>
      <c r="J3205">
        <v>30</v>
      </c>
    </row>
    <row r="3206" spans="1:10" x14ac:dyDescent="0.25">
      <c r="A3206" t="s">
        <v>23</v>
      </c>
      <c r="B3206" t="s">
        <v>20</v>
      </c>
      <c r="C3206" t="s">
        <v>18</v>
      </c>
      <c r="D3206" t="s">
        <v>14</v>
      </c>
      <c r="E3206">
        <v>0.24968944099378801</v>
      </c>
      <c r="F3206">
        <v>0.81216278888248306</v>
      </c>
      <c r="G3206">
        <v>140.84469151496799</v>
      </c>
      <c r="H3206">
        <v>6</v>
      </c>
      <c r="I3206">
        <v>6</v>
      </c>
      <c r="J3206">
        <v>30</v>
      </c>
    </row>
    <row r="3207" spans="1:10" x14ac:dyDescent="0.25">
      <c r="A3207" t="s">
        <v>23</v>
      </c>
      <c r="B3207" t="s">
        <v>20</v>
      </c>
      <c r="C3207" t="s">
        <v>18</v>
      </c>
      <c r="D3207" t="s">
        <v>14</v>
      </c>
      <c r="E3207">
        <v>0.25590062111801198</v>
      </c>
      <c r="F3207">
        <v>0.81344096572906799</v>
      </c>
      <c r="G3207">
        <v>141.55810928344701</v>
      </c>
      <c r="H3207">
        <v>7</v>
      </c>
      <c r="I3207">
        <v>7</v>
      </c>
      <c r="J3207">
        <v>30</v>
      </c>
    </row>
    <row r="3208" spans="1:10" x14ac:dyDescent="0.25">
      <c r="A3208" t="s">
        <v>23</v>
      </c>
      <c r="B3208" t="s">
        <v>20</v>
      </c>
      <c r="C3208" t="s">
        <v>18</v>
      </c>
      <c r="D3208" t="s">
        <v>14</v>
      </c>
      <c r="E3208">
        <v>0.25341614906832299</v>
      </c>
      <c r="F3208">
        <v>0.81206901692459499</v>
      </c>
      <c r="G3208">
        <v>141.96987080573999</v>
      </c>
      <c r="H3208">
        <v>7</v>
      </c>
      <c r="I3208">
        <v>7</v>
      </c>
      <c r="J3208">
        <v>30</v>
      </c>
    </row>
    <row r="3209" spans="1:10" x14ac:dyDescent="0.25">
      <c r="A3209" t="s">
        <v>23</v>
      </c>
      <c r="B3209" t="s">
        <v>20</v>
      </c>
      <c r="C3209" t="s">
        <v>18</v>
      </c>
      <c r="D3209" t="s">
        <v>14</v>
      </c>
      <c r="E3209">
        <v>0.26956521739130401</v>
      </c>
      <c r="F3209">
        <v>0.817000352962857</v>
      </c>
      <c r="G3209">
        <v>141.90928697586</v>
      </c>
      <c r="H3209">
        <v>7</v>
      </c>
      <c r="I3209">
        <v>7</v>
      </c>
      <c r="J3209">
        <v>30</v>
      </c>
    </row>
    <row r="3210" spans="1:10" x14ac:dyDescent="0.25">
      <c r="A3210" t="s">
        <v>23</v>
      </c>
      <c r="B3210" t="s">
        <v>20</v>
      </c>
      <c r="C3210" t="s">
        <v>18</v>
      </c>
      <c r="D3210" t="s">
        <v>14</v>
      </c>
      <c r="E3210">
        <v>0.238509316770186</v>
      </c>
      <c r="F3210">
        <v>0.80863904013888099</v>
      </c>
      <c r="G3210">
        <v>143.85059976577699</v>
      </c>
      <c r="H3210">
        <v>8</v>
      </c>
      <c r="I3210">
        <v>8</v>
      </c>
      <c r="J3210">
        <v>30</v>
      </c>
    </row>
    <row r="3211" spans="1:10" x14ac:dyDescent="0.25">
      <c r="A3211" t="s">
        <v>23</v>
      </c>
      <c r="B3211" t="s">
        <v>20</v>
      </c>
      <c r="C3211" t="s">
        <v>18</v>
      </c>
      <c r="D3211" t="s">
        <v>14</v>
      </c>
      <c r="E3211">
        <v>0.26335403726708001</v>
      </c>
      <c r="F3211">
        <v>0.81535076583701904</v>
      </c>
      <c r="G3211">
        <v>143.18984866142199</v>
      </c>
      <c r="H3211">
        <v>8</v>
      </c>
      <c r="I3211">
        <v>8</v>
      </c>
      <c r="J3211">
        <v>30</v>
      </c>
    </row>
    <row r="3212" spans="1:10" x14ac:dyDescent="0.25">
      <c r="A3212" t="s">
        <v>23</v>
      </c>
      <c r="B3212" t="s">
        <v>20</v>
      </c>
      <c r="C3212" t="s">
        <v>18</v>
      </c>
      <c r="D3212" t="s">
        <v>15</v>
      </c>
      <c r="E3212">
        <v>0</v>
      </c>
      <c r="F3212">
        <v>0.75</v>
      </c>
      <c r="G3212">
        <v>184.494145154953</v>
      </c>
      <c r="H3212">
        <v>0</v>
      </c>
      <c r="I3212">
        <v>0</v>
      </c>
      <c r="J3212">
        <v>30</v>
      </c>
    </row>
    <row r="3213" spans="1:10" x14ac:dyDescent="0.25">
      <c r="A3213" t="s">
        <v>23</v>
      </c>
      <c r="B3213" t="s">
        <v>20</v>
      </c>
      <c r="C3213" t="s">
        <v>18</v>
      </c>
      <c r="D3213" t="s">
        <v>15</v>
      </c>
      <c r="E3213">
        <v>0</v>
      </c>
      <c r="F3213">
        <v>0.75</v>
      </c>
      <c r="G3213">
        <v>185.00132107734601</v>
      </c>
      <c r="H3213">
        <v>0</v>
      </c>
      <c r="I3213">
        <v>0</v>
      </c>
      <c r="J3213">
        <v>30</v>
      </c>
    </row>
    <row r="3214" spans="1:10" x14ac:dyDescent="0.25">
      <c r="A3214" t="s">
        <v>23</v>
      </c>
      <c r="B3214" t="s">
        <v>20</v>
      </c>
      <c r="C3214" t="s">
        <v>18</v>
      </c>
      <c r="D3214" t="s">
        <v>15</v>
      </c>
      <c r="E3214">
        <v>0</v>
      </c>
      <c r="F3214">
        <v>0.75</v>
      </c>
      <c r="G3214">
        <v>187.40767788887001</v>
      </c>
      <c r="H3214">
        <v>0</v>
      </c>
      <c r="I3214">
        <v>0</v>
      </c>
      <c r="J3214">
        <v>30</v>
      </c>
    </row>
    <row r="3215" spans="1:10" x14ac:dyDescent="0.25">
      <c r="A3215" t="s">
        <v>23</v>
      </c>
      <c r="B3215" t="s">
        <v>20</v>
      </c>
      <c r="C3215" t="s">
        <v>18</v>
      </c>
      <c r="D3215" t="s">
        <v>15</v>
      </c>
      <c r="E3215">
        <v>0</v>
      </c>
      <c r="F3215">
        <v>0.75</v>
      </c>
      <c r="G3215">
        <v>194.758522748947</v>
      </c>
      <c r="H3215">
        <v>0</v>
      </c>
      <c r="I3215">
        <v>0</v>
      </c>
      <c r="J3215">
        <v>30</v>
      </c>
    </row>
    <row r="3216" spans="1:10" x14ac:dyDescent="0.25">
      <c r="A3216" t="s">
        <v>23</v>
      </c>
      <c r="B3216" t="s">
        <v>20</v>
      </c>
      <c r="C3216" t="s">
        <v>18</v>
      </c>
      <c r="D3216" t="s">
        <v>15</v>
      </c>
      <c r="E3216">
        <v>0</v>
      </c>
      <c r="F3216">
        <v>0.75</v>
      </c>
      <c r="G3216">
        <v>195.12919425964299</v>
      </c>
      <c r="H3216">
        <v>0</v>
      </c>
      <c r="I3216">
        <v>0</v>
      </c>
      <c r="J3216">
        <v>30</v>
      </c>
    </row>
    <row r="3217" spans="1:10" x14ac:dyDescent="0.25">
      <c r="A3217" t="s">
        <v>23</v>
      </c>
      <c r="B3217" t="s">
        <v>20</v>
      </c>
      <c r="C3217" t="s">
        <v>18</v>
      </c>
      <c r="D3217" t="s">
        <v>15</v>
      </c>
      <c r="E3217">
        <v>0</v>
      </c>
      <c r="F3217">
        <v>0.75</v>
      </c>
      <c r="G3217">
        <v>195.79578447341899</v>
      </c>
      <c r="H3217">
        <v>0</v>
      </c>
      <c r="I3217">
        <v>0</v>
      </c>
      <c r="J3217">
        <v>30</v>
      </c>
    </row>
    <row r="3218" spans="1:10" x14ac:dyDescent="0.25">
      <c r="A3218" t="s">
        <v>23</v>
      </c>
      <c r="B3218" t="s">
        <v>20</v>
      </c>
      <c r="C3218" t="s">
        <v>18</v>
      </c>
      <c r="D3218" t="s">
        <v>15</v>
      </c>
      <c r="E3218">
        <v>0</v>
      </c>
      <c r="F3218">
        <v>0.75</v>
      </c>
      <c r="G3218">
        <v>196.72397685050899</v>
      </c>
      <c r="H3218">
        <v>0</v>
      </c>
      <c r="I3218">
        <v>0</v>
      </c>
      <c r="J3218">
        <v>30</v>
      </c>
    </row>
    <row r="3219" spans="1:10" x14ac:dyDescent="0.25">
      <c r="A3219" t="s">
        <v>23</v>
      </c>
      <c r="B3219" t="s">
        <v>20</v>
      </c>
      <c r="C3219" t="s">
        <v>18</v>
      </c>
      <c r="D3219" t="s">
        <v>15</v>
      </c>
      <c r="E3219">
        <v>0</v>
      </c>
      <c r="F3219">
        <v>0.75</v>
      </c>
      <c r="G3219">
        <v>197.04262137412999</v>
      </c>
      <c r="H3219">
        <v>0</v>
      </c>
      <c r="I3219">
        <v>0</v>
      </c>
      <c r="J3219">
        <v>30</v>
      </c>
    </row>
    <row r="3220" spans="1:10" x14ac:dyDescent="0.25">
      <c r="A3220" t="s">
        <v>23</v>
      </c>
      <c r="B3220" t="s">
        <v>20</v>
      </c>
      <c r="C3220" t="s">
        <v>18</v>
      </c>
      <c r="D3220" t="s">
        <v>15</v>
      </c>
      <c r="E3220">
        <v>0</v>
      </c>
      <c r="F3220">
        <v>0.75</v>
      </c>
      <c r="G3220">
        <v>292.54713177680901</v>
      </c>
      <c r="H3220">
        <v>1</v>
      </c>
      <c r="I3220">
        <v>3</v>
      </c>
      <c r="J3220">
        <v>30</v>
      </c>
    </row>
    <row r="3221" spans="1:10" x14ac:dyDescent="0.25">
      <c r="A3221" t="s">
        <v>23</v>
      </c>
      <c r="B3221" t="s">
        <v>20</v>
      </c>
      <c r="C3221" t="s">
        <v>18</v>
      </c>
      <c r="D3221" t="s">
        <v>15</v>
      </c>
      <c r="E3221">
        <v>0</v>
      </c>
      <c r="F3221">
        <v>0.75</v>
      </c>
      <c r="G3221">
        <v>297.50627160072298</v>
      </c>
      <c r="H3221">
        <v>1</v>
      </c>
      <c r="I3221">
        <v>4</v>
      </c>
      <c r="J3221">
        <v>30</v>
      </c>
    </row>
    <row r="3222" spans="1:10" x14ac:dyDescent="0.25">
      <c r="A3222" t="s">
        <v>23</v>
      </c>
      <c r="B3222" t="s">
        <v>20</v>
      </c>
      <c r="C3222" t="s">
        <v>18</v>
      </c>
      <c r="D3222" t="s">
        <v>15</v>
      </c>
      <c r="E3222">
        <v>0</v>
      </c>
      <c r="F3222">
        <v>0.75</v>
      </c>
      <c r="G3222">
        <v>298.19090414047201</v>
      </c>
      <c r="H3222">
        <v>1</v>
      </c>
      <c r="I3222">
        <v>3</v>
      </c>
      <c r="J3222">
        <v>30</v>
      </c>
    </row>
    <row r="3223" spans="1:10" x14ac:dyDescent="0.25">
      <c r="A3223" t="s">
        <v>23</v>
      </c>
      <c r="B3223" t="s">
        <v>20</v>
      </c>
      <c r="C3223" t="s">
        <v>18</v>
      </c>
      <c r="D3223" t="s">
        <v>15</v>
      </c>
      <c r="E3223">
        <v>0</v>
      </c>
      <c r="F3223">
        <v>0.75</v>
      </c>
      <c r="G3223">
        <v>302.80089402198701</v>
      </c>
      <c r="H3223">
        <v>1</v>
      </c>
      <c r="I3223">
        <v>3</v>
      </c>
      <c r="J3223">
        <v>30</v>
      </c>
    </row>
    <row r="3224" spans="1:10" x14ac:dyDescent="0.25">
      <c r="A3224" t="s">
        <v>23</v>
      </c>
      <c r="B3224" t="s">
        <v>20</v>
      </c>
      <c r="C3224" t="s">
        <v>18</v>
      </c>
      <c r="D3224" t="s">
        <v>15</v>
      </c>
      <c r="E3224">
        <v>0</v>
      </c>
      <c r="F3224">
        <v>0.75</v>
      </c>
      <c r="G3224">
        <v>303.51647424697802</v>
      </c>
      <c r="H3224">
        <v>1</v>
      </c>
      <c r="I3224">
        <v>3</v>
      </c>
      <c r="J3224">
        <v>30</v>
      </c>
    </row>
    <row r="3225" spans="1:10" x14ac:dyDescent="0.25">
      <c r="A3225" t="s">
        <v>23</v>
      </c>
      <c r="B3225" t="s">
        <v>20</v>
      </c>
      <c r="C3225" t="s">
        <v>18</v>
      </c>
      <c r="D3225" t="s">
        <v>15</v>
      </c>
      <c r="E3225">
        <v>0</v>
      </c>
      <c r="F3225">
        <v>0.75</v>
      </c>
      <c r="G3225">
        <v>307.73089790344198</v>
      </c>
      <c r="H3225">
        <v>1</v>
      </c>
      <c r="I3225">
        <v>3</v>
      </c>
      <c r="J3225">
        <v>30</v>
      </c>
    </row>
    <row r="3226" spans="1:10" x14ac:dyDescent="0.25">
      <c r="A3226" t="s">
        <v>23</v>
      </c>
      <c r="B3226" t="s">
        <v>20</v>
      </c>
      <c r="C3226" t="s">
        <v>18</v>
      </c>
      <c r="D3226" t="s">
        <v>15</v>
      </c>
      <c r="E3226">
        <v>0</v>
      </c>
      <c r="F3226">
        <v>0.75</v>
      </c>
      <c r="G3226">
        <v>309.93960380554199</v>
      </c>
      <c r="H3226">
        <v>1</v>
      </c>
      <c r="I3226">
        <v>3</v>
      </c>
      <c r="J3226">
        <v>30</v>
      </c>
    </row>
    <row r="3227" spans="1:10" x14ac:dyDescent="0.25">
      <c r="A3227" t="s">
        <v>23</v>
      </c>
      <c r="B3227" t="s">
        <v>20</v>
      </c>
      <c r="C3227" t="s">
        <v>18</v>
      </c>
      <c r="D3227" t="s">
        <v>15</v>
      </c>
      <c r="E3227">
        <v>0</v>
      </c>
      <c r="F3227">
        <v>0.75</v>
      </c>
      <c r="G3227">
        <v>310.44882035255398</v>
      </c>
      <c r="H3227">
        <v>1</v>
      </c>
      <c r="I3227">
        <v>3</v>
      </c>
      <c r="J3227">
        <v>30</v>
      </c>
    </row>
    <row r="3228" spans="1:10" x14ac:dyDescent="0.25">
      <c r="A3228" t="s">
        <v>23</v>
      </c>
      <c r="B3228" t="s">
        <v>20</v>
      </c>
      <c r="C3228" t="s">
        <v>18</v>
      </c>
      <c r="D3228" t="s">
        <v>15</v>
      </c>
      <c r="E3228">
        <v>0</v>
      </c>
      <c r="F3228">
        <v>0.75</v>
      </c>
      <c r="G3228">
        <v>315.61325788497902</v>
      </c>
      <c r="H3228">
        <v>1</v>
      </c>
      <c r="I3228">
        <v>4</v>
      </c>
      <c r="J3228">
        <v>30</v>
      </c>
    </row>
    <row r="3229" spans="1:10" x14ac:dyDescent="0.25">
      <c r="A3229" t="s">
        <v>23</v>
      </c>
      <c r="B3229" t="s">
        <v>20</v>
      </c>
      <c r="C3229" t="s">
        <v>18</v>
      </c>
      <c r="D3229" t="s">
        <v>15</v>
      </c>
      <c r="E3229">
        <v>0</v>
      </c>
      <c r="F3229">
        <v>0.75</v>
      </c>
      <c r="G3229">
        <v>317.61353731155299</v>
      </c>
      <c r="H3229">
        <v>1</v>
      </c>
      <c r="I3229">
        <v>4</v>
      </c>
      <c r="J3229">
        <v>30</v>
      </c>
    </row>
    <row r="3230" spans="1:10" x14ac:dyDescent="0.25">
      <c r="A3230" t="s">
        <v>23</v>
      </c>
      <c r="B3230" t="s">
        <v>20</v>
      </c>
      <c r="C3230" t="s">
        <v>18</v>
      </c>
      <c r="D3230" t="s">
        <v>15</v>
      </c>
      <c r="E3230">
        <v>1.2422360248447199E-3</v>
      </c>
      <c r="F3230">
        <v>0.75005900621118005</v>
      </c>
      <c r="G3230">
        <v>366.26932835578901</v>
      </c>
      <c r="H3230">
        <v>2</v>
      </c>
      <c r="I3230">
        <v>5</v>
      </c>
      <c r="J3230">
        <v>30</v>
      </c>
    </row>
    <row r="3231" spans="1:10" x14ac:dyDescent="0.25">
      <c r="A3231" t="s">
        <v>23</v>
      </c>
      <c r="B3231" t="s">
        <v>20</v>
      </c>
      <c r="C3231" t="s">
        <v>18</v>
      </c>
      <c r="D3231" t="s">
        <v>15</v>
      </c>
      <c r="E3231">
        <v>0</v>
      </c>
      <c r="F3231">
        <v>0.75</v>
      </c>
      <c r="G3231">
        <v>371.252298593521</v>
      </c>
      <c r="H3231">
        <v>2</v>
      </c>
      <c r="I3231">
        <v>6</v>
      </c>
      <c r="J3231">
        <v>30</v>
      </c>
    </row>
    <row r="3232" spans="1:10" x14ac:dyDescent="0.25">
      <c r="A3232" t="s">
        <v>23</v>
      </c>
      <c r="B3232" t="s">
        <v>20</v>
      </c>
      <c r="C3232" t="s">
        <v>18</v>
      </c>
      <c r="D3232" t="s">
        <v>15</v>
      </c>
      <c r="E3232">
        <v>0</v>
      </c>
      <c r="F3232">
        <v>0.74993478260869495</v>
      </c>
      <c r="G3232">
        <v>454.45433974266001</v>
      </c>
      <c r="H3232">
        <v>3</v>
      </c>
      <c r="I3232">
        <v>7</v>
      </c>
      <c r="J3232">
        <v>30</v>
      </c>
    </row>
    <row r="3233" spans="1:10" x14ac:dyDescent="0.25">
      <c r="A3233" t="s">
        <v>23</v>
      </c>
      <c r="B3233" t="s">
        <v>20</v>
      </c>
      <c r="C3233" t="s">
        <v>18</v>
      </c>
      <c r="D3233" t="s">
        <v>15</v>
      </c>
      <c r="E3233">
        <v>0</v>
      </c>
      <c r="F3233">
        <v>0.74993478260869495</v>
      </c>
      <c r="G3233">
        <v>472.56536483764597</v>
      </c>
      <c r="H3233">
        <v>4</v>
      </c>
      <c r="I3233">
        <v>9</v>
      </c>
      <c r="J3233">
        <v>30</v>
      </c>
    </row>
    <row r="3234" spans="1:10" x14ac:dyDescent="0.25">
      <c r="A3234" t="s">
        <v>23</v>
      </c>
      <c r="B3234" t="s">
        <v>20</v>
      </c>
      <c r="C3234" t="s">
        <v>18</v>
      </c>
      <c r="D3234" t="s">
        <v>15</v>
      </c>
      <c r="E3234">
        <v>0</v>
      </c>
      <c r="F3234">
        <v>0.75</v>
      </c>
      <c r="G3234">
        <v>480.182948112487</v>
      </c>
      <c r="H3234">
        <v>4</v>
      </c>
      <c r="I3234">
        <v>10</v>
      </c>
      <c r="J3234">
        <v>30</v>
      </c>
    </row>
    <row r="3235" spans="1:10" x14ac:dyDescent="0.25">
      <c r="A3235" t="s">
        <v>23</v>
      </c>
      <c r="B3235" t="s">
        <v>20</v>
      </c>
      <c r="C3235" t="s">
        <v>18</v>
      </c>
      <c r="D3235" t="s">
        <v>15</v>
      </c>
      <c r="E3235">
        <v>1.2422360248447199E-3</v>
      </c>
      <c r="F3235">
        <v>0.749993788819875</v>
      </c>
      <c r="G3235">
        <v>481.65226745605401</v>
      </c>
      <c r="H3235">
        <v>4</v>
      </c>
      <c r="I3235">
        <v>9</v>
      </c>
      <c r="J3235">
        <v>30</v>
      </c>
    </row>
    <row r="3236" spans="1:10" x14ac:dyDescent="0.25">
      <c r="A3236" t="s">
        <v>23</v>
      </c>
      <c r="B3236" t="s">
        <v>20</v>
      </c>
      <c r="C3236" t="s">
        <v>18</v>
      </c>
      <c r="D3236" t="s">
        <v>15</v>
      </c>
      <c r="E3236">
        <v>0</v>
      </c>
      <c r="F3236">
        <v>0.75</v>
      </c>
      <c r="G3236">
        <v>511.50965952873202</v>
      </c>
      <c r="H3236">
        <v>5</v>
      </c>
      <c r="I3236">
        <v>12</v>
      </c>
      <c r="J3236">
        <v>30</v>
      </c>
    </row>
    <row r="3237" spans="1:10" x14ac:dyDescent="0.25">
      <c r="A3237" t="s">
        <v>23</v>
      </c>
      <c r="B3237" t="s">
        <v>20</v>
      </c>
      <c r="C3237" t="s">
        <v>18</v>
      </c>
      <c r="D3237" t="s">
        <v>15</v>
      </c>
      <c r="E3237">
        <v>0</v>
      </c>
      <c r="F3237">
        <v>0.74993478260869495</v>
      </c>
      <c r="G3237">
        <v>534.68372106552101</v>
      </c>
      <c r="H3237">
        <v>6</v>
      </c>
      <c r="I3237">
        <v>13</v>
      </c>
      <c r="J3237">
        <v>30</v>
      </c>
    </row>
    <row r="3238" spans="1:10" x14ac:dyDescent="0.25">
      <c r="A3238" t="s">
        <v>23</v>
      </c>
      <c r="B3238" t="s">
        <v>20</v>
      </c>
      <c r="C3238" t="s">
        <v>18</v>
      </c>
      <c r="D3238" t="s">
        <v>15</v>
      </c>
      <c r="E3238">
        <v>2.4844720496894398E-3</v>
      </c>
      <c r="F3238">
        <v>0.75005279503105504</v>
      </c>
      <c r="G3238">
        <v>554.81276082992497</v>
      </c>
      <c r="H3238">
        <v>8</v>
      </c>
      <c r="I3238">
        <v>18</v>
      </c>
      <c r="J3238">
        <v>30</v>
      </c>
    </row>
    <row r="3239" spans="1:10" x14ac:dyDescent="0.25">
      <c r="A3239" t="s">
        <v>23</v>
      </c>
      <c r="B3239" t="s">
        <v>20</v>
      </c>
      <c r="C3239" t="s">
        <v>18</v>
      </c>
      <c r="D3239" t="s">
        <v>15</v>
      </c>
      <c r="E3239">
        <v>1.2422360248447199E-3</v>
      </c>
      <c r="F3239">
        <v>0.75005900621118005</v>
      </c>
      <c r="G3239">
        <v>571.10450553893997</v>
      </c>
      <c r="H3239">
        <v>9</v>
      </c>
      <c r="I3239">
        <v>20</v>
      </c>
      <c r="J3239">
        <v>30</v>
      </c>
    </row>
    <row r="3240" spans="1:10" x14ac:dyDescent="0.25">
      <c r="A3240" t="s">
        <v>23</v>
      </c>
      <c r="B3240" t="s">
        <v>20</v>
      </c>
      <c r="C3240" t="s">
        <v>18</v>
      </c>
      <c r="D3240" t="s">
        <v>15</v>
      </c>
      <c r="E3240">
        <v>3.7267080745341601E-3</v>
      </c>
      <c r="F3240">
        <v>0.75011180124223598</v>
      </c>
      <c r="G3240">
        <v>572.94897961616505</v>
      </c>
      <c r="H3240">
        <v>9</v>
      </c>
      <c r="I3240">
        <v>20</v>
      </c>
      <c r="J3240">
        <v>30</v>
      </c>
    </row>
    <row r="3241" spans="1:10" x14ac:dyDescent="0.25">
      <c r="A3241" t="s">
        <v>23</v>
      </c>
      <c r="B3241" t="s">
        <v>20</v>
      </c>
      <c r="C3241" t="s">
        <v>18</v>
      </c>
      <c r="D3241" t="s">
        <v>15</v>
      </c>
      <c r="E3241">
        <v>1.2422360248447199E-3</v>
      </c>
      <c r="F3241">
        <v>0.74992857142857094</v>
      </c>
      <c r="G3241">
        <v>577.346320867538</v>
      </c>
      <c r="H3241">
        <v>10</v>
      </c>
      <c r="I3241">
        <v>22</v>
      </c>
      <c r="J3241">
        <v>30</v>
      </c>
    </row>
    <row r="3242" spans="1:10" x14ac:dyDescent="0.25">
      <c r="A3242" t="s">
        <v>23</v>
      </c>
      <c r="B3242" t="s">
        <v>20</v>
      </c>
      <c r="C3242" t="s">
        <v>18</v>
      </c>
      <c r="D3242" t="s">
        <v>16</v>
      </c>
      <c r="E3242">
        <v>0</v>
      </c>
      <c r="F3242">
        <v>0.75</v>
      </c>
      <c r="G3242">
        <v>45.097740888595503</v>
      </c>
      <c r="H3242">
        <v>0</v>
      </c>
      <c r="I3242">
        <v>0</v>
      </c>
      <c r="J3242">
        <v>30</v>
      </c>
    </row>
    <row r="3243" spans="1:10" x14ac:dyDescent="0.25">
      <c r="A3243" t="s">
        <v>23</v>
      </c>
      <c r="B3243" t="s">
        <v>20</v>
      </c>
      <c r="C3243" t="s">
        <v>18</v>
      </c>
      <c r="D3243" t="s">
        <v>16</v>
      </c>
      <c r="E3243">
        <v>0</v>
      </c>
      <c r="F3243">
        <v>0.75</v>
      </c>
      <c r="G3243">
        <v>46.193469285964902</v>
      </c>
      <c r="H3243">
        <v>0</v>
      </c>
      <c r="I3243">
        <v>0</v>
      </c>
      <c r="J3243">
        <v>30</v>
      </c>
    </row>
    <row r="3244" spans="1:10" x14ac:dyDescent="0.25">
      <c r="A3244" t="s">
        <v>23</v>
      </c>
      <c r="B3244" t="s">
        <v>20</v>
      </c>
      <c r="C3244" t="s">
        <v>18</v>
      </c>
      <c r="D3244" t="s">
        <v>16</v>
      </c>
      <c r="E3244">
        <v>0</v>
      </c>
      <c r="F3244">
        <v>0.75</v>
      </c>
      <c r="G3244">
        <v>48.201635122299102</v>
      </c>
      <c r="H3244">
        <v>0</v>
      </c>
      <c r="I3244">
        <v>0</v>
      </c>
      <c r="J3244">
        <v>30</v>
      </c>
    </row>
    <row r="3245" spans="1:10" x14ac:dyDescent="0.25">
      <c r="A3245" t="s">
        <v>23</v>
      </c>
      <c r="B3245" t="s">
        <v>20</v>
      </c>
      <c r="C3245" t="s">
        <v>18</v>
      </c>
      <c r="D3245" t="s">
        <v>16</v>
      </c>
      <c r="E3245">
        <v>0</v>
      </c>
      <c r="F3245">
        <v>0.75</v>
      </c>
      <c r="G3245">
        <v>49.0328366756439</v>
      </c>
      <c r="H3245">
        <v>0</v>
      </c>
      <c r="I3245">
        <v>0</v>
      </c>
      <c r="J3245">
        <v>30</v>
      </c>
    </row>
    <row r="3246" spans="1:10" x14ac:dyDescent="0.25">
      <c r="A3246" t="s">
        <v>23</v>
      </c>
      <c r="B3246" t="s">
        <v>20</v>
      </c>
      <c r="C3246" t="s">
        <v>18</v>
      </c>
      <c r="D3246" t="s">
        <v>16</v>
      </c>
      <c r="E3246">
        <v>0</v>
      </c>
      <c r="F3246">
        <v>0.75</v>
      </c>
      <c r="G3246">
        <v>49.476837396621697</v>
      </c>
      <c r="H3246">
        <v>0</v>
      </c>
      <c r="I3246">
        <v>0</v>
      </c>
      <c r="J3246">
        <v>30</v>
      </c>
    </row>
    <row r="3247" spans="1:10" x14ac:dyDescent="0.25">
      <c r="A3247" t="s">
        <v>23</v>
      </c>
      <c r="B3247" t="s">
        <v>20</v>
      </c>
      <c r="C3247" t="s">
        <v>18</v>
      </c>
      <c r="D3247" t="s">
        <v>16</v>
      </c>
      <c r="E3247">
        <v>0</v>
      </c>
      <c r="F3247">
        <v>0.75</v>
      </c>
      <c r="G3247">
        <v>48.918289899826</v>
      </c>
      <c r="H3247">
        <v>0</v>
      </c>
      <c r="I3247">
        <v>0</v>
      </c>
      <c r="J3247">
        <v>30</v>
      </c>
    </row>
    <row r="3248" spans="1:10" x14ac:dyDescent="0.25">
      <c r="A3248" t="s">
        <v>23</v>
      </c>
      <c r="B3248" t="s">
        <v>20</v>
      </c>
      <c r="C3248" t="s">
        <v>18</v>
      </c>
      <c r="D3248" t="s">
        <v>16</v>
      </c>
      <c r="E3248">
        <v>0</v>
      </c>
      <c r="F3248">
        <v>0.75</v>
      </c>
      <c r="G3248">
        <v>49.806950330734203</v>
      </c>
      <c r="H3248">
        <v>0</v>
      </c>
      <c r="I3248">
        <v>0</v>
      </c>
      <c r="J3248">
        <v>30</v>
      </c>
    </row>
    <row r="3249" spans="1:10" x14ac:dyDescent="0.25">
      <c r="A3249" t="s">
        <v>23</v>
      </c>
      <c r="B3249" t="s">
        <v>20</v>
      </c>
      <c r="C3249" t="s">
        <v>18</v>
      </c>
      <c r="D3249" t="s">
        <v>16</v>
      </c>
      <c r="E3249">
        <v>0</v>
      </c>
      <c r="F3249">
        <v>0.75</v>
      </c>
      <c r="G3249">
        <v>50.695796728134098</v>
      </c>
      <c r="H3249">
        <v>0</v>
      </c>
      <c r="I3249">
        <v>0</v>
      </c>
      <c r="J3249">
        <v>30</v>
      </c>
    </row>
    <row r="3250" spans="1:10" x14ac:dyDescent="0.25">
      <c r="A3250" t="s">
        <v>23</v>
      </c>
      <c r="B3250" t="s">
        <v>20</v>
      </c>
      <c r="C3250" t="s">
        <v>18</v>
      </c>
      <c r="D3250" t="s">
        <v>16</v>
      </c>
      <c r="E3250">
        <v>0</v>
      </c>
      <c r="F3250">
        <v>0.75</v>
      </c>
      <c r="G3250">
        <v>51.640052556991499</v>
      </c>
      <c r="H3250">
        <v>0</v>
      </c>
      <c r="I3250">
        <v>0</v>
      </c>
      <c r="J3250">
        <v>30</v>
      </c>
    </row>
    <row r="3251" spans="1:10" x14ac:dyDescent="0.25">
      <c r="A3251" t="s">
        <v>23</v>
      </c>
      <c r="B3251" t="s">
        <v>20</v>
      </c>
      <c r="C3251" t="s">
        <v>18</v>
      </c>
      <c r="D3251" t="s">
        <v>16</v>
      </c>
      <c r="E3251">
        <v>0</v>
      </c>
      <c r="F3251">
        <v>0.75</v>
      </c>
      <c r="G3251">
        <v>51.721807479858398</v>
      </c>
      <c r="H3251">
        <v>0</v>
      </c>
      <c r="I3251">
        <v>0</v>
      </c>
      <c r="J3251">
        <v>30</v>
      </c>
    </row>
    <row r="3252" spans="1:10" x14ac:dyDescent="0.25">
      <c r="A3252" t="s">
        <v>23</v>
      </c>
      <c r="B3252" t="s">
        <v>20</v>
      </c>
      <c r="C3252" t="s">
        <v>18</v>
      </c>
      <c r="D3252" t="s">
        <v>16</v>
      </c>
      <c r="E3252">
        <v>0</v>
      </c>
      <c r="F3252">
        <v>0.75</v>
      </c>
      <c r="G3252">
        <v>50.988264322280799</v>
      </c>
      <c r="H3252">
        <v>0</v>
      </c>
      <c r="I3252">
        <v>0</v>
      </c>
      <c r="J3252">
        <v>30</v>
      </c>
    </row>
    <row r="3253" spans="1:10" x14ac:dyDescent="0.25">
      <c r="A3253" t="s">
        <v>23</v>
      </c>
      <c r="B3253" t="s">
        <v>20</v>
      </c>
      <c r="C3253" t="s">
        <v>18</v>
      </c>
      <c r="D3253" t="s">
        <v>16</v>
      </c>
      <c r="E3253">
        <v>0</v>
      </c>
      <c r="F3253">
        <v>0.75</v>
      </c>
      <c r="G3253">
        <v>52.140436172485302</v>
      </c>
      <c r="H3253">
        <v>0</v>
      </c>
      <c r="I3253">
        <v>0</v>
      </c>
      <c r="J3253">
        <v>30</v>
      </c>
    </row>
    <row r="3254" spans="1:10" x14ac:dyDescent="0.25">
      <c r="A3254" t="s">
        <v>23</v>
      </c>
      <c r="B3254" t="s">
        <v>20</v>
      </c>
      <c r="C3254" t="s">
        <v>18</v>
      </c>
      <c r="D3254" t="s">
        <v>16</v>
      </c>
      <c r="E3254">
        <v>0</v>
      </c>
      <c r="F3254">
        <v>0.75</v>
      </c>
      <c r="G3254">
        <v>52.8972070217132</v>
      </c>
      <c r="H3254">
        <v>0</v>
      </c>
      <c r="I3254">
        <v>0</v>
      </c>
      <c r="J3254">
        <v>30</v>
      </c>
    </row>
    <row r="3255" spans="1:10" x14ac:dyDescent="0.25">
      <c r="A3255" t="s">
        <v>23</v>
      </c>
      <c r="B3255" t="s">
        <v>20</v>
      </c>
      <c r="C3255" t="s">
        <v>18</v>
      </c>
      <c r="D3255" t="s">
        <v>16</v>
      </c>
      <c r="E3255">
        <v>0</v>
      </c>
      <c r="F3255">
        <v>0.75</v>
      </c>
      <c r="G3255">
        <v>52.948956489562903</v>
      </c>
      <c r="H3255">
        <v>0</v>
      </c>
      <c r="I3255">
        <v>0</v>
      </c>
      <c r="J3255">
        <v>30</v>
      </c>
    </row>
    <row r="3256" spans="1:10" x14ac:dyDescent="0.25">
      <c r="A3256" t="s">
        <v>23</v>
      </c>
      <c r="B3256" t="s">
        <v>20</v>
      </c>
      <c r="C3256" t="s">
        <v>18</v>
      </c>
      <c r="D3256" t="s">
        <v>16</v>
      </c>
      <c r="E3256">
        <v>0</v>
      </c>
      <c r="F3256">
        <v>0.75</v>
      </c>
      <c r="G3256">
        <v>53.031749963760298</v>
      </c>
      <c r="H3256">
        <v>0</v>
      </c>
      <c r="I3256">
        <v>0</v>
      </c>
      <c r="J3256">
        <v>30</v>
      </c>
    </row>
    <row r="3257" spans="1:10" x14ac:dyDescent="0.25">
      <c r="A3257" t="s">
        <v>23</v>
      </c>
      <c r="B3257" t="s">
        <v>20</v>
      </c>
      <c r="C3257" t="s">
        <v>18</v>
      </c>
      <c r="D3257" t="s">
        <v>16</v>
      </c>
      <c r="E3257">
        <v>0</v>
      </c>
      <c r="F3257">
        <v>0.75</v>
      </c>
      <c r="G3257">
        <v>53.212963104247997</v>
      </c>
      <c r="H3257">
        <v>0</v>
      </c>
      <c r="I3257">
        <v>0</v>
      </c>
      <c r="J3257">
        <v>30</v>
      </c>
    </row>
    <row r="3258" spans="1:10" x14ac:dyDescent="0.25">
      <c r="A3258" t="s">
        <v>23</v>
      </c>
      <c r="B3258" t="s">
        <v>20</v>
      </c>
      <c r="C3258" t="s">
        <v>18</v>
      </c>
      <c r="D3258" t="s">
        <v>16</v>
      </c>
      <c r="E3258">
        <v>0</v>
      </c>
      <c r="F3258">
        <v>0.75</v>
      </c>
      <c r="G3258">
        <v>53.612760066985999</v>
      </c>
      <c r="H3258">
        <v>0</v>
      </c>
      <c r="I3258">
        <v>0</v>
      </c>
      <c r="J3258">
        <v>30</v>
      </c>
    </row>
    <row r="3259" spans="1:10" x14ac:dyDescent="0.25">
      <c r="A3259" t="s">
        <v>23</v>
      </c>
      <c r="B3259" t="s">
        <v>20</v>
      </c>
      <c r="C3259" t="s">
        <v>18</v>
      </c>
      <c r="D3259" t="s">
        <v>16</v>
      </c>
      <c r="E3259">
        <v>0</v>
      </c>
      <c r="F3259">
        <v>0.75</v>
      </c>
      <c r="G3259">
        <v>54.119107723235999</v>
      </c>
      <c r="H3259">
        <v>0</v>
      </c>
      <c r="I3259">
        <v>0</v>
      </c>
      <c r="J3259">
        <v>30</v>
      </c>
    </row>
    <row r="3260" spans="1:10" x14ac:dyDescent="0.25">
      <c r="A3260" t="s">
        <v>23</v>
      </c>
      <c r="B3260" t="s">
        <v>20</v>
      </c>
      <c r="C3260" t="s">
        <v>18</v>
      </c>
      <c r="D3260" t="s">
        <v>16</v>
      </c>
      <c r="E3260">
        <v>0</v>
      </c>
      <c r="F3260">
        <v>0.75</v>
      </c>
      <c r="G3260">
        <v>54.1760094165802</v>
      </c>
      <c r="H3260">
        <v>0</v>
      </c>
      <c r="I3260">
        <v>0</v>
      </c>
      <c r="J3260">
        <v>30</v>
      </c>
    </row>
    <row r="3261" spans="1:10" x14ac:dyDescent="0.25">
      <c r="A3261" t="s">
        <v>23</v>
      </c>
      <c r="B3261" t="s">
        <v>20</v>
      </c>
      <c r="C3261" t="s">
        <v>18</v>
      </c>
      <c r="D3261" t="s">
        <v>16</v>
      </c>
      <c r="E3261">
        <v>0</v>
      </c>
      <c r="F3261">
        <v>0.75</v>
      </c>
      <c r="G3261">
        <v>54.257414579391401</v>
      </c>
      <c r="H3261">
        <v>0</v>
      </c>
      <c r="I3261">
        <v>0</v>
      </c>
      <c r="J3261">
        <v>30</v>
      </c>
    </row>
    <row r="3262" spans="1:10" x14ac:dyDescent="0.25">
      <c r="A3262" t="s">
        <v>23</v>
      </c>
      <c r="B3262" t="s">
        <v>20</v>
      </c>
      <c r="C3262" t="s">
        <v>18</v>
      </c>
      <c r="D3262" t="s">
        <v>16</v>
      </c>
      <c r="E3262">
        <v>0</v>
      </c>
      <c r="F3262">
        <v>0.75</v>
      </c>
      <c r="G3262">
        <v>54.313888788223203</v>
      </c>
      <c r="H3262">
        <v>0</v>
      </c>
      <c r="I3262">
        <v>0</v>
      </c>
      <c r="J3262">
        <v>30</v>
      </c>
    </row>
    <row r="3263" spans="1:10" x14ac:dyDescent="0.25">
      <c r="A3263" t="s">
        <v>23</v>
      </c>
      <c r="B3263" t="s">
        <v>20</v>
      </c>
      <c r="C3263" t="s">
        <v>18</v>
      </c>
      <c r="D3263" t="s">
        <v>16</v>
      </c>
      <c r="E3263">
        <v>0</v>
      </c>
      <c r="F3263">
        <v>0.75</v>
      </c>
      <c r="G3263">
        <v>55.119333505630401</v>
      </c>
      <c r="H3263">
        <v>0</v>
      </c>
      <c r="I3263">
        <v>0</v>
      </c>
      <c r="J3263">
        <v>30</v>
      </c>
    </row>
    <row r="3264" spans="1:10" x14ac:dyDescent="0.25">
      <c r="A3264" t="s">
        <v>23</v>
      </c>
      <c r="B3264" t="s">
        <v>20</v>
      </c>
      <c r="C3264" t="s">
        <v>18</v>
      </c>
      <c r="D3264" t="s">
        <v>16</v>
      </c>
      <c r="E3264">
        <v>0</v>
      </c>
      <c r="F3264">
        <v>0.75</v>
      </c>
      <c r="G3264">
        <v>55.5807173252105</v>
      </c>
      <c r="H3264">
        <v>0</v>
      </c>
      <c r="I3264">
        <v>0</v>
      </c>
      <c r="J3264">
        <v>30</v>
      </c>
    </row>
    <row r="3265" spans="1:10" x14ac:dyDescent="0.25">
      <c r="A3265" t="s">
        <v>23</v>
      </c>
      <c r="B3265" t="s">
        <v>20</v>
      </c>
      <c r="C3265" t="s">
        <v>18</v>
      </c>
      <c r="D3265" t="s">
        <v>16</v>
      </c>
      <c r="E3265">
        <v>0</v>
      </c>
      <c r="F3265">
        <v>0.75</v>
      </c>
      <c r="G3265">
        <v>54.610634803771902</v>
      </c>
      <c r="H3265">
        <v>0</v>
      </c>
      <c r="I3265">
        <v>0</v>
      </c>
      <c r="J3265">
        <v>30</v>
      </c>
    </row>
    <row r="3266" spans="1:10" x14ac:dyDescent="0.25">
      <c r="A3266" t="s">
        <v>23</v>
      </c>
      <c r="B3266" t="s">
        <v>20</v>
      </c>
      <c r="C3266" t="s">
        <v>18</v>
      </c>
      <c r="D3266" t="s">
        <v>16</v>
      </c>
      <c r="E3266">
        <v>0</v>
      </c>
      <c r="F3266">
        <v>0.75</v>
      </c>
      <c r="G3266">
        <v>54.801085710525498</v>
      </c>
      <c r="H3266">
        <v>0</v>
      </c>
      <c r="I3266">
        <v>0</v>
      </c>
      <c r="J3266">
        <v>30</v>
      </c>
    </row>
    <row r="3267" spans="1:10" x14ac:dyDescent="0.25">
      <c r="A3267" t="s">
        <v>23</v>
      </c>
      <c r="B3267" t="s">
        <v>20</v>
      </c>
      <c r="C3267" t="s">
        <v>18</v>
      </c>
      <c r="D3267" t="s">
        <v>16</v>
      </c>
      <c r="E3267">
        <v>0</v>
      </c>
      <c r="F3267">
        <v>0.75</v>
      </c>
      <c r="G3267">
        <v>56.210223674774099</v>
      </c>
      <c r="H3267">
        <v>0</v>
      </c>
      <c r="I3267">
        <v>0</v>
      </c>
      <c r="J3267">
        <v>30</v>
      </c>
    </row>
    <row r="3268" spans="1:10" x14ac:dyDescent="0.25">
      <c r="A3268" t="s">
        <v>23</v>
      </c>
      <c r="B3268" t="s">
        <v>20</v>
      </c>
      <c r="C3268" t="s">
        <v>18</v>
      </c>
      <c r="D3268" t="s">
        <v>16</v>
      </c>
      <c r="E3268">
        <v>0</v>
      </c>
      <c r="F3268">
        <v>0.75</v>
      </c>
      <c r="G3268">
        <v>55.506949663162203</v>
      </c>
      <c r="H3268">
        <v>0</v>
      </c>
      <c r="I3268">
        <v>0</v>
      </c>
      <c r="J3268">
        <v>30</v>
      </c>
    </row>
    <row r="3269" spans="1:10" x14ac:dyDescent="0.25">
      <c r="A3269" t="s">
        <v>23</v>
      </c>
      <c r="B3269" t="s">
        <v>20</v>
      </c>
      <c r="C3269" t="s">
        <v>18</v>
      </c>
      <c r="D3269" t="s">
        <v>16</v>
      </c>
      <c r="E3269">
        <v>0</v>
      </c>
      <c r="F3269">
        <v>0.75</v>
      </c>
      <c r="G3269">
        <v>56.252753973007202</v>
      </c>
      <c r="H3269">
        <v>0</v>
      </c>
      <c r="I3269">
        <v>0</v>
      </c>
      <c r="J3269">
        <v>30</v>
      </c>
    </row>
    <row r="3270" spans="1:10" x14ac:dyDescent="0.25">
      <c r="A3270" t="s">
        <v>23</v>
      </c>
      <c r="B3270" t="s">
        <v>20</v>
      </c>
      <c r="C3270" t="s">
        <v>18</v>
      </c>
      <c r="D3270" t="s">
        <v>16</v>
      </c>
      <c r="E3270">
        <v>0</v>
      </c>
      <c r="F3270">
        <v>0.75</v>
      </c>
      <c r="G3270">
        <v>56.321785211563103</v>
      </c>
      <c r="H3270">
        <v>0</v>
      </c>
      <c r="I3270">
        <v>0</v>
      </c>
      <c r="J3270">
        <v>30</v>
      </c>
    </row>
    <row r="3271" spans="1:10" x14ac:dyDescent="0.25">
      <c r="A3271" t="s">
        <v>23</v>
      </c>
      <c r="B3271" t="s">
        <v>20</v>
      </c>
      <c r="C3271" t="s">
        <v>18</v>
      </c>
      <c r="D3271" t="s">
        <v>16</v>
      </c>
      <c r="E3271">
        <v>0</v>
      </c>
      <c r="F3271">
        <v>0.75</v>
      </c>
      <c r="G3271">
        <v>56.362483739852898</v>
      </c>
      <c r="H3271">
        <v>0</v>
      </c>
      <c r="I3271">
        <v>0</v>
      </c>
      <c r="J3271">
        <v>30</v>
      </c>
    </row>
    <row r="3272" spans="1:10" x14ac:dyDescent="0.25">
      <c r="A3272" t="s">
        <v>23</v>
      </c>
      <c r="B3272" t="s">
        <v>20</v>
      </c>
      <c r="C3272" t="s">
        <v>18</v>
      </c>
      <c r="D3272" t="s">
        <v>17</v>
      </c>
      <c r="E3272">
        <v>0.82732919254658299</v>
      </c>
      <c r="F3272">
        <v>0.860725493401863</v>
      </c>
      <c r="G3272">
        <v>40369.800633430401</v>
      </c>
      <c r="H3272">
        <v>725</v>
      </c>
      <c r="I3272">
        <v>689</v>
      </c>
      <c r="J3272">
        <v>30</v>
      </c>
    </row>
    <row r="3273" spans="1:10" x14ac:dyDescent="0.25">
      <c r="A3273" t="s">
        <v>23</v>
      </c>
      <c r="B3273" t="s">
        <v>20</v>
      </c>
      <c r="C3273" t="s">
        <v>18</v>
      </c>
      <c r="D3273" t="s">
        <v>17</v>
      </c>
      <c r="E3273">
        <v>0.84472049689440998</v>
      </c>
      <c r="F3273">
        <v>0.86411028379652099</v>
      </c>
      <c r="G3273">
        <v>41545.2892961502</v>
      </c>
      <c r="H3273">
        <v>772</v>
      </c>
      <c r="I3273">
        <v>737</v>
      </c>
      <c r="J3273">
        <v>30</v>
      </c>
    </row>
    <row r="3274" spans="1:10" x14ac:dyDescent="0.25">
      <c r="A3274" t="s">
        <v>23</v>
      </c>
      <c r="B3274" t="s">
        <v>20</v>
      </c>
      <c r="C3274" t="s">
        <v>18</v>
      </c>
      <c r="D3274" t="s">
        <v>17</v>
      </c>
      <c r="E3274">
        <v>0.82236024844720501</v>
      </c>
      <c r="F3274">
        <v>0.85590078510161405</v>
      </c>
      <c r="G3274">
        <v>42176.097040176297</v>
      </c>
      <c r="H3274">
        <v>775</v>
      </c>
      <c r="I3274">
        <v>720</v>
      </c>
      <c r="J3274">
        <v>30</v>
      </c>
    </row>
    <row r="3275" spans="1:10" x14ac:dyDescent="0.25">
      <c r="A3275" t="s">
        <v>23</v>
      </c>
      <c r="B3275" t="s">
        <v>20</v>
      </c>
      <c r="C3275" t="s">
        <v>18</v>
      </c>
      <c r="D3275" t="s">
        <v>17</v>
      </c>
      <c r="E3275">
        <v>0.81739130434782603</v>
      </c>
      <c r="F3275">
        <v>0.85525471093031002</v>
      </c>
      <c r="G3275">
        <v>42309.498171806299</v>
      </c>
      <c r="H3275">
        <v>769</v>
      </c>
      <c r="I3275">
        <v>722</v>
      </c>
      <c r="J3275">
        <v>30</v>
      </c>
    </row>
    <row r="3276" spans="1:10" x14ac:dyDescent="0.25">
      <c r="A3276" t="s">
        <v>23</v>
      </c>
      <c r="B3276" t="s">
        <v>20</v>
      </c>
      <c r="C3276" t="s">
        <v>18</v>
      </c>
      <c r="D3276" t="s">
        <v>17</v>
      </c>
      <c r="E3276">
        <v>0.84223602484472004</v>
      </c>
      <c r="F3276">
        <v>0.86505460167031001</v>
      </c>
      <c r="G3276">
        <v>42591.497527360902</v>
      </c>
      <c r="H3276">
        <v>762</v>
      </c>
      <c r="I3276">
        <v>719</v>
      </c>
      <c r="J3276">
        <v>30</v>
      </c>
    </row>
    <row r="3277" spans="1:10" x14ac:dyDescent="0.25">
      <c r="A3277" t="s">
        <v>23</v>
      </c>
      <c r="B3277" t="s">
        <v>20</v>
      </c>
      <c r="C3277" t="s">
        <v>18</v>
      </c>
      <c r="D3277" t="s">
        <v>17</v>
      </c>
      <c r="E3277">
        <v>0.80248447204968898</v>
      </c>
      <c r="F3277">
        <v>0.85255877921962697</v>
      </c>
      <c r="G3277">
        <v>42804.231332063602</v>
      </c>
      <c r="H3277">
        <v>727</v>
      </c>
      <c r="I3277">
        <v>694</v>
      </c>
      <c r="J3277">
        <v>30</v>
      </c>
    </row>
    <row r="3278" spans="1:10" x14ac:dyDescent="0.25">
      <c r="A3278" t="s">
        <v>23</v>
      </c>
      <c r="B3278" t="s">
        <v>20</v>
      </c>
      <c r="C3278" t="s">
        <v>18</v>
      </c>
      <c r="D3278" t="s">
        <v>17</v>
      </c>
      <c r="E3278">
        <v>0.84347826086956501</v>
      </c>
      <c r="F3278">
        <v>0.86603019206981302</v>
      </c>
      <c r="G3278">
        <v>42804.377792596802</v>
      </c>
      <c r="H3278">
        <v>764</v>
      </c>
      <c r="I3278">
        <v>726</v>
      </c>
      <c r="J3278">
        <v>30</v>
      </c>
    </row>
    <row r="3279" spans="1:10" x14ac:dyDescent="0.25">
      <c r="A3279" t="s">
        <v>23</v>
      </c>
      <c r="B3279" t="s">
        <v>20</v>
      </c>
      <c r="C3279" t="s">
        <v>18</v>
      </c>
      <c r="D3279" t="s">
        <v>17</v>
      </c>
      <c r="E3279">
        <v>0.83478260869565202</v>
      </c>
      <c r="F3279">
        <v>0.86480930292621105</v>
      </c>
      <c r="G3279">
        <v>42973.088068246798</v>
      </c>
      <c r="H3279">
        <v>782</v>
      </c>
      <c r="I3279">
        <v>748</v>
      </c>
      <c r="J3279">
        <v>30</v>
      </c>
    </row>
    <row r="3280" spans="1:10" x14ac:dyDescent="0.25">
      <c r="A3280" t="s">
        <v>23</v>
      </c>
      <c r="B3280" t="s">
        <v>20</v>
      </c>
      <c r="C3280" t="s">
        <v>18</v>
      </c>
      <c r="D3280" t="s">
        <v>17</v>
      </c>
      <c r="E3280">
        <v>0.79751552795031</v>
      </c>
      <c r="F3280">
        <v>0.84611157925378799</v>
      </c>
      <c r="G3280">
        <v>43038.706484794602</v>
      </c>
      <c r="H3280">
        <v>733</v>
      </c>
      <c r="I3280">
        <v>690</v>
      </c>
      <c r="J3280">
        <v>30</v>
      </c>
    </row>
    <row r="3281" spans="1:10" x14ac:dyDescent="0.25">
      <c r="A3281" t="s">
        <v>23</v>
      </c>
      <c r="B3281" t="s">
        <v>20</v>
      </c>
      <c r="C3281" t="s">
        <v>18</v>
      </c>
      <c r="D3281" t="s">
        <v>17</v>
      </c>
      <c r="E3281">
        <v>0.82857142857142796</v>
      </c>
      <c r="F3281">
        <v>0.85859082219254601</v>
      </c>
      <c r="G3281">
        <v>43158.0407197475</v>
      </c>
      <c r="H3281">
        <v>797</v>
      </c>
      <c r="I3281">
        <v>755</v>
      </c>
      <c r="J3281">
        <v>30</v>
      </c>
    </row>
    <row r="3282" spans="1:10" x14ac:dyDescent="0.25">
      <c r="A3282" t="s">
        <v>23</v>
      </c>
      <c r="B3282" t="s">
        <v>20</v>
      </c>
      <c r="C3282" t="s">
        <v>18</v>
      </c>
      <c r="D3282" t="s">
        <v>17</v>
      </c>
      <c r="E3282">
        <v>0.82608695652173902</v>
      </c>
      <c r="F3282">
        <v>0.86047167585826001</v>
      </c>
      <c r="G3282">
        <v>43192.555501461</v>
      </c>
      <c r="H3282">
        <v>782</v>
      </c>
      <c r="I3282">
        <v>725</v>
      </c>
      <c r="J3282">
        <v>30</v>
      </c>
    </row>
    <row r="3283" spans="1:10" x14ac:dyDescent="0.25">
      <c r="A3283" t="s">
        <v>23</v>
      </c>
      <c r="B3283" t="s">
        <v>20</v>
      </c>
      <c r="C3283" t="s">
        <v>18</v>
      </c>
      <c r="D3283" t="s">
        <v>17</v>
      </c>
      <c r="E3283">
        <v>0.82484472049689395</v>
      </c>
      <c r="F3283">
        <v>0.86152783486447204</v>
      </c>
      <c r="G3283">
        <v>43204.752027988397</v>
      </c>
      <c r="H3283">
        <v>780</v>
      </c>
      <c r="I3283">
        <v>730</v>
      </c>
      <c r="J3283">
        <v>30</v>
      </c>
    </row>
    <row r="3284" spans="1:10" x14ac:dyDescent="0.25">
      <c r="A3284" t="s">
        <v>23</v>
      </c>
      <c r="B3284" t="s">
        <v>20</v>
      </c>
      <c r="C3284" t="s">
        <v>18</v>
      </c>
      <c r="D3284" t="s">
        <v>17</v>
      </c>
      <c r="E3284">
        <v>0.81739130434782603</v>
      </c>
      <c r="F3284">
        <v>0.85769440238993699</v>
      </c>
      <c r="G3284">
        <v>43522.681300163204</v>
      </c>
      <c r="H3284">
        <v>749</v>
      </c>
      <c r="I3284">
        <v>713</v>
      </c>
      <c r="J3284">
        <v>30</v>
      </c>
    </row>
    <row r="3285" spans="1:10" x14ac:dyDescent="0.25">
      <c r="A3285" t="s">
        <v>23</v>
      </c>
      <c r="B3285" t="s">
        <v>20</v>
      </c>
      <c r="C3285" t="s">
        <v>18</v>
      </c>
      <c r="D3285" t="s">
        <v>17</v>
      </c>
      <c r="E3285">
        <v>0.78881987577639701</v>
      </c>
      <c r="F3285">
        <v>0.84406967810409905</v>
      </c>
      <c r="G3285">
        <v>43623.206191539699</v>
      </c>
      <c r="H3285">
        <v>802</v>
      </c>
      <c r="I3285">
        <v>745</v>
      </c>
      <c r="J3285">
        <v>30</v>
      </c>
    </row>
    <row r="3286" spans="1:10" x14ac:dyDescent="0.25">
      <c r="A3286" t="s">
        <v>23</v>
      </c>
      <c r="B3286" t="s">
        <v>20</v>
      </c>
      <c r="C3286" t="s">
        <v>18</v>
      </c>
      <c r="D3286" t="s">
        <v>17</v>
      </c>
      <c r="E3286">
        <v>0.81490683229813599</v>
      </c>
      <c r="F3286">
        <v>0.85331325977167605</v>
      </c>
      <c r="G3286">
        <v>43713.998230934099</v>
      </c>
      <c r="H3286">
        <v>765</v>
      </c>
      <c r="I3286">
        <v>726</v>
      </c>
      <c r="J3286">
        <v>30</v>
      </c>
    </row>
    <row r="3287" spans="1:10" x14ac:dyDescent="0.25">
      <c r="A3287" t="s">
        <v>23</v>
      </c>
      <c r="B3287" t="s">
        <v>20</v>
      </c>
      <c r="C3287" t="s">
        <v>18</v>
      </c>
      <c r="D3287" t="s">
        <v>17</v>
      </c>
      <c r="E3287">
        <v>0.80496894409937803</v>
      </c>
      <c r="F3287">
        <v>0.85012654928285702</v>
      </c>
      <c r="G3287">
        <v>43824.340475082397</v>
      </c>
      <c r="H3287">
        <v>769</v>
      </c>
      <c r="I3287">
        <v>733</v>
      </c>
      <c r="J3287">
        <v>30</v>
      </c>
    </row>
    <row r="3288" spans="1:10" x14ac:dyDescent="0.25">
      <c r="A3288" t="s">
        <v>23</v>
      </c>
      <c r="B3288" t="s">
        <v>20</v>
      </c>
      <c r="C3288" t="s">
        <v>18</v>
      </c>
      <c r="D3288" t="s">
        <v>17</v>
      </c>
      <c r="E3288">
        <v>0.79875776397515497</v>
      </c>
      <c r="F3288">
        <v>0.84635633585117998</v>
      </c>
      <c r="G3288">
        <v>43929.036037921898</v>
      </c>
      <c r="H3288">
        <v>816</v>
      </c>
      <c r="I3288">
        <v>773</v>
      </c>
      <c r="J3288">
        <v>30</v>
      </c>
    </row>
    <row r="3289" spans="1:10" x14ac:dyDescent="0.25">
      <c r="A3289" t="s">
        <v>23</v>
      </c>
      <c r="B3289" t="s">
        <v>20</v>
      </c>
      <c r="C3289" t="s">
        <v>18</v>
      </c>
      <c r="D3289" t="s">
        <v>17</v>
      </c>
      <c r="E3289">
        <v>0.81366459627329102</v>
      </c>
      <c r="F3289">
        <v>0.85039887506857104</v>
      </c>
      <c r="G3289">
        <v>44011.624094247803</v>
      </c>
      <c r="H3289">
        <v>792</v>
      </c>
      <c r="I3289">
        <v>728</v>
      </c>
      <c r="J3289">
        <v>30</v>
      </c>
    </row>
    <row r="3290" spans="1:10" x14ac:dyDescent="0.25">
      <c r="A3290" t="s">
        <v>23</v>
      </c>
      <c r="B3290" t="s">
        <v>20</v>
      </c>
      <c r="C3290" t="s">
        <v>18</v>
      </c>
      <c r="D3290" t="s">
        <v>17</v>
      </c>
      <c r="E3290">
        <v>0.82608695652173902</v>
      </c>
      <c r="F3290">
        <v>0.85772899670745295</v>
      </c>
      <c r="G3290">
        <v>44036.836392164201</v>
      </c>
      <c r="H3290">
        <v>810</v>
      </c>
      <c r="I3290">
        <v>748</v>
      </c>
      <c r="J3290">
        <v>30</v>
      </c>
    </row>
    <row r="3291" spans="1:10" x14ac:dyDescent="0.25">
      <c r="A3291" t="s">
        <v>23</v>
      </c>
      <c r="B3291" t="s">
        <v>20</v>
      </c>
      <c r="C3291" t="s">
        <v>18</v>
      </c>
      <c r="D3291" t="s">
        <v>17</v>
      </c>
      <c r="E3291">
        <v>0.81242236024844705</v>
      </c>
      <c r="F3291">
        <v>0.85036640617788795</v>
      </c>
      <c r="G3291">
        <v>44137.7989230155</v>
      </c>
      <c r="H3291">
        <v>790</v>
      </c>
      <c r="I3291">
        <v>756</v>
      </c>
      <c r="J3291">
        <v>30</v>
      </c>
    </row>
    <row r="3292" spans="1:10" x14ac:dyDescent="0.25">
      <c r="A3292" t="s">
        <v>23</v>
      </c>
      <c r="B3292" t="s">
        <v>20</v>
      </c>
      <c r="C3292" t="s">
        <v>18</v>
      </c>
      <c r="D3292" t="s">
        <v>17</v>
      </c>
      <c r="E3292">
        <v>0.81242236024844705</v>
      </c>
      <c r="F3292">
        <v>0.85700217037142801</v>
      </c>
      <c r="G3292">
        <v>44159.821878671602</v>
      </c>
      <c r="H3292">
        <v>770</v>
      </c>
      <c r="I3292">
        <v>727</v>
      </c>
      <c r="J3292">
        <v>30</v>
      </c>
    </row>
    <row r="3293" spans="1:10" x14ac:dyDescent="0.25">
      <c r="A3293" t="s">
        <v>23</v>
      </c>
      <c r="B3293" t="s">
        <v>20</v>
      </c>
      <c r="C3293" t="s">
        <v>18</v>
      </c>
      <c r="D3293" t="s">
        <v>17</v>
      </c>
      <c r="E3293">
        <v>0.82484472049689395</v>
      </c>
      <c r="F3293">
        <v>0.85307184321527896</v>
      </c>
      <c r="G3293">
        <v>44255.4138824939</v>
      </c>
      <c r="H3293">
        <v>828</v>
      </c>
      <c r="I3293">
        <v>759</v>
      </c>
      <c r="J3293">
        <v>30</v>
      </c>
    </row>
    <row r="3294" spans="1:10" x14ac:dyDescent="0.25">
      <c r="A3294" t="s">
        <v>23</v>
      </c>
      <c r="B3294" t="s">
        <v>20</v>
      </c>
      <c r="C3294" t="s">
        <v>18</v>
      </c>
      <c r="D3294" t="s">
        <v>17</v>
      </c>
      <c r="E3294">
        <v>0.83229813664596197</v>
      </c>
      <c r="F3294">
        <v>0.86229935001167601</v>
      </c>
      <c r="G3294">
        <v>44290.328592777201</v>
      </c>
      <c r="H3294">
        <v>818</v>
      </c>
      <c r="I3294">
        <v>772</v>
      </c>
      <c r="J3294">
        <v>30</v>
      </c>
    </row>
    <row r="3295" spans="1:10" x14ac:dyDescent="0.25">
      <c r="A3295" t="s">
        <v>23</v>
      </c>
      <c r="B3295" t="s">
        <v>20</v>
      </c>
      <c r="C3295" t="s">
        <v>18</v>
      </c>
      <c r="D3295" t="s">
        <v>17</v>
      </c>
      <c r="E3295">
        <v>0.8</v>
      </c>
      <c r="F3295">
        <v>0.84779178637167696</v>
      </c>
      <c r="G3295">
        <v>44326.292970418901</v>
      </c>
      <c r="H3295">
        <v>796</v>
      </c>
      <c r="I3295">
        <v>742</v>
      </c>
      <c r="J3295">
        <v>30</v>
      </c>
    </row>
    <row r="3296" spans="1:10" x14ac:dyDescent="0.25">
      <c r="A3296" t="s">
        <v>23</v>
      </c>
      <c r="B3296" t="s">
        <v>20</v>
      </c>
      <c r="C3296" t="s">
        <v>18</v>
      </c>
      <c r="D3296" t="s">
        <v>17</v>
      </c>
      <c r="E3296">
        <v>0.79875776397515497</v>
      </c>
      <c r="F3296">
        <v>0.85110717244645895</v>
      </c>
      <c r="G3296">
        <v>44354.1520340442</v>
      </c>
      <c r="H3296">
        <v>769</v>
      </c>
      <c r="I3296">
        <v>732</v>
      </c>
      <c r="J3296">
        <v>30</v>
      </c>
    </row>
    <row r="3297" spans="1:10" x14ac:dyDescent="0.25">
      <c r="A3297" t="s">
        <v>23</v>
      </c>
      <c r="B3297" t="s">
        <v>20</v>
      </c>
      <c r="C3297" t="s">
        <v>18</v>
      </c>
      <c r="D3297" t="s">
        <v>17</v>
      </c>
      <c r="E3297">
        <v>0.81118012422360197</v>
      </c>
      <c r="F3297">
        <v>0.84903895466273205</v>
      </c>
      <c r="G3297">
        <v>44420.518733501398</v>
      </c>
      <c r="H3297">
        <v>796</v>
      </c>
      <c r="I3297">
        <v>743</v>
      </c>
      <c r="J3297">
        <v>30</v>
      </c>
    </row>
    <row r="3298" spans="1:10" x14ac:dyDescent="0.25">
      <c r="A3298" t="s">
        <v>23</v>
      </c>
      <c r="B3298" t="s">
        <v>20</v>
      </c>
      <c r="C3298" t="s">
        <v>18</v>
      </c>
      <c r="D3298" t="s">
        <v>17</v>
      </c>
      <c r="E3298">
        <v>0.79503105590062095</v>
      </c>
      <c r="F3298">
        <v>0.84139351331962697</v>
      </c>
      <c r="G3298">
        <v>44448.20250988</v>
      </c>
      <c r="H3298">
        <v>808</v>
      </c>
      <c r="I3298">
        <v>762</v>
      </c>
      <c r="J3298">
        <v>30</v>
      </c>
    </row>
    <row r="3299" spans="1:10" x14ac:dyDescent="0.25">
      <c r="A3299" t="s">
        <v>23</v>
      </c>
      <c r="B3299" t="s">
        <v>20</v>
      </c>
      <c r="C3299" t="s">
        <v>18</v>
      </c>
      <c r="D3299" t="s">
        <v>17</v>
      </c>
      <c r="E3299">
        <v>0.81366459627329102</v>
      </c>
      <c r="F3299">
        <v>0.84162888277006198</v>
      </c>
      <c r="G3299">
        <v>44500.885417699799</v>
      </c>
      <c r="H3299">
        <v>780</v>
      </c>
      <c r="I3299">
        <v>759</v>
      </c>
      <c r="J3299">
        <v>30</v>
      </c>
    </row>
    <row r="3300" spans="1:10" x14ac:dyDescent="0.25">
      <c r="A3300" t="s">
        <v>23</v>
      </c>
      <c r="B3300" t="s">
        <v>20</v>
      </c>
      <c r="C3300" t="s">
        <v>18</v>
      </c>
      <c r="D3300" t="s">
        <v>17</v>
      </c>
      <c r="E3300">
        <v>0.81118012422360197</v>
      </c>
      <c r="F3300">
        <v>0.84761665859577595</v>
      </c>
      <c r="G3300">
        <v>44556.0241618156</v>
      </c>
      <c r="H3300">
        <v>821</v>
      </c>
      <c r="I3300">
        <v>773</v>
      </c>
      <c r="J3300">
        <v>30</v>
      </c>
    </row>
    <row r="3301" spans="1:10" x14ac:dyDescent="0.25">
      <c r="A3301" t="s">
        <v>23</v>
      </c>
      <c r="B3301" t="s">
        <v>20</v>
      </c>
      <c r="C3301" t="s">
        <v>18</v>
      </c>
      <c r="D3301" t="s">
        <v>17</v>
      </c>
      <c r="E3301">
        <v>0.8</v>
      </c>
      <c r="F3301">
        <v>0.84626016601478304</v>
      </c>
      <c r="G3301">
        <v>44559.444195985699</v>
      </c>
      <c r="H3301">
        <v>808</v>
      </c>
      <c r="I3301">
        <v>753</v>
      </c>
      <c r="J3301">
        <v>30</v>
      </c>
    </row>
    <row r="3302" spans="1:10" x14ac:dyDescent="0.25">
      <c r="A3302" t="s">
        <v>23</v>
      </c>
      <c r="B3302" t="s">
        <v>21</v>
      </c>
      <c r="C3302" t="s">
        <v>12</v>
      </c>
      <c r="D3302" t="s">
        <v>13</v>
      </c>
      <c r="E3302">
        <v>0.99875776397515503</v>
      </c>
      <c r="F3302">
        <v>0.99847831715217295</v>
      </c>
      <c r="G3302">
        <v>20.186742067337001</v>
      </c>
      <c r="H3302">
        <v>14</v>
      </c>
      <c r="I3302">
        <v>16</v>
      </c>
      <c r="J3302">
        <v>30</v>
      </c>
    </row>
    <row r="3303" spans="1:10" x14ac:dyDescent="0.25">
      <c r="A3303" t="s">
        <v>23</v>
      </c>
      <c r="B3303" t="s">
        <v>21</v>
      </c>
      <c r="C3303" t="s">
        <v>12</v>
      </c>
      <c r="D3303" t="s">
        <v>13</v>
      </c>
      <c r="E3303">
        <v>1</v>
      </c>
      <c r="F3303">
        <v>0.99956699985577602</v>
      </c>
      <c r="G3303">
        <v>20.1849477291107</v>
      </c>
      <c r="H3303">
        <v>14</v>
      </c>
      <c r="I3303">
        <v>15</v>
      </c>
      <c r="J3303">
        <v>30</v>
      </c>
    </row>
    <row r="3304" spans="1:10" x14ac:dyDescent="0.25">
      <c r="A3304" t="s">
        <v>23</v>
      </c>
      <c r="B3304" t="s">
        <v>21</v>
      </c>
      <c r="C3304" t="s">
        <v>12</v>
      </c>
      <c r="D3304" t="s">
        <v>13</v>
      </c>
      <c r="E3304">
        <v>1</v>
      </c>
      <c r="F3304">
        <v>0.99954320132447205</v>
      </c>
      <c r="G3304">
        <v>20.345810890197701</v>
      </c>
      <c r="H3304">
        <v>14</v>
      </c>
      <c r="I3304">
        <v>15</v>
      </c>
      <c r="J3304">
        <v>30</v>
      </c>
    </row>
    <row r="3305" spans="1:10" x14ac:dyDescent="0.25">
      <c r="A3305" t="s">
        <v>23</v>
      </c>
      <c r="B3305" t="s">
        <v>21</v>
      </c>
      <c r="C3305" t="s">
        <v>12</v>
      </c>
      <c r="D3305" t="s">
        <v>13</v>
      </c>
      <c r="E3305">
        <v>0.99875776397515503</v>
      </c>
      <c r="F3305">
        <v>0.99875175048558995</v>
      </c>
      <c r="G3305">
        <v>22.208109617233202</v>
      </c>
      <c r="H3305">
        <v>16</v>
      </c>
      <c r="I3305">
        <v>18</v>
      </c>
      <c r="J3305">
        <v>30</v>
      </c>
    </row>
    <row r="3306" spans="1:10" x14ac:dyDescent="0.25">
      <c r="A3306" t="s">
        <v>23</v>
      </c>
      <c r="B3306" t="s">
        <v>21</v>
      </c>
      <c r="C3306" t="s">
        <v>12</v>
      </c>
      <c r="D3306" t="s">
        <v>13</v>
      </c>
      <c r="E3306">
        <v>0.99875776397515503</v>
      </c>
      <c r="F3306">
        <v>0.99876510010670805</v>
      </c>
      <c r="G3306">
        <v>22.345882415771399</v>
      </c>
      <c r="H3306">
        <v>15</v>
      </c>
      <c r="I3306">
        <v>16</v>
      </c>
      <c r="J3306">
        <v>30</v>
      </c>
    </row>
    <row r="3307" spans="1:10" x14ac:dyDescent="0.25">
      <c r="A3307" t="s">
        <v>23</v>
      </c>
      <c r="B3307" t="s">
        <v>21</v>
      </c>
      <c r="C3307" t="s">
        <v>12</v>
      </c>
      <c r="D3307" t="s">
        <v>13</v>
      </c>
      <c r="E3307">
        <v>1</v>
      </c>
      <c r="F3307">
        <v>0.99988110076310499</v>
      </c>
      <c r="G3307">
        <v>22.321201324462798</v>
      </c>
      <c r="H3307">
        <v>15</v>
      </c>
      <c r="I3307">
        <v>16</v>
      </c>
      <c r="J3307">
        <v>30</v>
      </c>
    </row>
    <row r="3308" spans="1:10" x14ac:dyDescent="0.25">
      <c r="A3308" t="s">
        <v>23</v>
      </c>
      <c r="B3308" t="s">
        <v>21</v>
      </c>
      <c r="C3308" t="s">
        <v>12</v>
      </c>
      <c r="D3308" t="s">
        <v>13</v>
      </c>
      <c r="E3308">
        <v>1</v>
      </c>
      <c r="F3308">
        <v>0.99991411395242202</v>
      </c>
      <c r="G3308">
        <v>22.540411949157701</v>
      </c>
      <c r="H3308">
        <v>15</v>
      </c>
      <c r="I3308">
        <v>17</v>
      </c>
      <c r="J3308">
        <v>30</v>
      </c>
    </row>
    <row r="3309" spans="1:10" x14ac:dyDescent="0.25">
      <c r="A3309" t="s">
        <v>23</v>
      </c>
      <c r="B3309" t="s">
        <v>21</v>
      </c>
      <c r="C3309" t="s">
        <v>12</v>
      </c>
      <c r="D3309" t="s">
        <v>13</v>
      </c>
      <c r="E3309">
        <v>1</v>
      </c>
      <c r="F3309">
        <v>0.99990524117465795</v>
      </c>
      <c r="G3309">
        <v>22.640647649765</v>
      </c>
      <c r="H3309">
        <v>15</v>
      </c>
      <c r="I3309">
        <v>17</v>
      </c>
      <c r="J3309">
        <v>30</v>
      </c>
    </row>
    <row r="3310" spans="1:10" x14ac:dyDescent="0.25">
      <c r="A3310" t="s">
        <v>23</v>
      </c>
      <c r="B3310" t="s">
        <v>21</v>
      </c>
      <c r="C3310" t="s">
        <v>12</v>
      </c>
      <c r="D3310" t="s">
        <v>13</v>
      </c>
      <c r="E3310">
        <v>1</v>
      </c>
      <c r="F3310">
        <v>0.999737947172049</v>
      </c>
      <c r="G3310">
        <v>73.667526006698594</v>
      </c>
      <c r="H3310">
        <v>9</v>
      </c>
      <c r="I3310">
        <v>12</v>
      </c>
      <c r="J3310">
        <v>30</v>
      </c>
    </row>
    <row r="3311" spans="1:10" x14ac:dyDescent="0.25">
      <c r="A3311" t="s">
        <v>23</v>
      </c>
      <c r="B3311" t="s">
        <v>21</v>
      </c>
      <c r="C3311" t="s">
        <v>12</v>
      </c>
      <c r="D3311" t="s">
        <v>13</v>
      </c>
      <c r="E3311">
        <v>0.99875776397515503</v>
      </c>
      <c r="F3311">
        <v>0.99802764088198703</v>
      </c>
      <c r="G3311">
        <v>87.291983604431096</v>
      </c>
      <c r="H3311">
        <v>14</v>
      </c>
      <c r="I3311">
        <v>15</v>
      </c>
      <c r="J3311">
        <v>30</v>
      </c>
    </row>
    <row r="3312" spans="1:10" x14ac:dyDescent="0.25">
      <c r="A3312" t="s">
        <v>23</v>
      </c>
      <c r="B3312" t="s">
        <v>21</v>
      </c>
      <c r="C3312" t="s">
        <v>12</v>
      </c>
      <c r="D3312" t="s">
        <v>13</v>
      </c>
      <c r="E3312">
        <v>1</v>
      </c>
      <c r="F3312">
        <v>0.99974463665006197</v>
      </c>
      <c r="G3312">
        <v>88.088734626770005</v>
      </c>
      <c r="H3312">
        <v>14</v>
      </c>
      <c r="I3312">
        <v>14</v>
      </c>
      <c r="J3312">
        <v>30</v>
      </c>
    </row>
    <row r="3313" spans="1:10" x14ac:dyDescent="0.25">
      <c r="A3313" t="s">
        <v>23</v>
      </c>
      <c r="B3313" t="s">
        <v>21</v>
      </c>
      <c r="C3313" t="s">
        <v>12</v>
      </c>
      <c r="D3313" t="s">
        <v>13</v>
      </c>
      <c r="E3313">
        <v>0.99875776397515503</v>
      </c>
      <c r="F3313">
        <v>0.99847512014832296</v>
      </c>
      <c r="G3313">
        <v>89.178039550781193</v>
      </c>
      <c r="H3313">
        <v>14</v>
      </c>
      <c r="I3313">
        <v>15</v>
      </c>
      <c r="J3313">
        <v>30</v>
      </c>
    </row>
    <row r="3314" spans="1:10" x14ac:dyDescent="0.25">
      <c r="A3314" t="s">
        <v>23</v>
      </c>
      <c r="B3314" t="s">
        <v>21</v>
      </c>
      <c r="C3314" t="s">
        <v>12</v>
      </c>
      <c r="D3314" t="s">
        <v>13</v>
      </c>
      <c r="E3314">
        <v>0.99875776397515503</v>
      </c>
      <c r="F3314">
        <v>0.99844400932683197</v>
      </c>
      <c r="G3314">
        <v>90.026051759719806</v>
      </c>
      <c r="H3314">
        <v>14</v>
      </c>
      <c r="I3314">
        <v>15</v>
      </c>
      <c r="J3314">
        <v>30</v>
      </c>
    </row>
    <row r="3315" spans="1:10" x14ac:dyDescent="0.25">
      <c r="A3315" t="s">
        <v>23</v>
      </c>
      <c r="B3315" t="s">
        <v>21</v>
      </c>
      <c r="C3315" t="s">
        <v>12</v>
      </c>
      <c r="D3315" t="s">
        <v>13</v>
      </c>
      <c r="E3315">
        <v>0.99875776397515503</v>
      </c>
      <c r="F3315">
        <v>0.99847548154993704</v>
      </c>
      <c r="G3315">
        <v>91.175921916961599</v>
      </c>
      <c r="H3315">
        <v>14</v>
      </c>
      <c r="I3315">
        <v>15</v>
      </c>
      <c r="J3315">
        <v>30</v>
      </c>
    </row>
    <row r="3316" spans="1:10" x14ac:dyDescent="0.25">
      <c r="A3316" t="s">
        <v>23</v>
      </c>
      <c r="B3316" t="s">
        <v>21</v>
      </c>
      <c r="C3316" t="s">
        <v>12</v>
      </c>
      <c r="D3316" t="s">
        <v>13</v>
      </c>
      <c r="E3316">
        <v>1</v>
      </c>
      <c r="F3316">
        <v>0.99976550402086894</v>
      </c>
      <c r="G3316">
        <v>92.258399248123098</v>
      </c>
      <c r="H3316">
        <v>14</v>
      </c>
      <c r="I3316">
        <v>15</v>
      </c>
      <c r="J3316">
        <v>30</v>
      </c>
    </row>
    <row r="3317" spans="1:10" x14ac:dyDescent="0.25">
      <c r="A3317" t="s">
        <v>23</v>
      </c>
      <c r="B3317" t="s">
        <v>21</v>
      </c>
      <c r="C3317" t="s">
        <v>12</v>
      </c>
      <c r="D3317" t="s">
        <v>13</v>
      </c>
      <c r="E3317">
        <v>1</v>
      </c>
      <c r="F3317">
        <v>0.99970294857826003</v>
      </c>
      <c r="G3317">
        <v>93.381349563598604</v>
      </c>
      <c r="H3317">
        <v>14</v>
      </c>
      <c r="I3317">
        <v>15</v>
      </c>
      <c r="J3317">
        <v>30</v>
      </c>
    </row>
    <row r="3318" spans="1:10" x14ac:dyDescent="0.25">
      <c r="A3318" t="s">
        <v>23</v>
      </c>
      <c r="B3318" t="s">
        <v>21</v>
      </c>
      <c r="C3318" t="s">
        <v>12</v>
      </c>
      <c r="D3318" t="s">
        <v>13</v>
      </c>
      <c r="E3318">
        <v>0.99751552795030995</v>
      </c>
      <c r="F3318">
        <v>0.99722330538173898</v>
      </c>
      <c r="G3318">
        <v>93.517638206481905</v>
      </c>
      <c r="H3318">
        <v>14</v>
      </c>
      <c r="I3318">
        <v>16</v>
      </c>
      <c r="J3318">
        <v>30</v>
      </c>
    </row>
    <row r="3319" spans="1:10" x14ac:dyDescent="0.25">
      <c r="A3319" t="s">
        <v>23</v>
      </c>
      <c r="B3319" t="s">
        <v>21</v>
      </c>
      <c r="C3319" t="s">
        <v>12</v>
      </c>
      <c r="D3319" t="s">
        <v>13</v>
      </c>
      <c r="E3319">
        <v>0.99875776397515503</v>
      </c>
      <c r="F3319">
        <v>0.99849993854074504</v>
      </c>
      <c r="G3319">
        <v>95.657604217529297</v>
      </c>
      <c r="H3319">
        <v>15</v>
      </c>
      <c r="I3319">
        <v>16</v>
      </c>
      <c r="J3319">
        <v>30</v>
      </c>
    </row>
    <row r="3320" spans="1:10" x14ac:dyDescent="0.25">
      <c r="A3320" t="s">
        <v>23</v>
      </c>
      <c r="B3320" t="s">
        <v>21</v>
      </c>
      <c r="C3320" t="s">
        <v>12</v>
      </c>
      <c r="D3320" t="s">
        <v>13</v>
      </c>
      <c r="E3320">
        <v>0.99875776397515503</v>
      </c>
      <c r="F3320">
        <v>0.998525122319875</v>
      </c>
      <c r="G3320">
        <v>96.9833598136901</v>
      </c>
      <c r="H3320">
        <v>15</v>
      </c>
      <c r="I3320">
        <v>16</v>
      </c>
      <c r="J3320">
        <v>30</v>
      </c>
    </row>
    <row r="3321" spans="1:10" x14ac:dyDescent="0.25">
      <c r="A3321" t="s">
        <v>23</v>
      </c>
      <c r="B3321" t="s">
        <v>21</v>
      </c>
      <c r="C3321" t="s">
        <v>12</v>
      </c>
      <c r="D3321" t="s">
        <v>13</v>
      </c>
      <c r="E3321">
        <v>1</v>
      </c>
      <c r="F3321">
        <v>0.999672914491055</v>
      </c>
      <c r="G3321">
        <v>97.6900568008422</v>
      </c>
      <c r="H3321">
        <v>15</v>
      </c>
      <c r="I3321">
        <v>17</v>
      </c>
      <c r="J3321">
        <v>30</v>
      </c>
    </row>
    <row r="3322" spans="1:10" x14ac:dyDescent="0.25">
      <c r="A3322" t="s">
        <v>23</v>
      </c>
      <c r="B3322" t="s">
        <v>21</v>
      </c>
      <c r="C3322" t="s">
        <v>12</v>
      </c>
      <c r="D3322" t="s">
        <v>13</v>
      </c>
      <c r="E3322">
        <v>0.99751552795030995</v>
      </c>
      <c r="F3322">
        <v>0.99743842477962696</v>
      </c>
      <c r="G3322">
        <v>98.819587707519503</v>
      </c>
      <c r="H3322">
        <v>15</v>
      </c>
      <c r="I3322">
        <v>18</v>
      </c>
      <c r="J3322">
        <v>30</v>
      </c>
    </row>
    <row r="3323" spans="1:10" x14ac:dyDescent="0.25">
      <c r="A3323" t="s">
        <v>23</v>
      </c>
      <c r="B3323" t="s">
        <v>21</v>
      </c>
      <c r="C3323" t="s">
        <v>12</v>
      </c>
      <c r="D3323" t="s">
        <v>13</v>
      </c>
      <c r="E3323">
        <v>0.99751552795030995</v>
      </c>
      <c r="F3323">
        <v>0.99693711355987502</v>
      </c>
      <c r="G3323">
        <v>100.533125400543</v>
      </c>
      <c r="H3323">
        <v>15</v>
      </c>
      <c r="I3323">
        <v>17</v>
      </c>
      <c r="J3323">
        <v>30</v>
      </c>
    </row>
    <row r="3324" spans="1:10" x14ac:dyDescent="0.25">
      <c r="A3324" t="s">
        <v>23</v>
      </c>
      <c r="B3324" t="s">
        <v>21</v>
      </c>
      <c r="C3324" t="s">
        <v>12</v>
      </c>
      <c r="D3324" t="s">
        <v>13</v>
      </c>
      <c r="E3324">
        <v>0.99627329192546499</v>
      </c>
      <c r="F3324">
        <v>0.99571787250645905</v>
      </c>
      <c r="G3324">
        <v>100.781099796295</v>
      </c>
      <c r="H3324">
        <v>15</v>
      </c>
      <c r="I3324">
        <v>17</v>
      </c>
      <c r="J3324">
        <v>30</v>
      </c>
    </row>
    <row r="3325" spans="1:10" x14ac:dyDescent="0.25">
      <c r="A3325" t="s">
        <v>23</v>
      </c>
      <c r="B3325" t="s">
        <v>21</v>
      </c>
      <c r="C3325" t="s">
        <v>12</v>
      </c>
      <c r="D3325" t="s">
        <v>13</v>
      </c>
      <c r="E3325">
        <v>0.99875776397515503</v>
      </c>
      <c r="F3325">
        <v>0.99868902947676996</v>
      </c>
      <c r="G3325">
        <v>100.797655582427</v>
      </c>
      <c r="H3325">
        <v>14</v>
      </c>
      <c r="I3325">
        <v>18</v>
      </c>
      <c r="J3325">
        <v>30</v>
      </c>
    </row>
    <row r="3326" spans="1:10" x14ac:dyDescent="0.25">
      <c r="A3326" t="s">
        <v>23</v>
      </c>
      <c r="B3326" t="s">
        <v>21</v>
      </c>
      <c r="C3326" t="s">
        <v>12</v>
      </c>
      <c r="D3326" t="s">
        <v>13</v>
      </c>
      <c r="E3326">
        <v>0.99875776397515503</v>
      </c>
      <c r="F3326">
        <v>0.99868958475788805</v>
      </c>
      <c r="G3326">
        <v>100.85318422317501</v>
      </c>
      <c r="H3326">
        <v>15</v>
      </c>
      <c r="I3326">
        <v>17</v>
      </c>
      <c r="J3326">
        <v>30</v>
      </c>
    </row>
    <row r="3327" spans="1:10" x14ac:dyDescent="0.25">
      <c r="A3327" t="s">
        <v>23</v>
      </c>
      <c r="B3327" t="s">
        <v>21</v>
      </c>
      <c r="C3327" t="s">
        <v>12</v>
      </c>
      <c r="D3327" t="s">
        <v>13</v>
      </c>
      <c r="E3327">
        <v>0.99875776397515503</v>
      </c>
      <c r="F3327">
        <v>0.99850665361403701</v>
      </c>
      <c r="G3327">
        <v>101.322994947433</v>
      </c>
      <c r="H3327">
        <v>15</v>
      </c>
      <c r="I3327">
        <v>16</v>
      </c>
      <c r="J3327">
        <v>30</v>
      </c>
    </row>
    <row r="3328" spans="1:10" x14ac:dyDescent="0.25">
      <c r="A3328" t="s">
        <v>23</v>
      </c>
      <c r="B3328" t="s">
        <v>21</v>
      </c>
      <c r="C3328" t="s">
        <v>12</v>
      </c>
      <c r="D3328" t="s">
        <v>13</v>
      </c>
      <c r="E3328">
        <v>1</v>
      </c>
      <c r="F3328">
        <v>0.99989832798745304</v>
      </c>
      <c r="G3328">
        <v>101.520665645599</v>
      </c>
      <c r="H3328">
        <v>15</v>
      </c>
      <c r="I3328">
        <v>17</v>
      </c>
      <c r="J3328">
        <v>30</v>
      </c>
    </row>
    <row r="3329" spans="1:10" x14ac:dyDescent="0.25">
      <c r="A3329" t="s">
        <v>23</v>
      </c>
      <c r="B3329" t="s">
        <v>21</v>
      </c>
      <c r="C3329" t="s">
        <v>12</v>
      </c>
      <c r="D3329" t="s">
        <v>13</v>
      </c>
      <c r="E3329">
        <v>1</v>
      </c>
      <c r="F3329">
        <v>0.99926974526124202</v>
      </c>
      <c r="G3329">
        <v>101.600125551223</v>
      </c>
      <c r="H3329">
        <v>15</v>
      </c>
      <c r="I3329">
        <v>16</v>
      </c>
      <c r="J3329">
        <v>30</v>
      </c>
    </row>
    <row r="3330" spans="1:10" x14ac:dyDescent="0.25">
      <c r="A3330" t="s">
        <v>23</v>
      </c>
      <c r="B3330" t="s">
        <v>21</v>
      </c>
      <c r="C3330" t="s">
        <v>12</v>
      </c>
      <c r="D3330" t="s">
        <v>13</v>
      </c>
      <c r="E3330">
        <v>0.99875776397515503</v>
      </c>
      <c r="F3330">
        <v>0.99871522988807404</v>
      </c>
      <c r="G3330">
        <v>102.521910905838</v>
      </c>
      <c r="H3330">
        <v>15</v>
      </c>
      <c r="I3330">
        <v>19</v>
      </c>
      <c r="J3330">
        <v>30</v>
      </c>
    </row>
    <row r="3331" spans="1:10" x14ac:dyDescent="0.25">
      <c r="A3331" t="s">
        <v>23</v>
      </c>
      <c r="B3331" t="s">
        <v>21</v>
      </c>
      <c r="C3331" t="s">
        <v>12</v>
      </c>
      <c r="D3331" t="s">
        <v>13</v>
      </c>
      <c r="E3331">
        <v>1</v>
      </c>
      <c r="F3331">
        <v>0.99967222886894402</v>
      </c>
      <c r="G3331">
        <v>102.799807310104</v>
      </c>
      <c r="H3331">
        <v>15</v>
      </c>
      <c r="I3331">
        <v>17</v>
      </c>
      <c r="J3331">
        <v>30</v>
      </c>
    </row>
    <row r="3332" spans="1:10" x14ac:dyDescent="0.25">
      <c r="A3332" t="s">
        <v>23</v>
      </c>
      <c r="B3332" t="s">
        <v>21</v>
      </c>
      <c r="C3332" t="s">
        <v>12</v>
      </c>
      <c r="D3332" t="s">
        <v>14</v>
      </c>
      <c r="E3332">
        <v>1</v>
      </c>
      <c r="F3332">
        <v>0.99953632670745296</v>
      </c>
      <c r="G3332">
        <v>37.235709667205803</v>
      </c>
      <c r="H3332">
        <v>13</v>
      </c>
      <c r="I3332">
        <v>13</v>
      </c>
      <c r="J3332">
        <v>30</v>
      </c>
    </row>
    <row r="3333" spans="1:10" x14ac:dyDescent="0.25">
      <c r="A3333" t="s">
        <v>23</v>
      </c>
      <c r="B3333" t="s">
        <v>21</v>
      </c>
      <c r="C3333" t="s">
        <v>12</v>
      </c>
      <c r="D3333" t="s">
        <v>14</v>
      </c>
      <c r="E3333">
        <v>0.99875776397515503</v>
      </c>
      <c r="F3333">
        <v>0.998213202697391</v>
      </c>
      <c r="G3333">
        <v>38.300918340682898</v>
      </c>
      <c r="H3333">
        <v>12</v>
      </c>
      <c r="I3333">
        <v>11</v>
      </c>
      <c r="J3333">
        <v>30</v>
      </c>
    </row>
    <row r="3334" spans="1:10" x14ac:dyDescent="0.25">
      <c r="A3334" t="s">
        <v>23</v>
      </c>
      <c r="B3334" t="s">
        <v>21</v>
      </c>
      <c r="C3334" t="s">
        <v>12</v>
      </c>
      <c r="D3334" t="s">
        <v>14</v>
      </c>
      <c r="E3334">
        <v>0.92173913043478195</v>
      </c>
      <c r="F3334">
        <v>0.93554989204099304</v>
      </c>
      <c r="G3334">
        <v>38.453145742416297</v>
      </c>
      <c r="H3334">
        <v>12</v>
      </c>
      <c r="I3334">
        <v>10</v>
      </c>
      <c r="J3334">
        <v>30</v>
      </c>
    </row>
    <row r="3335" spans="1:10" x14ac:dyDescent="0.25">
      <c r="A3335" t="s">
        <v>23</v>
      </c>
      <c r="B3335" t="s">
        <v>21</v>
      </c>
      <c r="C3335" t="s">
        <v>12</v>
      </c>
      <c r="D3335" t="s">
        <v>14</v>
      </c>
      <c r="E3335">
        <v>0.99875776397515503</v>
      </c>
      <c r="F3335">
        <v>0.99841821004434705</v>
      </c>
      <c r="G3335">
        <v>39.522585153579698</v>
      </c>
      <c r="H3335">
        <v>13</v>
      </c>
      <c r="I3335">
        <v>12</v>
      </c>
      <c r="J3335">
        <v>30</v>
      </c>
    </row>
    <row r="3336" spans="1:10" x14ac:dyDescent="0.25">
      <c r="A3336" t="s">
        <v>23</v>
      </c>
      <c r="B3336" t="s">
        <v>21</v>
      </c>
      <c r="C3336" t="s">
        <v>12</v>
      </c>
      <c r="D3336" t="s">
        <v>14</v>
      </c>
      <c r="E3336">
        <v>0.92670807453416104</v>
      </c>
      <c r="F3336">
        <v>0.93855647064583803</v>
      </c>
      <c r="G3336">
        <v>39.940721035003598</v>
      </c>
      <c r="H3336">
        <v>13</v>
      </c>
      <c r="I3336">
        <v>11</v>
      </c>
      <c r="J3336">
        <v>30</v>
      </c>
    </row>
    <row r="3337" spans="1:10" x14ac:dyDescent="0.25">
      <c r="A3337" t="s">
        <v>23</v>
      </c>
      <c r="B3337" t="s">
        <v>21</v>
      </c>
      <c r="C3337" t="s">
        <v>12</v>
      </c>
      <c r="D3337" t="s">
        <v>14</v>
      </c>
      <c r="E3337">
        <v>0.92919254658385098</v>
      </c>
      <c r="F3337">
        <v>0.94122056074347804</v>
      </c>
      <c r="G3337">
        <v>39.7341566085815</v>
      </c>
      <c r="H3337">
        <v>13</v>
      </c>
      <c r="I3337">
        <v>12</v>
      </c>
      <c r="J3337">
        <v>30</v>
      </c>
    </row>
    <row r="3338" spans="1:10" x14ac:dyDescent="0.25">
      <c r="A3338" t="s">
        <v>23</v>
      </c>
      <c r="B3338" t="s">
        <v>21</v>
      </c>
      <c r="C3338" t="s">
        <v>12</v>
      </c>
      <c r="D3338" t="s">
        <v>14</v>
      </c>
      <c r="E3338">
        <v>0.99751552795030995</v>
      </c>
      <c r="F3338">
        <v>0.99737527897975098</v>
      </c>
      <c r="G3338">
        <v>40.184197902679401</v>
      </c>
      <c r="H3338">
        <v>12</v>
      </c>
      <c r="I3338">
        <v>11</v>
      </c>
      <c r="J3338">
        <v>30</v>
      </c>
    </row>
    <row r="3339" spans="1:10" x14ac:dyDescent="0.25">
      <c r="A3339" t="s">
        <v>23</v>
      </c>
      <c r="B3339" t="s">
        <v>21</v>
      </c>
      <c r="C3339" t="s">
        <v>12</v>
      </c>
      <c r="D3339" t="s">
        <v>14</v>
      </c>
      <c r="E3339">
        <v>0.99875776397515503</v>
      </c>
      <c r="F3339">
        <v>0.99858580949739095</v>
      </c>
      <c r="G3339">
        <v>40.166858196258502</v>
      </c>
      <c r="H3339">
        <v>12</v>
      </c>
      <c r="I3339">
        <v>11</v>
      </c>
      <c r="J3339">
        <v>30</v>
      </c>
    </row>
    <row r="3340" spans="1:10" x14ac:dyDescent="0.25">
      <c r="A3340" t="s">
        <v>23</v>
      </c>
      <c r="B3340" t="s">
        <v>21</v>
      </c>
      <c r="C3340" t="s">
        <v>12</v>
      </c>
      <c r="D3340" t="s">
        <v>14</v>
      </c>
      <c r="E3340">
        <v>0.99751552795030995</v>
      </c>
      <c r="F3340">
        <v>0.99682442102086899</v>
      </c>
      <c r="G3340">
        <v>40.171574115753103</v>
      </c>
      <c r="H3340">
        <v>13</v>
      </c>
      <c r="I3340">
        <v>12</v>
      </c>
      <c r="J3340">
        <v>30</v>
      </c>
    </row>
    <row r="3341" spans="1:10" x14ac:dyDescent="0.25">
      <c r="A3341" t="s">
        <v>23</v>
      </c>
      <c r="B3341" t="s">
        <v>21</v>
      </c>
      <c r="C3341" t="s">
        <v>12</v>
      </c>
      <c r="D3341" t="s">
        <v>14</v>
      </c>
      <c r="E3341">
        <v>0.94161490683229798</v>
      </c>
      <c r="F3341">
        <v>0.94937480202658298</v>
      </c>
      <c r="G3341">
        <v>40.369225025177002</v>
      </c>
      <c r="H3341">
        <v>12</v>
      </c>
      <c r="I3341">
        <v>10</v>
      </c>
      <c r="J3341">
        <v>30</v>
      </c>
    </row>
    <row r="3342" spans="1:10" x14ac:dyDescent="0.25">
      <c r="A3342" t="s">
        <v>23</v>
      </c>
      <c r="B3342" t="s">
        <v>21</v>
      </c>
      <c r="C3342" t="s">
        <v>12</v>
      </c>
      <c r="D3342" t="s">
        <v>14</v>
      </c>
      <c r="E3342">
        <v>0.94037267080745301</v>
      </c>
      <c r="F3342">
        <v>0.94803137149676997</v>
      </c>
      <c r="G3342">
        <v>40.553672790527301</v>
      </c>
      <c r="H3342">
        <v>12</v>
      </c>
      <c r="I3342">
        <v>10</v>
      </c>
      <c r="J3342">
        <v>30</v>
      </c>
    </row>
    <row r="3343" spans="1:10" x14ac:dyDescent="0.25">
      <c r="A3343" t="s">
        <v>23</v>
      </c>
      <c r="B3343" t="s">
        <v>21</v>
      </c>
      <c r="C3343" t="s">
        <v>12</v>
      </c>
      <c r="D3343" t="s">
        <v>14</v>
      </c>
      <c r="E3343">
        <v>0.99875776397515503</v>
      </c>
      <c r="F3343">
        <v>0.99859816560583803</v>
      </c>
      <c r="G3343">
        <v>40.770059823989797</v>
      </c>
      <c r="H3343">
        <v>12</v>
      </c>
      <c r="I3343">
        <v>11</v>
      </c>
      <c r="J3343">
        <v>30</v>
      </c>
    </row>
    <row r="3344" spans="1:10" x14ac:dyDescent="0.25">
      <c r="A3344" t="s">
        <v>23</v>
      </c>
      <c r="B3344" t="s">
        <v>21</v>
      </c>
      <c r="C3344" t="s">
        <v>12</v>
      </c>
      <c r="D3344" t="s">
        <v>14</v>
      </c>
      <c r="E3344">
        <v>0.94409937888198703</v>
      </c>
      <c r="F3344">
        <v>0.95070382898347805</v>
      </c>
      <c r="G3344">
        <v>41.3106625080108</v>
      </c>
      <c r="H3344">
        <v>13</v>
      </c>
      <c r="I3344">
        <v>12</v>
      </c>
      <c r="J3344">
        <v>30</v>
      </c>
    </row>
    <row r="3345" spans="1:10" x14ac:dyDescent="0.25">
      <c r="A3345" t="s">
        <v>23</v>
      </c>
      <c r="B3345" t="s">
        <v>21</v>
      </c>
      <c r="C3345" t="s">
        <v>12</v>
      </c>
      <c r="D3345" t="s">
        <v>14</v>
      </c>
      <c r="E3345">
        <v>0.99875776397515503</v>
      </c>
      <c r="F3345">
        <v>0.99925014246037203</v>
      </c>
      <c r="G3345">
        <v>41.401953697204497</v>
      </c>
      <c r="H3345">
        <v>13</v>
      </c>
      <c r="I3345">
        <v>12</v>
      </c>
      <c r="J3345">
        <v>30</v>
      </c>
    </row>
    <row r="3346" spans="1:10" x14ac:dyDescent="0.25">
      <c r="A3346" t="s">
        <v>23</v>
      </c>
      <c r="B3346" t="s">
        <v>21</v>
      </c>
      <c r="C3346" t="s">
        <v>12</v>
      </c>
      <c r="D3346" t="s">
        <v>14</v>
      </c>
      <c r="E3346">
        <v>1</v>
      </c>
      <c r="F3346">
        <v>0.99953266459266998</v>
      </c>
      <c r="G3346">
        <v>41.324923515319803</v>
      </c>
      <c r="H3346">
        <v>13</v>
      </c>
      <c r="I3346">
        <v>12</v>
      </c>
      <c r="J3346">
        <v>30</v>
      </c>
    </row>
    <row r="3347" spans="1:10" x14ac:dyDescent="0.25">
      <c r="A3347" t="s">
        <v>23</v>
      </c>
      <c r="B3347" t="s">
        <v>21</v>
      </c>
      <c r="C3347" t="s">
        <v>12</v>
      </c>
      <c r="D3347" t="s">
        <v>14</v>
      </c>
      <c r="E3347">
        <v>0.99503105590062102</v>
      </c>
      <c r="F3347">
        <v>0.99518563277863303</v>
      </c>
      <c r="G3347">
        <v>41.6535418033599</v>
      </c>
      <c r="H3347">
        <v>12</v>
      </c>
      <c r="I3347">
        <v>11</v>
      </c>
      <c r="J3347">
        <v>30</v>
      </c>
    </row>
    <row r="3348" spans="1:10" x14ac:dyDescent="0.25">
      <c r="A3348" t="s">
        <v>23</v>
      </c>
      <c r="B3348" t="s">
        <v>21</v>
      </c>
      <c r="C3348" t="s">
        <v>12</v>
      </c>
      <c r="D3348" t="s">
        <v>14</v>
      </c>
      <c r="E3348">
        <v>0.93788819875776397</v>
      </c>
      <c r="F3348">
        <v>0.94612242729490603</v>
      </c>
      <c r="G3348">
        <v>41.404642581939697</v>
      </c>
      <c r="H3348">
        <v>12</v>
      </c>
      <c r="I3348">
        <v>11</v>
      </c>
      <c r="J3348">
        <v>30</v>
      </c>
    </row>
    <row r="3349" spans="1:10" x14ac:dyDescent="0.25">
      <c r="A3349" t="s">
        <v>23</v>
      </c>
      <c r="B3349" t="s">
        <v>21</v>
      </c>
      <c r="C3349" t="s">
        <v>12</v>
      </c>
      <c r="D3349" t="s">
        <v>14</v>
      </c>
      <c r="E3349">
        <v>0.99503105590062102</v>
      </c>
      <c r="F3349">
        <v>0.99569358017913001</v>
      </c>
      <c r="G3349">
        <v>41.577490806579497</v>
      </c>
      <c r="H3349">
        <v>13</v>
      </c>
      <c r="I3349">
        <v>12</v>
      </c>
      <c r="J3349">
        <v>30</v>
      </c>
    </row>
    <row r="3350" spans="1:10" x14ac:dyDescent="0.25">
      <c r="A3350" t="s">
        <v>23</v>
      </c>
      <c r="B3350" t="s">
        <v>21</v>
      </c>
      <c r="C3350" t="s">
        <v>12</v>
      </c>
      <c r="D3350" t="s">
        <v>14</v>
      </c>
      <c r="E3350">
        <v>0.99875776397515503</v>
      </c>
      <c r="F3350">
        <v>0.99851239730086905</v>
      </c>
      <c r="G3350">
        <v>42.372428655624297</v>
      </c>
      <c r="H3350">
        <v>13</v>
      </c>
      <c r="I3350">
        <v>12</v>
      </c>
      <c r="J3350">
        <v>30</v>
      </c>
    </row>
    <row r="3351" spans="1:10" x14ac:dyDescent="0.25">
      <c r="A3351" t="s">
        <v>23</v>
      </c>
      <c r="B3351" t="s">
        <v>21</v>
      </c>
      <c r="C3351" t="s">
        <v>12</v>
      </c>
      <c r="D3351" t="s">
        <v>14</v>
      </c>
      <c r="E3351">
        <v>1</v>
      </c>
      <c r="F3351">
        <v>0.999753836818012</v>
      </c>
      <c r="G3351">
        <v>42.759211063385003</v>
      </c>
      <c r="H3351">
        <v>13</v>
      </c>
      <c r="I3351">
        <v>12</v>
      </c>
      <c r="J3351">
        <v>30</v>
      </c>
    </row>
    <row r="3352" spans="1:10" x14ac:dyDescent="0.25">
      <c r="A3352" t="s">
        <v>23</v>
      </c>
      <c r="B3352" t="s">
        <v>21</v>
      </c>
      <c r="C3352" t="s">
        <v>12</v>
      </c>
      <c r="D3352" t="s">
        <v>14</v>
      </c>
      <c r="E3352">
        <v>1</v>
      </c>
      <c r="F3352">
        <v>0.999568082981242</v>
      </c>
      <c r="G3352">
        <v>42.505428314208899</v>
      </c>
      <c r="H3352">
        <v>13</v>
      </c>
      <c r="I3352">
        <v>12</v>
      </c>
      <c r="J3352">
        <v>30</v>
      </c>
    </row>
    <row r="3353" spans="1:10" x14ac:dyDescent="0.25">
      <c r="A3353" t="s">
        <v>23</v>
      </c>
      <c r="B3353" t="s">
        <v>21</v>
      </c>
      <c r="C3353" t="s">
        <v>12</v>
      </c>
      <c r="D3353" t="s">
        <v>14</v>
      </c>
      <c r="E3353">
        <v>0.936645962732919</v>
      </c>
      <c r="F3353">
        <v>0.94539778891540305</v>
      </c>
      <c r="G3353">
        <v>42.644095897674497</v>
      </c>
      <c r="H3353">
        <v>13</v>
      </c>
      <c r="I3353">
        <v>12</v>
      </c>
      <c r="J3353">
        <v>30</v>
      </c>
    </row>
    <row r="3354" spans="1:10" x14ac:dyDescent="0.25">
      <c r="A3354" t="s">
        <v>23</v>
      </c>
      <c r="B3354" t="s">
        <v>21</v>
      </c>
      <c r="C3354" t="s">
        <v>12</v>
      </c>
      <c r="D3354" t="s">
        <v>14</v>
      </c>
      <c r="E3354">
        <v>0.99751552795030995</v>
      </c>
      <c r="F3354">
        <v>0.99726246797118001</v>
      </c>
      <c r="G3354">
        <v>42.826894044876099</v>
      </c>
      <c r="H3354">
        <v>14</v>
      </c>
      <c r="I3354">
        <v>15</v>
      </c>
      <c r="J3354">
        <v>30</v>
      </c>
    </row>
    <row r="3355" spans="1:10" x14ac:dyDescent="0.25">
      <c r="A3355" t="s">
        <v>23</v>
      </c>
      <c r="B3355" t="s">
        <v>21</v>
      </c>
      <c r="C3355" t="s">
        <v>12</v>
      </c>
      <c r="D3355" t="s">
        <v>14</v>
      </c>
      <c r="E3355">
        <v>0.99751552795030995</v>
      </c>
      <c r="F3355">
        <v>0.99707961907006204</v>
      </c>
      <c r="G3355">
        <v>42.983171463012603</v>
      </c>
      <c r="H3355">
        <v>13</v>
      </c>
      <c r="I3355">
        <v>14</v>
      </c>
      <c r="J3355">
        <v>30</v>
      </c>
    </row>
    <row r="3356" spans="1:10" x14ac:dyDescent="0.25">
      <c r="A3356" t="s">
        <v>23</v>
      </c>
      <c r="B3356" t="s">
        <v>21</v>
      </c>
      <c r="C3356" t="s">
        <v>12</v>
      </c>
      <c r="D3356" t="s">
        <v>14</v>
      </c>
      <c r="E3356">
        <v>0.99875776397515503</v>
      </c>
      <c r="F3356">
        <v>0.99830793720310496</v>
      </c>
      <c r="G3356">
        <v>43.708204030990601</v>
      </c>
      <c r="H3356">
        <v>14</v>
      </c>
      <c r="I3356">
        <v>15</v>
      </c>
      <c r="J3356">
        <v>30</v>
      </c>
    </row>
    <row r="3357" spans="1:10" x14ac:dyDescent="0.25">
      <c r="A3357" t="s">
        <v>23</v>
      </c>
      <c r="B3357" t="s">
        <v>21</v>
      </c>
      <c r="C3357" t="s">
        <v>12</v>
      </c>
      <c r="D3357" t="s">
        <v>14</v>
      </c>
      <c r="E3357">
        <v>0.99875776397515503</v>
      </c>
      <c r="F3357">
        <v>0.99848045426496801</v>
      </c>
      <c r="G3357">
        <v>43.697072982788001</v>
      </c>
      <c r="H3357">
        <v>13</v>
      </c>
      <c r="I3357">
        <v>14</v>
      </c>
      <c r="J3357">
        <v>30</v>
      </c>
    </row>
    <row r="3358" spans="1:10" x14ac:dyDescent="0.25">
      <c r="A3358" t="s">
        <v>23</v>
      </c>
      <c r="B3358" t="s">
        <v>21</v>
      </c>
      <c r="C3358" t="s">
        <v>12</v>
      </c>
      <c r="D3358" t="s">
        <v>14</v>
      </c>
      <c r="E3358">
        <v>0.945341614906832</v>
      </c>
      <c r="F3358">
        <v>0.95135751349478204</v>
      </c>
      <c r="G3358">
        <v>43.683659553527797</v>
      </c>
      <c r="H3358">
        <v>13</v>
      </c>
      <c r="I3358">
        <v>11</v>
      </c>
      <c r="J3358">
        <v>30</v>
      </c>
    </row>
    <row r="3359" spans="1:10" x14ac:dyDescent="0.25">
      <c r="A3359" t="s">
        <v>23</v>
      </c>
      <c r="B3359" t="s">
        <v>21</v>
      </c>
      <c r="C3359" t="s">
        <v>12</v>
      </c>
      <c r="D3359" t="s">
        <v>14</v>
      </c>
      <c r="E3359">
        <v>0.92670807453416104</v>
      </c>
      <c r="F3359">
        <v>0.93839053746881895</v>
      </c>
      <c r="G3359">
        <v>43.689334630966101</v>
      </c>
      <c r="H3359">
        <v>14</v>
      </c>
      <c r="I3359">
        <v>12</v>
      </c>
      <c r="J3359">
        <v>30</v>
      </c>
    </row>
    <row r="3360" spans="1:10" x14ac:dyDescent="0.25">
      <c r="A3360" t="s">
        <v>23</v>
      </c>
      <c r="B3360" t="s">
        <v>21</v>
      </c>
      <c r="C3360" t="s">
        <v>12</v>
      </c>
      <c r="D3360" t="s">
        <v>14</v>
      </c>
      <c r="E3360">
        <v>0.99627329192546499</v>
      </c>
      <c r="F3360">
        <v>0.99606447474397497</v>
      </c>
      <c r="G3360">
        <v>43.5808715820312</v>
      </c>
      <c r="H3360">
        <v>12</v>
      </c>
      <c r="I3360">
        <v>13</v>
      </c>
      <c r="J3360">
        <v>30</v>
      </c>
    </row>
    <row r="3361" spans="1:10" x14ac:dyDescent="0.25">
      <c r="A3361" t="s">
        <v>23</v>
      </c>
      <c r="B3361" t="s">
        <v>21</v>
      </c>
      <c r="C3361" t="s">
        <v>12</v>
      </c>
      <c r="D3361" t="s">
        <v>14</v>
      </c>
      <c r="E3361">
        <v>0.99751552795030995</v>
      </c>
      <c r="F3361">
        <v>0.99715529471291897</v>
      </c>
      <c r="G3361">
        <v>43.819616794586103</v>
      </c>
      <c r="H3361">
        <v>15</v>
      </c>
      <c r="I3361">
        <v>16</v>
      </c>
      <c r="J3361">
        <v>30</v>
      </c>
    </row>
    <row r="3362" spans="1:10" x14ac:dyDescent="0.25">
      <c r="A3362" t="s">
        <v>23</v>
      </c>
      <c r="B3362" t="s">
        <v>21</v>
      </c>
      <c r="C3362" t="s">
        <v>12</v>
      </c>
      <c r="D3362" t="s">
        <v>15</v>
      </c>
      <c r="E3362">
        <v>0</v>
      </c>
      <c r="F3362">
        <v>0.75</v>
      </c>
      <c r="G3362">
        <v>39.557619810104299</v>
      </c>
      <c r="H3362">
        <v>0</v>
      </c>
      <c r="I3362">
        <v>0</v>
      </c>
      <c r="J3362">
        <v>30</v>
      </c>
    </row>
    <row r="3363" spans="1:10" x14ac:dyDescent="0.25">
      <c r="A3363" t="s">
        <v>23</v>
      </c>
      <c r="B3363" t="s">
        <v>21</v>
      </c>
      <c r="C3363" t="s">
        <v>12</v>
      </c>
      <c r="D3363" t="s">
        <v>15</v>
      </c>
      <c r="E3363">
        <v>0</v>
      </c>
      <c r="F3363">
        <v>0.75</v>
      </c>
      <c r="G3363">
        <v>46.057533979415801</v>
      </c>
      <c r="H3363">
        <v>0</v>
      </c>
      <c r="I3363">
        <v>0</v>
      </c>
      <c r="J3363">
        <v>30</v>
      </c>
    </row>
    <row r="3364" spans="1:10" x14ac:dyDescent="0.25">
      <c r="A3364" t="s">
        <v>23</v>
      </c>
      <c r="B3364" t="s">
        <v>21</v>
      </c>
      <c r="C3364" t="s">
        <v>12</v>
      </c>
      <c r="D3364" t="s">
        <v>15</v>
      </c>
      <c r="E3364">
        <v>0</v>
      </c>
      <c r="F3364">
        <v>0.75</v>
      </c>
      <c r="G3364">
        <v>51.199983358383101</v>
      </c>
      <c r="H3364">
        <v>0</v>
      </c>
      <c r="I3364">
        <v>0</v>
      </c>
      <c r="J3364">
        <v>30</v>
      </c>
    </row>
    <row r="3365" spans="1:10" x14ac:dyDescent="0.25">
      <c r="A3365" t="s">
        <v>23</v>
      </c>
      <c r="B3365" t="s">
        <v>21</v>
      </c>
      <c r="C3365" t="s">
        <v>12</v>
      </c>
      <c r="D3365" t="s">
        <v>15</v>
      </c>
      <c r="E3365">
        <v>0</v>
      </c>
      <c r="F3365">
        <v>0.75</v>
      </c>
      <c r="G3365">
        <v>52.0704665184021</v>
      </c>
      <c r="H3365">
        <v>1</v>
      </c>
      <c r="I3365">
        <v>3</v>
      </c>
      <c r="J3365">
        <v>30</v>
      </c>
    </row>
    <row r="3366" spans="1:10" x14ac:dyDescent="0.25">
      <c r="A3366" t="s">
        <v>23</v>
      </c>
      <c r="B3366" t="s">
        <v>21</v>
      </c>
      <c r="C3366" t="s">
        <v>12</v>
      </c>
      <c r="D3366" t="s">
        <v>15</v>
      </c>
      <c r="E3366">
        <v>0</v>
      </c>
      <c r="F3366">
        <v>0.75</v>
      </c>
      <c r="G3366">
        <v>64.518846511840806</v>
      </c>
      <c r="H3366">
        <v>0</v>
      </c>
      <c r="I3366">
        <v>0</v>
      </c>
      <c r="J3366">
        <v>30</v>
      </c>
    </row>
    <row r="3367" spans="1:10" x14ac:dyDescent="0.25">
      <c r="A3367" t="s">
        <v>23</v>
      </c>
      <c r="B3367" t="s">
        <v>21</v>
      </c>
      <c r="C3367" t="s">
        <v>12</v>
      </c>
      <c r="D3367" t="s">
        <v>15</v>
      </c>
      <c r="E3367">
        <v>0</v>
      </c>
      <c r="F3367">
        <v>0.75</v>
      </c>
      <c r="G3367">
        <v>67.856236934661794</v>
      </c>
      <c r="H3367">
        <v>1</v>
      </c>
      <c r="I3367">
        <v>4</v>
      </c>
      <c r="J3367">
        <v>30</v>
      </c>
    </row>
    <row r="3368" spans="1:10" x14ac:dyDescent="0.25">
      <c r="A3368" t="s">
        <v>23</v>
      </c>
      <c r="B3368" t="s">
        <v>21</v>
      </c>
      <c r="C3368" t="s">
        <v>12</v>
      </c>
      <c r="D3368" t="s">
        <v>15</v>
      </c>
      <c r="E3368">
        <v>0</v>
      </c>
      <c r="F3368">
        <v>0.75</v>
      </c>
      <c r="G3368">
        <v>68.714468240737901</v>
      </c>
      <c r="H3368">
        <v>0</v>
      </c>
      <c r="I3368">
        <v>0</v>
      </c>
      <c r="J3368">
        <v>30</v>
      </c>
    </row>
    <row r="3369" spans="1:10" x14ac:dyDescent="0.25">
      <c r="A3369" t="s">
        <v>23</v>
      </c>
      <c r="B3369" t="s">
        <v>21</v>
      </c>
      <c r="C3369" t="s">
        <v>12</v>
      </c>
      <c r="D3369" t="s">
        <v>15</v>
      </c>
      <c r="E3369">
        <v>0</v>
      </c>
      <c r="F3369">
        <v>0.75</v>
      </c>
      <c r="G3369">
        <v>69.855694532394395</v>
      </c>
      <c r="H3369">
        <v>0</v>
      </c>
      <c r="I3369">
        <v>0</v>
      </c>
      <c r="J3369">
        <v>30</v>
      </c>
    </row>
    <row r="3370" spans="1:10" x14ac:dyDescent="0.25">
      <c r="A3370" t="s">
        <v>23</v>
      </c>
      <c r="B3370" t="s">
        <v>21</v>
      </c>
      <c r="C3370" t="s">
        <v>12</v>
      </c>
      <c r="D3370" t="s">
        <v>15</v>
      </c>
      <c r="E3370">
        <v>0</v>
      </c>
      <c r="F3370">
        <v>0.75</v>
      </c>
      <c r="G3370">
        <v>71.634180068969698</v>
      </c>
      <c r="H3370">
        <v>1</v>
      </c>
      <c r="I3370">
        <v>3</v>
      </c>
      <c r="J3370">
        <v>30</v>
      </c>
    </row>
    <row r="3371" spans="1:10" x14ac:dyDescent="0.25">
      <c r="A3371" t="s">
        <v>23</v>
      </c>
      <c r="B3371" t="s">
        <v>21</v>
      </c>
      <c r="C3371" t="s">
        <v>12</v>
      </c>
      <c r="D3371" t="s">
        <v>15</v>
      </c>
      <c r="E3371">
        <v>0</v>
      </c>
      <c r="F3371">
        <v>0.75</v>
      </c>
      <c r="G3371">
        <v>82.216291427612305</v>
      </c>
      <c r="H3371">
        <v>3</v>
      </c>
      <c r="I3371">
        <v>7</v>
      </c>
      <c r="J3371">
        <v>30</v>
      </c>
    </row>
    <row r="3372" spans="1:10" x14ac:dyDescent="0.25">
      <c r="A3372" t="s">
        <v>23</v>
      </c>
      <c r="B3372" t="s">
        <v>21</v>
      </c>
      <c r="C3372" t="s">
        <v>12</v>
      </c>
      <c r="D3372" t="s">
        <v>15</v>
      </c>
      <c r="E3372">
        <v>2.4844720496894398E-3</v>
      </c>
      <c r="F3372">
        <v>0.75011801242235998</v>
      </c>
      <c r="G3372">
        <v>86.815861225128103</v>
      </c>
      <c r="H3372">
        <v>4</v>
      </c>
      <c r="I3372">
        <v>9</v>
      </c>
      <c r="J3372">
        <v>30</v>
      </c>
    </row>
    <row r="3373" spans="1:10" x14ac:dyDescent="0.25">
      <c r="A3373" t="s">
        <v>23</v>
      </c>
      <c r="B3373" t="s">
        <v>21</v>
      </c>
      <c r="C3373" t="s">
        <v>12</v>
      </c>
      <c r="D3373" t="s">
        <v>15</v>
      </c>
      <c r="E3373">
        <v>1.2422360248447199E-3</v>
      </c>
      <c r="F3373">
        <v>0.75005900621118005</v>
      </c>
      <c r="G3373">
        <v>88.981095790862994</v>
      </c>
      <c r="H3373">
        <v>2</v>
      </c>
      <c r="I3373">
        <v>5</v>
      </c>
      <c r="J3373">
        <v>30</v>
      </c>
    </row>
    <row r="3374" spans="1:10" x14ac:dyDescent="0.25">
      <c r="A3374" t="s">
        <v>23</v>
      </c>
      <c r="B3374" t="s">
        <v>21</v>
      </c>
      <c r="C3374" t="s">
        <v>12</v>
      </c>
      <c r="D3374" t="s">
        <v>15</v>
      </c>
      <c r="E3374">
        <v>1.2422360248447199E-3</v>
      </c>
      <c r="F3374">
        <v>0.75005900621118005</v>
      </c>
      <c r="G3374">
        <v>90.124269723892198</v>
      </c>
      <c r="H3374">
        <v>3</v>
      </c>
      <c r="I3374">
        <v>8</v>
      </c>
      <c r="J3374">
        <v>30</v>
      </c>
    </row>
    <row r="3375" spans="1:10" x14ac:dyDescent="0.25">
      <c r="A3375" t="s">
        <v>23</v>
      </c>
      <c r="B3375" t="s">
        <v>21</v>
      </c>
      <c r="C3375" t="s">
        <v>12</v>
      </c>
      <c r="D3375" t="s">
        <v>15</v>
      </c>
      <c r="E3375">
        <v>0</v>
      </c>
      <c r="F3375">
        <v>0.75</v>
      </c>
      <c r="G3375">
        <v>96.512802362442002</v>
      </c>
      <c r="H3375">
        <v>4</v>
      </c>
      <c r="I3375">
        <v>9</v>
      </c>
      <c r="J3375">
        <v>30</v>
      </c>
    </row>
    <row r="3376" spans="1:10" x14ac:dyDescent="0.25">
      <c r="A3376" t="s">
        <v>23</v>
      </c>
      <c r="B3376" t="s">
        <v>21</v>
      </c>
      <c r="C3376" t="s">
        <v>12</v>
      </c>
      <c r="D3376" t="s">
        <v>15</v>
      </c>
      <c r="E3376">
        <v>2.4844720496894398E-3</v>
      </c>
      <c r="F3376">
        <v>0.75005279503105504</v>
      </c>
      <c r="G3376">
        <v>100.922377347946</v>
      </c>
      <c r="H3376">
        <v>5</v>
      </c>
      <c r="I3376">
        <v>11</v>
      </c>
      <c r="J3376">
        <v>30</v>
      </c>
    </row>
    <row r="3377" spans="1:10" x14ac:dyDescent="0.25">
      <c r="A3377" t="s">
        <v>23</v>
      </c>
      <c r="B3377" t="s">
        <v>21</v>
      </c>
      <c r="C3377" t="s">
        <v>12</v>
      </c>
      <c r="D3377" t="s">
        <v>15</v>
      </c>
      <c r="E3377">
        <v>1.2422360248447199E-3</v>
      </c>
      <c r="F3377">
        <v>0.75005900621118005</v>
      </c>
      <c r="G3377">
        <v>107.10673618316601</v>
      </c>
      <c r="H3377">
        <v>5</v>
      </c>
      <c r="I3377">
        <v>12</v>
      </c>
      <c r="J3377">
        <v>30</v>
      </c>
    </row>
    <row r="3378" spans="1:10" x14ac:dyDescent="0.25">
      <c r="A3378" t="s">
        <v>23</v>
      </c>
      <c r="B3378" t="s">
        <v>21</v>
      </c>
      <c r="C3378" t="s">
        <v>12</v>
      </c>
      <c r="D3378" t="s">
        <v>15</v>
      </c>
      <c r="E3378">
        <v>0</v>
      </c>
      <c r="F3378">
        <v>0.75</v>
      </c>
      <c r="G3378">
        <v>111.578937292099</v>
      </c>
      <c r="H3378">
        <v>5</v>
      </c>
      <c r="I3378">
        <v>11</v>
      </c>
      <c r="J3378">
        <v>30</v>
      </c>
    </row>
    <row r="3379" spans="1:10" x14ac:dyDescent="0.25">
      <c r="A3379" t="s">
        <v>23</v>
      </c>
      <c r="B3379" t="s">
        <v>21</v>
      </c>
      <c r="C3379" t="s">
        <v>12</v>
      </c>
      <c r="D3379" t="s">
        <v>15</v>
      </c>
      <c r="E3379">
        <v>0</v>
      </c>
      <c r="F3379">
        <v>0.75</v>
      </c>
      <c r="G3379">
        <v>113.53806924819899</v>
      </c>
      <c r="H3379">
        <v>6</v>
      </c>
      <c r="I3379">
        <v>13</v>
      </c>
      <c r="J3379">
        <v>30</v>
      </c>
    </row>
    <row r="3380" spans="1:10" x14ac:dyDescent="0.25">
      <c r="A3380" t="s">
        <v>23</v>
      </c>
      <c r="B3380" t="s">
        <v>21</v>
      </c>
      <c r="C3380" t="s">
        <v>12</v>
      </c>
      <c r="D3380" t="s">
        <v>15</v>
      </c>
      <c r="E3380">
        <v>7.4534161490683202E-3</v>
      </c>
      <c r="F3380">
        <v>0.75035403726708005</v>
      </c>
      <c r="G3380">
        <v>118.287469863891</v>
      </c>
      <c r="H3380">
        <v>5</v>
      </c>
      <c r="I3380">
        <v>13</v>
      </c>
      <c r="J3380">
        <v>30</v>
      </c>
    </row>
    <row r="3381" spans="1:10" x14ac:dyDescent="0.25">
      <c r="A3381" t="s">
        <v>23</v>
      </c>
      <c r="B3381" t="s">
        <v>21</v>
      </c>
      <c r="C3381" t="s">
        <v>12</v>
      </c>
      <c r="D3381" t="s">
        <v>15</v>
      </c>
      <c r="E3381">
        <v>3.7267080745341601E-3</v>
      </c>
      <c r="F3381">
        <v>0.75017701863354003</v>
      </c>
      <c r="G3381">
        <v>118.97442221641499</v>
      </c>
      <c r="H3381">
        <v>6</v>
      </c>
      <c r="I3381">
        <v>13</v>
      </c>
      <c r="J3381">
        <v>30</v>
      </c>
    </row>
    <row r="3382" spans="1:10" x14ac:dyDescent="0.25">
      <c r="A3382" t="s">
        <v>23</v>
      </c>
      <c r="B3382" t="s">
        <v>21</v>
      </c>
      <c r="C3382" t="s">
        <v>12</v>
      </c>
      <c r="D3382" t="s">
        <v>15</v>
      </c>
      <c r="E3382">
        <v>2.4844720496894398E-3</v>
      </c>
      <c r="F3382">
        <v>0.75011801242235998</v>
      </c>
      <c r="G3382">
        <v>121.226604700088</v>
      </c>
      <c r="H3382">
        <v>8</v>
      </c>
      <c r="I3382">
        <v>17</v>
      </c>
      <c r="J3382">
        <v>30</v>
      </c>
    </row>
    <row r="3383" spans="1:10" x14ac:dyDescent="0.25">
      <c r="A3383" t="s">
        <v>23</v>
      </c>
      <c r="B3383" t="s">
        <v>21</v>
      </c>
      <c r="C3383" t="s">
        <v>12</v>
      </c>
      <c r="D3383" t="s">
        <v>15</v>
      </c>
      <c r="E3383">
        <v>1.2422360248447199E-3</v>
      </c>
      <c r="F3383">
        <v>0.749993788819875</v>
      </c>
      <c r="G3383">
        <v>121.528811693191</v>
      </c>
      <c r="H3383">
        <v>5</v>
      </c>
      <c r="I3383">
        <v>11</v>
      </c>
      <c r="J3383">
        <v>30</v>
      </c>
    </row>
    <row r="3384" spans="1:10" x14ac:dyDescent="0.25">
      <c r="A3384" t="s">
        <v>23</v>
      </c>
      <c r="B3384" t="s">
        <v>21</v>
      </c>
      <c r="C3384" t="s">
        <v>12</v>
      </c>
      <c r="D3384" t="s">
        <v>15</v>
      </c>
      <c r="E3384">
        <v>0</v>
      </c>
      <c r="F3384">
        <v>0.75</v>
      </c>
      <c r="G3384">
        <v>128.06696534156799</v>
      </c>
      <c r="H3384">
        <v>5</v>
      </c>
      <c r="I3384">
        <v>12</v>
      </c>
      <c r="J3384">
        <v>30</v>
      </c>
    </row>
    <row r="3385" spans="1:10" x14ac:dyDescent="0.25">
      <c r="A3385" t="s">
        <v>23</v>
      </c>
      <c r="B3385" t="s">
        <v>21</v>
      </c>
      <c r="C3385" t="s">
        <v>12</v>
      </c>
      <c r="D3385" t="s">
        <v>15</v>
      </c>
      <c r="E3385">
        <v>1.2422360248447199E-3</v>
      </c>
      <c r="F3385">
        <v>0.75005900621118005</v>
      </c>
      <c r="G3385">
        <v>134.82933735847399</v>
      </c>
      <c r="H3385">
        <v>5</v>
      </c>
      <c r="I3385">
        <v>13</v>
      </c>
      <c r="J3385">
        <v>30</v>
      </c>
    </row>
    <row r="3386" spans="1:10" x14ac:dyDescent="0.25">
      <c r="A3386" t="s">
        <v>23</v>
      </c>
      <c r="B3386" t="s">
        <v>21</v>
      </c>
      <c r="C3386" t="s">
        <v>12</v>
      </c>
      <c r="D3386" t="s">
        <v>15</v>
      </c>
      <c r="E3386">
        <v>2.4844720496894398E-3</v>
      </c>
      <c r="F3386">
        <v>0.75005279503105504</v>
      </c>
      <c r="G3386">
        <v>134.93255805969201</v>
      </c>
      <c r="H3386">
        <v>9</v>
      </c>
      <c r="I3386">
        <v>20</v>
      </c>
      <c r="J3386">
        <v>30</v>
      </c>
    </row>
    <row r="3387" spans="1:10" x14ac:dyDescent="0.25">
      <c r="A3387" t="s">
        <v>23</v>
      </c>
      <c r="B3387" t="s">
        <v>21</v>
      </c>
      <c r="C3387" t="s">
        <v>12</v>
      </c>
      <c r="D3387" t="s">
        <v>15</v>
      </c>
      <c r="E3387">
        <v>0</v>
      </c>
      <c r="F3387">
        <v>0.74993478260869495</v>
      </c>
      <c r="G3387">
        <v>137.10483407974201</v>
      </c>
      <c r="H3387">
        <v>11</v>
      </c>
      <c r="I3387">
        <v>24</v>
      </c>
      <c r="J3387">
        <v>30</v>
      </c>
    </row>
    <row r="3388" spans="1:10" x14ac:dyDescent="0.25">
      <c r="A3388" t="s">
        <v>23</v>
      </c>
      <c r="B3388" t="s">
        <v>21</v>
      </c>
      <c r="C3388" t="s">
        <v>12</v>
      </c>
      <c r="D3388" t="s">
        <v>15</v>
      </c>
      <c r="E3388">
        <v>2.4844720496894398E-3</v>
      </c>
      <c r="F3388">
        <v>0.75005279503105504</v>
      </c>
      <c r="G3388">
        <v>138.227165222167</v>
      </c>
      <c r="H3388">
        <v>10</v>
      </c>
      <c r="I3388">
        <v>22</v>
      </c>
      <c r="J3388">
        <v>30</v>
      </c>
    </row>
    <row r="3389" spans="1:10" x14ac:dyDescent="0.25">
      <c r="A3389" t="s">
        <v>23</v>
      </c>
      <c r="B3389" t="s">
        <v>21</v>
      </c>
      <c r="C3389" t="s">
        <v>12</v>
      </c>
      <c r="D3389" t="s">
        <v>15</v>
      </c>
      <c r="E3389">
        <v>2.4844720496894398E-3</v>
      </c>
      <c r="F3389">
        <v>0.75011801242235998</v>
      </c>
      <c r="G3389">
        <v>138.361525058746</v>
      </c>
      <c r="H3389">
        <v>10</v>
      </c>
      <c r="I3389">
        <v>22</v>
      </c>
      <c r="J3389">
        <v>30</v>
      </c>
    </row>
    <row r="3390" spans="1:10" x14ac:dyDescent="0.25">
      <c r="A3390" t="s">
        <v>23</v>
      </c>
      <c r="B3390" t="s">
        <v>21</v>
      </c>
      <c r="C3390" t="s">
        <v>12</v>
      </c>
      <c r="D3390" t="s">
        <v>15</v>
      </c>
      <c r="E3390">
        <v>2.4844720496894398E-3</v>
      </c>
      <c r="F3390">
        <v>0.75011801242235998</v>
      </c>
      <c r="G3390">
        <v>139.643165826797</v>
      </c>
      <c r="H3390">
        <v>11</v>
      </c>
      <c r="I3390">
        <v>24</v>
      </c>
      <c r="J3390">
        <v>30</v>
      </c>
    </row>
    <row r="3391" spans="1:10" x14ac:dyDescent="0.25">
      <c r="A3391" t="s">
        <v>23</v>
      </c>
      <c r="B3391" t="s">
        <v>21</v>
      </c>
      <c r="C3391" t="s">
        <v>12</v>
      </c>
      <c r="D3391" t="s">
        <v>15</v>
      </c>
      <c r="E3391">
        <v>2.4844720496894398E-3</v>
      </c>
      <c r="F3391">
        <v>0.75011801242235998</v>
      </c>
      <c r="G3391">
        <v>147.778742790222</v>
      </c>
      <c r="H3391">
        <v>22</v>
      </c>
      <c r="I3391">
        <v>46</v>
      </c>
      <c r="J3391">
        <v>30</v>
      </c>
    </row>
    <row r="3392" spans="1:10" x14ac:dyDescent="0.25">
      <c r="A3392" t="s">
        <v>23</v>
      </c>
      <c r="B3392" t="s">
        <v>21</v>
      </c>
      <c r="C3392" t="s">
        <v>12</v>
      </c>
      <c r="D3392" t="s">
        <v>16</v>
      </c>
      <c r="E3392">
        <v>0</v>
      </c>
      <c r="F3392">
        <v>0.75</v>
      </c>
      <c r="G3392">
        <v>30.226082563400201</v>
      </c>
      <c r="H3392">
        <v>0</v>
      </c>
      <c r="I3392">
        <v>0</v>
      </c>
      <c r="J3392">
        <v>30</v>
      </c>
    </row>
    <row r="3393" spans="1:10" x14ac:dyDescent="0.25">
      <c r="A3393" t="s">
        <v>23</v>
      </c>
      <c r="B3393" t="s">
        <v>21</v>
      </c>
      <c r="C3393" t="s">
        <v>12</v>
      </c>
      <c r="D3393" t="s">
        <v>16</v>
      </c>
      <c r="E3393">
        <v>0</v>
      </c>
      <c r="F3393">
        <v>0.75</v>
      </c>
      <c r="G3393">
        <v>30.921911239623999</v>
      </c>
      <c r="H3393">
        <v>0</v>
      </c>
      <c r="I3393">
        <v>0</v>
      </c>
      <c r="J3393">
        <v>30</v>
      </c>
    </row>
    <row r="3394" spans="1:10" x14ac:dyDescent="0.25">
      <c r="A3394" t="s">
        <v>23</v>
      </c>
      <c r="B3394" t="s">
        <v>21</v>
      </c>
      <c r="C3394" t="s">
        <v>12</v>
      </c>
      <c r="D3394" t="s">
        <v>16</v>
      </c>
      <c r="E3394">
        <v>0</v>
      </c>
      <c r="F3394">
        <v>0.75</v>
      </c>
      <c r="G3394">
        <v>30.9563755989074</v>
      </c>
      <c r="H3394">
        <v>0</v>
      </c>
      <c r="I3394">
        <v>0</v>
      </c>
      <c r="J3394">
        <v>30</v>
      </c>
    </row>
    <row r="3395" spans="1:10" x14ac:dyDescent="0.25">
      <c r="A3395" t="s">
        <v>23</v>
      </c>
      <c r="B3395" t="s">
        <v>21</v>
      </c>
      <c r="C3395" t="s">
        <v>12</v>
      </c>
      <c r="D3395" t="s">
        <v>16</v>
      </c>
      <c r="E3395">
        <v>0</v>
      </c>
      <c r="F3395">
        <v>0.75</v>
      </c>
      <c r="G3395">
        <v>31.082450628280601</v>
      </c>
      <c r="H3395">
        <v>0</v>
      </c>
      <c r="I3395">
        <v>0</v>
      </c>
      <c r="J3395">
        <v>30</v>
      </c>
    </row>
    <row r="3396" spans="1:10" x14ac:dyDescent="0.25">
      <c r="A3396" t="s">
        <v>23</v>
      </c>
      <c r="B3396" t="s">
        <v>21</v>
      </c>
      <c r="C3396" t="s">
        <v>12</v>
      </c>
      <c r="D3396" t="s">
        <v>16</v>
      </c>
      <c r="E3396">
        <v>0</v>
      </c>
      <c r="F3396">
        <v>0.75</v>
      </c>
      <c r="G3396">
        <v>31.048116683959901</v>
      </c>
      <c r="H3396">
        <v>0</v>
      </c>
      <c r="I3396">
        <v>0</v>
      </c>
      <c r="J3396">
        <v>30</v>
      </c>
    </row>
    <row r="3397" spans="1:10" x14ac:dyDescent="0.25">
      <c r="A3397" t="s">
        <v>23</v>
      </c>
      <c r="B3397" t="s">
        <v>21</v>
      </c>
      <c r="C3397" t="s">
        <v>12</v>
      </c>
      <c r="D3397" t="s">
        <v>16</v>
      </c>
      <c r="E3397">
        <v>0</v>
      </c>
      <c r="F3397">
        <v>0.75</v>
      </c>
      <c r="G3397">
        <v>30.9963986873626</v>
      </c>
      <c r="H3397">
        <v>0</v>
      </c>
      <c r="I3397">
        <v>0</v>
      </c>
      <c r="J3397">
        <v>30</v>
      </c>
    </row>
    <row r="3398" spans="1:10" x14ac:dyDescent="0.25">
      <c r="A3398" t="s">
        <v>23</v>
      </c>
      <c r="B3398" t="s">
        <v>21</v>
      </c>
      <c r="C3398" t="s">
        <v>12</v>
      </c>
      <c r="D3398" t="s">
        <v>16</v>
      </c>
      <c r="E3398">
        <v>0</v>
      </c>
      <c r="F3398">
        <v>0.75</v>
      </c>
      <c r="G3398">
        <v>31.704142808914099</v>
      </c>
      <c r="H3398">
        <v>0</v>
      </c>
      <c r="I3398">
        <v>0</v>
      </c>
      <c r="J3398">
        <v>30</v>
      </c>
    </row>
    <row r="3399" spans="1:10" x14ac:dyDescent="0.25">
      <c r="A3399" t="s">
        <v>23</v>
      </c>
      <c r="B3399" t="s">
        <v>21</v>
      </c>
      <c r="C3399" t="s">
        <v>12</v>
      </c>
      <c r="D3399" t="s">
        <v>16</v>
      </c>
      <c r="E3399">
        <v>0</v>
      </c>
      <c r="F3399">
        <v>0.75</v>
      </c>
      <c r="G3399">
        <v>32.408403158187802</v>
      </c>
      <c r="H3399">
        <v>0</v>
      </c>
      <c r="I3399">
        <v>0</v>
      </c>
      <c r="J3399">
        <v>30</v>
      </c>
    </row>
    <row r="3400" spans="1:10" x14ac:dyDescent="0.25">
      <c r="A3400" t="s">
        <v>23</v>
      </c>
      <c r="B3400" t="s">
        <v>21</v>
      </c>
      <c r="C3400" t="s">
        <v>12</v>
      </c>
      <c r="D3400" t="s">
        <v>16</v>
      </c>
      <c r="E3400">
        <v>0</v>
      </c>
      <c r="F3400">
        <v>0.75</v>
      </c>
      <c r="G3400">
        <v>32.519535064697202</v>
      </c>
      <c r="H3400">
        <v>0</v>
      </c>
      <c r="I3400">
        <v>0</v>
      </c>
      <c r="J3400">
        <v>30</v>
      </c>
    </row>
    <row r="3401" spans="1:10" x14ac:dyDescent="0.25">
      <c r="A3401" t="s">
        <v>23</v>
      </c>
      <c r="B3401" t="s">
        <v>21</v>
      </c>
      <c r="C3401" t="s">
        <v>12</v>
      </c>
      <c r="D3401" t="s">
        <v>16</v>
      </c>
      <c r="E3401">
        <v>0</v>
      </c>
      <c r="F3401">
        <v>0.75</v>
      </c>
      <c r="G3401">
        <v>32.971499443054199</v>
      </c>
      <c r="H3401">
        <v>0</v>
      </c>
      <c r="I3401">
        <v>0</v>
      </c>
      <c r="J3401">
        <v>30</v>
      </c>
    </row>
    <row r="3402" spans="1:10" x14ac:dyDescent="0.25">
      <c r="A3402" t="s">
        <v>23</v>
      </c>
      <c r="B3402" t="s">
        <v>21</v>
      </c>
      <c r="C3402" t="s">
        <v>12</v>
      </c>
      <c r="D3402" t="s">
        <v>16</v>
      </c>
      <c r="E3402">
        <v>0</v>
      </c>
      <c r="F3402">
        <v>0.75</v>
      </c>
      <c r="G3402">
        <v>33.773805141448896</v>
      </c>
      <c r="H3402">
        <v>0</v>
      </c>
      <c r="I3402">
        <v>0</v>
      </c>
      <c r="J3402">
        <v>30</v>
      </c>
    </row>
    <row r="3403" spans="1:10" x14ac:dyDescent="0.25">
      <c r="A3403" t="s">
        <v>23</v>
      </c>
      <c r="B3403" t="s">
        <v>21</v>
      </c>
      <c r="C3403" t="s">
        <v>12</v>
      </c>
      <c r="D3403" t="s">
        <v>16</v>
      </c>
      <c r="E3403">
        <v>0</v>
      </c>
      <c r="F3403">
        <v>0.75</v>
      </c>
      <c r="G3403">
        <v>33.929251670837402</v>
      </c>
      <c r="H3403">
        <v>0</v>
      </c>
      <c r="I3403">
        <v>0</v>
      </c>
      <c r="J3403">
        <v>30</v>
      </c>
    </row>
    <row r="3404" spans="1:10" x14ac:dyDescent="0.25">
      <c r="A3404" t="s">
        <v>23</v>
      </c>
      <c r="B3404" t="s">
        <v>21</v>
      </c>
      <c r="C3404" t="s">
        <v>12</v>
      </c>
      <c r="D3404" t="s">
        <v>16</v>
      </c>
      <c r="E3404">
        <v>0</v>
      </c>
      <c r="F3404">
        <v>0.75</v>
      </c>
      <c r="G3404">
        <v>34.839504241943303</v>
      </c>
      <c r="H3404">
        <v>0</v>
      </c>
      <c r="I3404">
        <v>0</v>
      </c>
      <c r="J3404">
        <v>30</v>
      </c>
    </row>
    <row r="3405" spans="1:10" x14ac:dyDescent="0.25">
      <c r="A3405" t="s">
        <v>23</v>
      </c>
      <c r="B3405" t="s">
        <v>21</v>
      </c>
      <c r="C3405" t="s">
        <v>12</v>
      </c>
      <c r="D3405" t="s">
        <v>16</v>
      </c>
      <c r="E3405">
        <v>0</v>
      </c>
      <c r="F3405">
        <v>0.75</v>
      </c>
      <c r="G3405">
        <v>36.070696592330897</v>
      </c>
      <c r="H3405">
        <v>0</v>
      </c>
      <c r="I3405">
        <v>0</v>
      </c>
      <c r="J3405">
        <v>30</v>
      </c>
    </row>
    <row r="3406" spans="1:10" x14ac:dyDescent="0.25">
      <c r="A3406" t="s">
        <v>23</v>
      </c>
      <c r="B3406" t="s">
        <v>21</v>
      </c>
      <c r="C3406" t="s">
        <v>12</v>
      </c>
      <c r="D3406" t="s">
        <v>16</v>
      </c>
      <c r="E3406">
        <v>0</v>
      </c>
      <c r="F3406">
        <v>0.75</v>
      </c>
      <c r="G3406">
        <v>36.461167335510197</v>
      </c>
      <c r="H3406">
        <v>0</v>
      </c>
      <c r="I3406">
        <v>0</v>
      </c>
      <c r="J3406">
        <v>30</v>
      </c>
    </row>
    <row r="3407" spans="1:10" x14ac:dyDescent="0.25">
      <c r="A3407" t="s">
        <v>23</v>
      </c>
      <c r="B3407" t="s">
        <v>21</v>
      </c>
      <c r="C3407" t="s">
        <v>12</v>
      </c>
      <c r="D3407" t="s">
        <v>16</v>
      </c>
      <c r="E3407">
        <v>0</v>
      </c>
      <c r="F3407">
        <v>0.75</v>
      </c>
      <c r="G3407">
        <v>37.607498168945298</v>
      </c>
      <c r="H3407">
        <v>0</v>
      </c>
      <c r="I3407">
        <v>0</v>
      </c>
      <c r="J3407">
        <v>30</v>
      </c>
    </row>
    <row r="3408" spans="1:10" x14ac:dyDescent="0.25">
      <c r="A3408" t="s">
        <v>23</v>
      </c>
      <c r="B3408" t="s">
        <v>21</v>
      </c>
      <c r="C3408" t="s">
        <v>12</v>
      </c>
      <c r="D3408" t="s">
        <v>16</v>
      </c>
      <c r="E3408">
        <v>0</v>
      </c>
      <c r="F3408">
        <v>0.75</v>
      </c>
      <c r="G3408">
        <v>38.403442859649601</v>
      </c>
      <c r="H3408">
        <v>0</v>
      </c>
      <c r="I3408">
        <v>0</v>
      </c>
      <c r="J3408">
        <v>30</v>
      </c>
    </row>
    <row r="3409" spans="1:10" x14ac:dyDescent="0.25">
      <c r="A3409" t="s">
        <v>23</v>
      </c>
      <c r="B3409" t="s">
        <v>21</v>
      </c>
      <c r="C3409" t="s">
        <v>12</v>
      </c>
      <c r="D3409" t="s">
        <v>16</v>
      </c>
      <c r="E3409">
        <v>0</v>
      </c>
      <c r="F3409">
        <v>0.75</v>
      </c>
      <c r="G3409">
        <v>39.156539916992102</v>
      </c>
      <c r="H3409">
        <v>0</v>
      </c>
      <c r="I3409">
        <v>0</v>
      </c>
      <c r="J3409">
        <v>30</v>
      </c>
    </row>
    <row r="3410" spans="1:10" x14ac:dyDescent="0.25">
      <c r="A3410" t="s">
        <v>23</v>
      </c>
      <c r="B3410" t="s">
        <v>21</v>
      </c>
      <c r="C3410" t="s">
        <v>12</v>
      </c>
      <c r="D3410" t="s">
        <v>16</v>
      </c>
      <c r="E3410">
        <v>0</v>
      </c>
      <c r="F3410">
        <v>0.75</v>
      </c>
      <c r="G3410">
        <v>38.719309091567901</v>
      </c>
      <c r="H3410">
        <v>0</v>
      </c>
      <c r="I3410">
        <v>0</v>
      </c>
      <c r="J3410">
        <v>30</v>
      </c>
    </row>
    <row r="3411" spans="1:10" x14ac:dyDescent="0.25">
      <c r="A3411" t="s">
        <v>23</v>
      </c>
      <c r="B3411" t="s">
        <v>21</v>
      </c>
      <c r="C3411" t="s">
        <v>12</v>
      </c>
      <c r="D3411" t="s">
        <v>16</v>
      </c>
      <c r="E3411">
        <v>0</v>
      </c>
      <c r="F3411">
        <v>0.75</v>
      </c>
      <c r="G3411">
        <v>38.892297267913797</v>
      </c>
      <c r="H3411">
        <v>0</v>
      </c>
      <c r="I3411">
        <v>0</v>
      </c>
      <c r="J3411">
        <v>30</v>
      </c>
    </row>
    <row r="3412" spans="1:10" x14ac:dyDescent="0.25">
      <c r="A3412" t="s">
        <v>23</v>
      </c>
      <c r="B3412" t="s">
        <v>21</v>
      </c>
      <c r="C3412" t="s">
        <v>12</v>
      </c>
      <c r="D3412" t="s">
        <v>16</v>
      </c>
      <c r="E3412">
        <v>0</v>
      </c>
      <c r="F3412">
        <v>0.75</v>
      </c>
      <c r="G3412">
        <v>39.173863887786801</v>
      </c>
      <c r="H3412">
        <v>0</v>
      </c>
      <c r="I3412">
        <v>0</v>
      </c>
      <c r="J3412">
        <v>30</v>
      </c>
    </row>
    <row r="3413" spans="1:10" x14ac:dyDescent="0.25">
      <c r="A3413" t="s">
        <v>23</v>
      </c>
      <c r="B3413" t="s">
        <v>21</v>
      </c>
      <c r="C3413" t="s">
        <v>12</v>
      </c>
      <c r="D3413" t="s">
        <v>16</v>
      </c>
      <c r="E3413">
        <v>0</v>
      </c>
      <c r="F3413">
        <v>0.75</v>
      </c>
      <c r="G3413">
        <v>38.990074396133402</v>
      </c>
      <c r="H3413">
        <v>0</v>
      </c>
      <c r="I3413">
        <v>0</v>
      </c>
      <c r="J3413">
        <v>30</v>
      </c>
    </row>
    <row r="3414" spans="1:10" x14ac:dyDescent="0.25">
      <c r="A3414" t="s">
        <v>23</v>
      </c>
      <c r="B3414" t="s">
        <v>21</v>
      </c>
      <c r="C3414" t="s">
        <v>12</v>
      </c>
      <c r="D3414" t="s">
        <v>16</v>
      </c>
      <c r="E3414">
        <v>0</v>
      </c>
      <c r="F3414">
        <v>0.75</v>
      </c>
      <c r="G3414">
        <v>39.538126707076998</v>
      </c>
      <c r="H3414">
        <v>0</v>
      </c>
      <c r="I3414">
        <v>0</v>
      </c>
      <c r="J3414">
        <v>30</v>
      </c>
    </row>
    <row r="3415" spans="1:10" x14ac:dyDescent="0.25">
      <c r="A3415" t="s">
        <v>23</v>
      </c>
      <c r="B3415" t="s">
        <v>21</v>
      </c>
      <c r="C3415" t="s">
        <v>12</v>
      </c>
      <c r="D3415" t="s">
        <v>16</v>
      </c>
      <c r="E3415">
        <v>0</v>
      </c>
      <c r="F3415">
        <v>0.75</v>
      </c>
      <c r="G3415">
        <v>39.090804815292302</v>
      </c>
      <c r="H3415">
        <v>0</v>
      </c>
      <c r="I3415">
        <v>0</v>
      </c>
      <c r="J3415">
        <v>30</v>
      </c>
    </row>
    <row r="3416" spans="1:10" x14ac:dyDescent="0.25">
      <c r="A3416" t="s">
        <v>23</v>
      </c>
      <c r="B3416" t="s">
        <v>21</v>
      </c>
      <c r="C3416" t="s">
        <v>12</v>
      </c>
      <c r="D3416" t="s">
        <v>16</v>
      </c>
      <c r="E3416">
        <v>0</v>
      </c>
      <c r="F3416">
        <v>0.75</v>
      </c>
      <c r="G3416">
        <v>39.457668781280503</v>
      </c>
      <c r="H3416">
        <v>0</v>
      </c>
      <c r="I3416">
        <v>0</v>
      </c>
      <c r="J3416">
        <v>30</v>
      </c>
    </row>
    <row r="3417" spans="1:10" x14ac:dyDescent="0.25">
      <c r="A3417" t="s">
        <v>23</v>
      </c>
      <c r="B3417" t="s">
        <v>21</v>
      </c>
      <c r="C3417" t="s">
        <v>12</v>
      </c>
      <c r="D3417" t="s">
        <v>16</v>
      </c>
      <c r="E3417">
        <v>0</v>
      </c>
      <c r="F3417">
        <v>0.75</v>
      </c>
      <c r="G3417">
        <v>39.2763638496398</v>
      </c>
      <c r="H3417">
        <v>0</v>
      </c>
      <c r="I3417">
        <v>0</v>
      </c>
      <c r="J3417">
        <v>30</v>
      </c>
    </row>
    <row r="3418" spans="1:10" x14ac:dyDescent="0.25">
      <c r="A3418" t="s">
        <v>23</v>
      </c>
      <c r="B3418" t="s">
        <v>21</v>
      </c>
      <c r="C3418" t="s">
        <v>12</v>
      </c>
      <c r="D3418" t="s">
        <v>16</v>
      </c>
      <c r="E3418">
        <v>0</v>
      </c>
      <c r="F3418">
        <v>0.75</v>
      </c>
      <c r="G3418">
        <v>39.3665289878845</v>
      </c>
      <c r="H3418">
        <v>0</v>
      </c>
      <c r="I3418">
        <v>0</v>
      </c>
      <c r="J3418">
        <v>30</v>
      </c>
    </row>
    <row r="3419" spans="1:10" x14ac:dyDescent="0.25">
      <c r="A3419" t="s">
        <v>23</v>
      </c>
      <c r="B3419" t="s">
        <v>21</v>
      </c>
      <c r="C3419" t="s">
        <v>12</v>
      </c>
      <c r="D3419" t="s">
        <v>16</v>
      </c>
      <c r="E3419">
        <v>0</v>
      </c>
      <c r="F3419">
        <v>0.75</v>
      </c>
      <c r="G3419">
        <v>39.810017585754302</v>
      </c>
      <c r="H3419">
        <v>0</v>
      </c>
      <c r="I3419">
        <v>0</v>
      </c>
      <c r="J3419">
        <v>30</v>
      </c>
    </row>
    <row r="3420" spans="1:10" x14ac:dyDescent="0.25">
      <c r="A3420" t="s">
        <v>23</v>
      </c>
      <c r="B3420" t="s">
        <v>21</v>
      </c>
      <c r="C3420" t="s">
        <v>12</v>
      </c>
      <c r="D3420" t="s">
        <v>16</v>
      </c>
      <c r="E3420">
        <v>0</v>
      </c>
      <c r="F3420">
        <v>0.75</v>
      </c>
      <c r="G3420">
        <v>39.792789936065603</v>
      </c>
      <c r="H3420">
        <v>0</v>
      </c>
      <c r="I3420">
        <v>0</v>
      </c>
      <c r="J3420">
        <v>30</v>
      </c>
    </row>
    <row r="3421" spans="1:10" x14ac:dyDescent="0.25">
      <c r="A3421" t="s">
        <v>23</v>
      </c>
      <c r="B3421" t="s">
        <v>21</v>
      </c>
      <c r="C3421" t="s">
        <v>12</v>
      </c>
      <c r="D3421" t="s">
        <v>16</v>
      </c>
      <c r="E3421">
        <v>0</v>
      </c>
      <c r="F3421">
        <v>0.75</v>
      </c>
      <c r="G3421">
        <v>39.574996471405001</v>
      </c>
      <c r="H3421">
        <v>0</v>
      </c>
      <c r="I3421">
        <v>0</v>
      </c>
      <c r="J3421">
        <v>30</v>
      </c>
    </row>
    <row r="3422" spans="1:10" x14ac:dyDescent="0.25">
      <c r="A3422" t="s">
        <v>23</v>
      </c>
      <c r="B3422" t="s">
        <v>21</v>
      </c>
      <c r="C3422" t="s">
        <v>12</v>
      </c>
      <c r="D3422" t="s">
        <v>17</v>
      </c>
      <c r="E3422">
        <v>0.839751552795031</v>
      </c>
      <c r="F3422">
        <v>0.87387027904136605</v>
      </c>
      <c r="G3422">
        <v>13768.8484680652</v>
      </c>
      <c r="H3422">
        <v>1007</v>
      </c>
      <c r="I3422">
        <v>918</v>
      </c>
      <c r="J3422">
        <v>30</v>
      </c>
    </row>
    <row r="3423" spans="1:10" x14ac:dyDescent="0.25">
      <c r="A3423" t="s">
        <v>23</v>
      </c>
      <c r="B3423" t="s">
        <v>21</v>
      </c>
      <c r="C3423" t="s">
        <v>12</v>
      </c>
      <c r="D3423" t="s">
        <v>17</v>
      </c>
      <c r="E3423">
        <v>0.81490683229813599</v>
      </c>
      <c r="F3423">
        <v>0.86540868940298099</v>
      </c>
      <c r="G3423">
        <v>14265.639312982499</v>
      </c>
      <c r="H3423">
        <v>986</v>
      </c>
      <c r="I3423">
        <v>891</v>
      </c>
      <c r="J3423">
        <v>30</v>
      </c>
    </row>
    <row r="3424" spans="1:10" x14ac:dyDescent="0.25">
      <c r="A3424" t="s">
        <v>23</v>
      </c>
      <c r="B3424" t="s">
        <v>21</v>
      </c>
      <c r="C3424" t="s">
        <v>12</v>
      </c>
      <c r="D3424" t="s">
        <v>17</v>
      </c>
      <c r="E3424">
        <v>0.831055900621118</v>
      </c>
      <c r="F3424">
        <v>0.86449570144894405</v>
      </c>
      <c r="G3424">
        <v>14307.723872423099</v>
      </c>
      <c r="H3424">
        <v>1017</v>
      </c>
      <c r="I3424">
        <v>900</v>
      </c>
      <c r="J3424">
        <v>30</v>
      </c>
    </row>
    <row r="3425" spans="1:10" x14ac:dyDescent="0.25">
      <c r="A3425" t="s">
        <v>23</v>
      </c>
      <c r="B3425" t="s">
        <v>21</v>
      </c>
      <c r="C3425" t="s">
        <v>12</v>
      </c>
      <c r="D3425" t="s">
        <v>17</v>
      </c>
      <c r="E3425">
        <v>0.80496894409937803</v>
      </c>
      <c r="F3425">
        <v>0.84839620953242201</v>
      </c>
      <c r="G3425">
        <v>14441.104183912201</v>
      </c>
      <c r="H3425">
        <v>987</v>
      </c>
      <c r="I3425">
        <v>897</v>
      </c>
      <c r="J3425">
        <v>30</v>
      </c>
    </row>
    <row r="3426" spans="1:10" x14ac:dyDescent="0.25">
      <c r="A3426" t="s">
        <v>23</v>
      </c>
      <c r="B3426" t="s">
        <v>21</v>
      </c>
      <c r="C3426" t="s">
        <v>12</v>
      </c>
      <c r="D3426" t="s">
        <v>17</v>
      </c>
      <c r="E3426">
        <v>0.81739130434782603</v>
      </c>
      <c r="F3426">
        <v>0.86195613368496804</v>
      </c>
      <c r="G3426">
        <v>14450.9104804992</v>
      </c>
      <c r="H3426">
        <v>999</v>
      </c>
      <c r="I3426">
        <v>918</v>
      </c>
      <c r="J3426">
        <v>30</v>
      </c>
    </row>
    <row r="3427" spans="1:10" x14ac:dyDescent="0.25">
      <c r="A3427" t="s">
        <v>23</v>
      </c>
      <c r="B3427" t="s">
        <v>21</v>
      </c>
      <c r="C3427" t="s">
        <v>12</v>
      </c>
      <c r="D3427" t="s">
        <v>17</v>
      </c>
      <c r="E3427">
        <v>0.80496894409937803</v>
      </c>
      <c r="F3427">
        <v>0.85464998485962695</v>
      </c>
      <c r="G3427">
        <v>14501.520733356399</v>
      </c>
      <c r="H3427">
        <v>993</v>
      </c>
      <c r="I3427">
        <v>928</v>
      </c>
      <c r="J3427">
        <v>30</v>
      </c>
    </row>
    <row r="3428" spans="1:10" x14ac:dyDescent="0.25">
      <c r="A3428" t="s">
        <v>23</v>
      </c>
      <c r="B3428" t="s">
        <v>21</v>
      </c>
      <c r="C3428" t="s">
        <v>12</v>
      </c>
      <c r="D3428" t="s">
        <v>17</v>
      </c>
      <c r="E3428">
        <v>0.81118012422360197</v>
      </c>
      <c r="F3428">
        <v>0.85638817072558904</v>
      </c>
      <c r="G3428">
        <v>14503.591749429699</v>
      </c>
      <c r="H3428">
        <v>1055</v>
      </c>
      <c r="I3428">
        <v>953</v>
      </c>
      <c r="J3428">
        <v>30</v>
      </c>
    </row>
    <row r="3429" spans="1:10" x14ac:dyDescent="0.25">
      <c r="A3429" t="s">
        <v>23</v>
      </c>
      <c r="B3429" t="s">
        <v>21</v>
      </c>
      <c r="C3429" t="s">
        <v>12</v>
      </c>
      <c r="D3429" t="s">
        <v>17</v>
      </c>
      <c r="E3429">
        <v>0.81987577639751497</v>
      </c>
      <c r="F3429">
        <v>0.85717314110894405</v>
      </c>
      <c r="G3429">
        <v>14582.7389564514</v>
      </c>
      <c r="H3429">
        <v>1018</v>
      </c>
      <c r="I3429">
        <v>935</v>
      </c>
      <c r="J3429">
        <v>30</v>
      </c>
    </row>
    <row r="3430" spans="1:10" x14ac:dyDescent="0.25">
      <c r="A3430" t="s">
        <v>23</v>
      </c>
      <c r="B3430" t="s">
        <v>21</v>
      </c>
      <c r="C3430" t="s">
        <v>12</v>
      </c>
      <c r="D3430" t="s">
        <v>17</v>
      </c>
      <c r="E3430">
        <v>0.83354037267080705</v>
      </c>
      <c r="F3430">
        <v>0.86647121852099296</v>
      </c>
      <c r="G3430">
        <v>14684.066329956</v>
      </c>
      <c r="H3430">
        <v>999</v>
      </c>
      <c r="I3430">
        <v>913</v>
      </c>
      <c r="J3430">
        <v>30</v>
      </c>
    </row>
    <row r="3431" spans="1:10" x14ac:dyDescent="0.25">
      <c r="A3431" t="s">
        <v>23</v>
      </c>
      <c r="B3431" t="s">
        <v>21</v>
      </c>
      <c r="C3431" t="s">
        <v>12</v>
      </c>
      <c r="D3431" t="s">
        <v>17</v>
      </c>
      <c r="E3431">
        <v>0.839751552795031</v>
      </c>
      <c r="F3431">
        <v>0.86213592962757701</v>
      </c>
      <c r="G3431">
        <v>14770.536798953999</v>
      </c>
      <c r="H3431">
        <v>1004</v>
      </c>
      <c r="I3431">
        <v>913</v>
      </c>
      <c r="J3431">
        <v>30</v>
      </c>
    </row>
    <row r="3432" spans="1:10" x14ac:dyDescent="0.25">
      <c r="A3432" t="s">
        <v>23</v>
      </c>
      <c r="B3432" t="s">
        <v>21</v>
      </c>
      <c r="C3432" t="s">
        <v>12</v>
      </c>
      <c r="D3432" t="s">
        <v>17</v>
      </c>
      <c r="E3432">
        <v>0.81490683229813599</v>
      </c>
      <c r="F3432">
        <v>0.85760558015900601</v>
      </c>
      <c r="G3432">
        <v>14774.4961514472</v>
      </c>
      <c r="H3432">
        <v>1023</v>
      </c>
      <c r="I3432">
        <v>944</v>
      </c>
      <c r="J3432">
        <v>30</v>
      </c>
    </row>
    <row r="3433" spans="1:10" x14ac:dyDescent="0.25">
      <c r="A3433" t="s">
        <v>23</v>
      </c>
      <c r="B3433" t="s">
        <v>21</v>
      </c>
      <c r="C3433" t="s">
        <v>12</v>
      </c>
      <c r="D3433" t="s">
        <v>17</v>
      </c>
      <c r="E3433">
        <v>0.81366459627329102</v>
      </c>
      <c r="F3433">
        <v>0.85566552436670795</v>
      </c>
      <c r="G3433">
        <v>14875.776165008499</v>
      </c>
      <c r="H3433">
        <v>983</v>
      </c>
      <c r="I3433">
        <v>898</v>
      </c>
      <c r="J3433">
        <v>30</v>
      </c>
    </row>
    <row r="3434" spans="1:10" x14ac:dyDescent="0.25">
      <c r="A3434" t="s">
        <v>23</v>
      </c>
      <c r="B3434" t="s">
        <v>21</v>
      </c>
      <c r="C3434" t="s">
        <v>12</v>
      </c>
      <c r="D3434" t="s">
        <v>17</v>
      </c>
      <c r="E3434">
        <v>0.80745341614906796</v>
      </c>
      <c r="F3434">
        <v>0.85389723998571398</v>
      </c>
      <c r="G3434">
        <v>14895.1735413074</v>
      </c>
      <c r="H3434">
        <v>982</v>
      </c>
      <c r="I3434">
        <v>909</v>
      </c>
      <c r="J3434">
        <v>30</v>
      </c>
    </row>
    <row r="3435" spans="1:10" x14ac:dyDescent="0.25">
      <c r="A3435" t="s">
        <v>23</v>
      </c>
      <c r="B3435" t="s">
        <v>21</v>
      </c>
      <c r="C3435" t="s">
        <v>12</v>
      </c>
      <c r="D3435" t="s">
        <v>17</v>
      </c>
      <c r="E3435">
        <v>0.81490683229813599</v>
      </c>
      <c r="F3435">
        <v>0.85785998483080705</v>
      </c>
      <c r="G3435">
        <v>14946.9010663032</v>
      </c>
      <c r="H3435">
        <v>1026</v>
      </c>
      <c r="I3435">
        <v>922</v>
      </c>
      <c r="J3435">
        <v>30</v>
      </c>
    </row>
    <row r="3436" spans="1:10" x14ac:dyDescent="0.25">
      <c r="A3436" t="s">
        <v>23</v>
      </c>
      <c r="B3436" t="s">
        <v>21</v>
      </c>
      <c r="C3436" t="s">
        <v>12</v>
      </c>
      <c r="D3436" t="s">
        <v>17</v>
      </c>
      <c r="E3436">
        <v>0.81739130434782603</v>
      </c>
      <c r="F3436">
        <v>0.86052617470832204</v>
      </c>
      <c r="G3436">
        <v>14969.6539545059</v>
      </c>
      <c r="H3436">
        <v>983</v>
      </c>
      <c r="I3436">
        <v>905</v>
      </c>
      <c r="J3436">
        <v>30</v>
      </c>
    </row>
    <row r="3437" spans="1:10" x14ac:dyDescent="0.25">
      <c r="A3437" t="s">
        <v>23</v>
      </c>
      <c r="B3437" t="s">
        <v>21</v>
      </c>
      <c r="C3437" t="s">
        <v>12</v>
      </c>
      <c r="D3437" t="s">
        <v>17</v>
      </c>
      <c r="E3437">
        <v>0.81614906832298095</v>
      </c>
      <c r="F3437">
        <v>0.85785393285490696</v>
      </c>
      <c r="G3437">
        <v>14976.017350673599</v>
      </c>
      <c r="H3437">
        <v>999</v>
      </c>
      <c r="I3437">
        <v>909</v>
      </c>
      <c r="J3437">
        <v>30</v>
      </c>
    </row>
    <row r="3438" spans="1:10" x14ac:dyDescent="0.25">
      <c r="A3438" t="s">
        <v>23</v>
      </c>
      <c r="B3438" t="s">
        <v>21</v>
      </c>
      <c r="C3438" t="s">
        <v>12</v>
      </c>
      <c r="D3438" t="s">
        <v>17</v>
      </c>
      <c r="E3438">
        <v>0.80124223602484401</v>
      </c>
      <c r="F3438">
        <v>0.85670029891714305</v>
      </c>
      <c r="G3438">
        <v>15001.105975389401</v>
      </c>
      <c r="H3438">
        <v>974</v>
      </c>
      <c r="I3438">
        <v>888</v>
      </c>
      <c r="J3438">
        <v>30</v>
      </c>
    </row>
    <row r="3439" spans="1:10" x14ac:dyDescent="0.25">
      <c r="A3439" t="s">
        <v>23</v>
      </c>
      <c r="B3439" t="s">
        <v>21</v>
      </c>
      <c r="C3439" t="s">
        <v>12</v>
      </c>
      <c r="D3439" t="s">
        <v>17</v>
      </c>
      <c r="E3439">
        <v>0.83354037267080705</v>
      </c>
      <c r="F3439">
        <v>0.86904371138645897</v>
      </c>
      <c r="G3439">
        <v>15006.5330047607</v>
      </c>
      <c r="H3439">
        <v>996</v>
      </c>
      <c r="I3439">
        <v>899</v>
      </c>
      <c r="J3439">
        <v>30</v>
      </c>
    </row>
    <row r="3440" spans="1:10" x14ac:dyDescent="0.25">
      <c r="A3440" t="s">
        <v>23</v>
      </c>
      <c r="B3440" t="s">
        <v>21</v>
      </c>
      <c r="C3440" t="s">
        <v>12</v>
      </c>
      <c r="D3440" t="s">
        <v>17</v>
      </c>
      <c r="E3440">
        <v>0.81118012422360197</v>
      </c>
      <c r="F3440">
        <v>0.85553482731043395</v>
      </c>
      <c r="G3440">
        <v>15010.938437938599</v>
      </c>
      <c r="H3440">
        <v>991</v>
      </c>
      <c r="I3440">
        <v>905</v>
      </c>
      <c r="J3440">
        <v>30</v>
      </c>
    </row>
    <row r="3441" spans="1:10" x14ac:dyDescent="0.25">
      <c r="A3441" t="s">
        <v>23</v>
      </c>
      <c r="B3441" t="s">
        <v>21</v>
      </c>
      <c r="C3441" t="s">
        <v>12</v>
      </c>
      <c r="D3441" t="s">
        <v>17</v>
      </c>
      <c r="E3441">
        <v>0.81490683229813599</v>
      </c>
      <c r="F3441">
        <v>0.85408155163192501</v>
      </c>
      <c r="G3441">
        <v>15015.168066263101</v>
      </c>
      <c r="H3441">
        <v>985</v>
      </c>
      <c r="I3441">
        <v>910</v>
      </c>
      <c r="J3441">
        <v>30</v>
      </c>
    </row>
    <row r="3442" spans="1:10" x14ac:dyDescent="0.25">
      <c r="A3442" t="s">
        <v>23</v>
      </c>
      <c r="B3442" t="s">
        <v>21</v>
      </c>
      <c r="C3442" t="s">
        <v>12</v>
      </c>
      <c r="D3442" t="s">
        <v>17</v>
      </c>
      <c r="E3442">
        <v>0.82608695652173902</v>
      </c>
      <c r="F3442">
        <v>0.85938304200397497</v>
      </c>
      <c r="G3442">
        <v>15017.901483297301</v>
      </c>
      <c r="H3442">
        <v>940</v>
      </c>
      <c r="I3442">
        <v>886</v>
      </c>
      <c r="J3442">
        <v>30</v>
      </c>
    </row>
    <row r="3443" spans="1:10" x14ac:dyDescent="0.25">
      <c r="A3443" t="s">
        <v>23</v>
      </c>
      <c r="B3443" t="s">
        <v>21</v>
      </c>
      <c r="C3443" t="s">
        <v>12</v>
      </c>
      <c r="D3443" t="s">
        <v>17</v>
      </c>
      <c r="E3443">
        <v>0.83229813664596197</v>
      </c>
      <c r="F3443">
        <v>0.85765864834310501</v>
      </c>
      <c r="G3443">
        <v>15027.0979955196</v>
      </c>
      <c r="H3443">
        <v>1011</v>
      </c>
      <c r="I3443">
        <v>914</v>
      </c>
      <c r="J3443">
        <v>30</v>
      </c>
    </row>
    <row r="3444" spans="1:10" x14ac:dyDescent="0.25">
      <c r="A3444" t="s">
        <v>23</v>
      </c>
      <c r="B3444" t="s">
        <v>21</v>
      </c>
      <c r="C3444" t="s">
        <v>12</v>
      </c>
      <c r="D3444" t="s">
        <v>17</v>
      </c>
      <c r="E3444">
        <v>0.79503105590062095</v>
      </c>
      <c r="F3444">
        <v>0.84620431433279497</v>
      </c>
      <c r="G3444">
        <v>15034.8878450393</v>
      </c>
      <c r="H3444">
        <v>1015</v>
      </c>
      <c r="I3444">
        <v>912</v>
      </c>
      <c r="J3444">
        <v>30</v>
      </c>
    </row>
    <row r="3445" spans="1:10" x14ac:dyDescent="0.25">
      <c r="A3445" t="s">
        <v>23</v>
      </c>
      <c r="B3445" t="s">
        <v>21</v>
      </c>
      <c r="C3445" t="s">
        <v>12</v>
      </c>
      <c r="D3445" t="s">
        <v>17</v>
      </c>
      <c r="E3445">
        <v>0.81863354037267</v>
      </c>
      <c r="F3445">
        <v>0.86062830203192497</v>
      </c>
      <c r="G3445">
        <v>15054.205403804701</v>
      </c>
      <c r="H3445">
        <v>980</v>
      </c>
      <c r="I3445">
        <v>891</v>
      </c>
      <c r="J3445">
        <v>30</v>
      </c>
    </row>
    <row r="3446" spans="1:10" x14ac:dyDescent="0.25">
      <c r="A3446" t="s">
        <v>23</v>
      </c>
      <c r="B3446" t="s">
        <v>21</v>
      </c>
      <c r="C3446" t="s">
        <v>12</v>
      </c>
      <c r="D3446" t="s">
        <v>17</v>
      </c>
      <c r="E3446">
        <v>0.82732919254658299</v>
      </c>
      <c r="F3446">
        <v>0.86338823811590004</v>
      </c>
      <c r="G3446">
        <v>15067.809542417501</v>
      </c>
      <c r="H3446">
        <v>962</v>
      </c>
      <c r="I3446">
        <v>882</v>
      </c>
      <c r="J3446">
        <v>30</v>
      </c>
    </row>
    <row r="3447" spans="1:10" x14ac:dyDescent="0.25">
      <c r="A3447" t="s">
        <v>23</v>
      </c>
      <c r="B3447" t="s">
        <v>21</v>
      </c>
      <c r="C3447" t="s">
        <v>12</v>
      </c>
      <c r="D3447" t="s">
        <v>17</v>
      </c>
      <c r="E3447">
        <v>0.81614906832298095</v>
      </c>
      <c r="F3447">
        <v>0.85365020947403703</v>
      </c>
      <c r="G3447">
        <v>15073.4617438316</v>
      </c>
      <c r="H3447">
        <v>969</v>
      </c>
      <c r="I3447">
        <v>886</v>
      </c>
      <c r="J3447">
        <v>30</v>
      </c>
    </row>
    <row r="3448" spans="1:10" x14ac:dyDescent="0.25">
      <c r="A3448" t="s">
        <v>23</v>
      </c>
      <c r="B3448" t="s">
        <v>21</v>
      </c>
      <c r="C3448" t="s">
        <v>12</v>
      </c>
      <c r="D3448" t="s">
        <v>17</v>
      </c>
      <c r="E3448">
        <v>0.78012422360248401</v>
      </c>
      <c r="F3448">
        <v>0.84368369894012396</v>
      </c>
      <c r="G3448">
        <v>15087.721948623601</v>
      </c>
      <c r="H3448">
        <v>999</v>
      </c>
      <c r="I3448">
        <v>925</v>
      </c>
      <c r="J3448">
        <v>30</v>
      </c>
    </row>
    <row r="3449" spans="1:10" x14ac:dyDescent="0.25">
      <c r="A3449" t="s">
        <v>23</v>
      </c>
      <c r="B3449" t="s">
        <v>21</v>
      </c>
      <c r="C3449" t="s">
        <v>12</v>
      </c>
      <c r="D3449" t="s">
        <v>17</v>
      </c>
      <c r="E3449">
        <v>0.80745341614906796</v>
      </c>
      <c r="F3449">
        <v>0.85047155442981304</v>
      </c>
      <c r="G3449">
        <v>15092.6726167202</v>
      </c>
      <c r="H3449">
        <v>1003</v>
      </c>
      <c r="I3449">
        <v>896</v>
      </c>
      <c r="J3449">
        <v>30</v>
      </c>
    </row>
    <row r="3450" spans="1:10" x14ac:dyDescent="0.25">
      <c r="A3450" t="s">
        <v>23</v>
      </c>
      <c r="B3450" t="s">
        <v>21</v>
      </c>
      <c r="C3450" t="s">
        <v>12</v>
      </c>
      <c r="D3450" t="s">
        <v>17</v>
      </c>
      <c r="E3450">
        <v>0.839751552795031</v>
      </c>
      <c r="F3450">
        <v>0.862228989832174</v>
      </c>
      <c r="G3450">
        <v>15097.2537591457</v>
      </c>
      <c r="H3450">
        <v>1007</v>
      </c>
      <c r="I3450">
        <v>925</v>
      </c>
      <c r="J3450">
        <v>30</v>
      </c>
    </row>
    <row r="3451" spans="1:10" x14ac:dyDescent="0.25">
      <c r="A3451" t="s">
        <v>23</v>
      </c>
      <c r="B3451" t="s">
        <v>21</v>
      </c>
      <c r="C3451" t="s">
        <v>12</v>
      </c>
      <c r="D3451" t="s">
        <v>17</v>
      </c>
      <c r="E3451">
        <v>0.82360248447204898</v>
      </c>
      <c r="F3451">
        <v>0.85909085009627295</v>
      </c>
      <c r="G3451">
        <v>15106.5223770141</v>
      </c>
      <c r="H3451">
        <v>1001</v>
      </c>
      <c r="I3451">
        <v>919</v>
      </c>
      <c r="J3451">
        <v>30</v>
      </c>
    </row>
    <row r="3452" spans="1:10" x14ac:dyDescent="0.25">
      <c r="A3452" t="s">
        <v>23</v>
      </c>
      <c r="B3452" t="s">
        <v>21</v>
      </c>
      <c r="C3452" t="s">
        <v>18</v>
      </c>
      <c r="D3452" t="s">
        <v>13</v>
      </c>
      <c r="E3452">
        <v>0.99378881987577605</v>
      </c>
      <c r="F3452">
        <v>0.99337617120186295</v>
      </c>
      <c r="G3452">
        <v>111.133024454116</v>
      </c>
      <c r="H3452">
        <v>12</v>
      </c>
      <c r="I3452">
        <v>11</v>
      </c>
      <c r="J3452">
        <v>30</v>
      </c>
    </row>
    <row r="3453" spans="1:10" x14ac:dyDescent="0.25">
      <c r="A3453" t="s">
        <v>23</v>
      </c>
      <c r="B3453" t="s">
        <v>21</v>
      </c>
      <c r="C3453" t="s">
        <v>18</v>
      </c>
      <c r="D3453" t="s">
        <v>13</v>
      </c>
      <c r="E3453">
        <v>0.99875776397515503</v>
      </c>
      <c r="F3453">
        <v>0.99864855522894402</v>
      </c>
      <c r="G3453">
        <v>113.73796892166099</v>
      </c>
      <c r="H3453">
        <v>12</v>
      </c>
      <c r="I3453">
        <v>13</v>
      </c>
      <c r="J3453">
        <v>30</v>
      </c>
    </row>
    <row r="3454" spans="1:10" x14ac:dyDescent="0.25">
      <c r="A3454" t="s">
        <v>23</v>
      </c>
      <c r="B3454" t="s">
        <v>21</v>
      </c>
      <c r="C3454" t="s">
        <v>18</v>
      </c>
      <c r="D3454" t="s">
        <v>13</v>
      </c>
      <c r="E3454">
        <v>0.99875776397515503</v>
      </c>
      <c r="F3454">
        <v>0.998664324541366</v>
      </c>
      <c r="G3454">
        <v>118.301315069198</v>
      </c>
      <c r="H3454">
        <v>12</v>
      </c>
      <c r="I3454">
        <v>12</v>
      </c>
      <c r="J3454">
        <v>30</v>
      </c>
    </row>
    <row r="3455" spans="1:10" x14ac:dyDescent="0.25">
      <c r="A3455" t="s">
        <v>23</v>
      </c>
      <c r="B3455" t="s">
        <v>21</v>
      </c>
      <c r="C3455" t="s">
        <v>18</v>
      </c>
      <c r="D3455" t="s">
        <v>13</v>
      </c>
      <c r="E3455">
        <v>0.99254658385093097</v>
      </c>
      <c r="F3455">
        <v>0.99237816550372604</v>
      </c>
      <c r="G3455">
        <v>119.25573396682699</v>
      </c>
      <c r="H3455">
        <v>12</v>
      </c>
      <c r="I3455">
        <v>11</v>
      </c>
      <c r="J3455">
        <v>30</v>
      </c>
    </row>
    <row r="3456" spans="1:10" x14ac:dyDescent="0.25">
      <c r="A3456" t="s">
        <v>23</v>
      </c>
      <c r="B3456" t="s">
        <v>21</v>
      </c>
      <c r="C3456" t="s">
        <v>18</v>
      </c>
      <c r="D3456" t="s">
        <v>13</v>
      </c>
      <c r="E3456">
        <v>0.98881987577639696</v>
      </c>
      <c r="F3456">
        <v>0.98868970351254604</v>
      </c>
      <c r="G3456">
        <v>119.35252213478</v>
      </c>
      <c r="H3456">
        <v>12</v>
      </c>
      <c r="I3456">
        <v>12</v>
      </c>
      <c r="J3456">
        <v>30</v>
      </c>
    </row>
    <row r="3457" spans="1:10" x14ac:dyDescent="0.25">
      <c r="A3457" t="s">
        <v>23</v>
      </c>
      <c r="B3457" t="s">
        <v>21</v>
      </c>
      <c r="C3457" t="s">
        <v>18</v>
      </c>
      <c r="D3457" t="s">
        <v>13</v>
      </c>
      <c r="E3457">
        <v>0.99378881987577605</v>
      </c>
      <c r="F3457">
        <v>0.99329519423155199</v>
      </c>
      <c r="G3457">
        <v>120.070845603942</v>
      </c>
      <c r="H3457">
        <v>13</v>
      </c>
      <c r="I3457">
        <v>14</v>
      </c>
      <c r="J3457">
        <v>30</v>
      </c>
    </row>
    <row r="3458" spans="1:10" x14ac:dyDescent="0.25">
      <c r="A3458" t="s">
        <v>23</v>
      </c>
      <c r="B3458" t="s">
        <v>21</v>
      </c>
      <c r="C3458" t="s">
        <v>18</v>
      </c>
      <c r="D3458" t="s">
        <v>13</v>
      </c>
      <c r="E3458">
        <v>0.98757763975155199</v>
      </c>
      <c r="F3458">
        <v>0.98768698311478198</v>
      </c>
      <c r="G3458">
        <v>120.169283866882</v>
      </c>
      <c r="H3458">
        <v>13</v>
      </c>
      <c r="I3458">
        <v>14</v>
      </c>
      <c r="J3458">
        <v>30</v>
      </c>
    </row>
    <row r="3459" spans="1:10" x14ac:dyDescent="0.25">
      <c r="A3459" t="s">
        <v>23</v>
      </c>
      <c r="B3459" t="s">
        <v>21</v>
      </c>
      <c r="C3459" t="s">
        <v>18</v>
      </c>
      <c r="D3459" t="s">
        <v>13</v>
      </c>
      <c r="E3459">
        <v>0.99503105590062102</v>
      </c>
      <c r="F3459">
        <v>0.99495557852944105</v>
      </c>
      <c r="G3459">
        <v>123.742134809494</v>
      </c>
      <c r="H3459">
        <v>12</v>
      </c>
      <c r="I3459">
        <v>12</v>
      </c>
      <c r="J3459">
        <v>30</v>
      </c>
    </row>
    <row r="3460" spans="1:10" x14ac:dyDescent="0.25">
      <c r="A3460" t="s">
        <v>23</v>
      </c>
      <c r="B3460" t="s">
        <v>21</v>
      </c>
      <c r="C3460" t="s">
        <v>18</v>
      </c>
      <c r="D3460" t="s">
        <v>13</v>
      </c>
      <c r="E3460">
        <v>0.99627329192546499</v>
      </c>
      <c r="F3460">
        <v>0.99621752578322897</v>
      </c>
      <c r="G3460">
        <v>124.00746011734</v>
      </c>
      <c r="H3460">
        <v>13</v>
      </c>
      <c r="I3460">
        <v>13</v>
      </c>
      <c r="J3460">
        <v>30</v>
      </c>
    </row>
    <row r="3461" spans="1:10" x14ac:dyDescent="0.25">
      <c r="A3461" t="s">
        <v>23</v>
      </c>
      <c r="B3461" t="s">
        <v>21</v>
      </c>
      <c r="C3461" t="s">
        <v>18</v>
      </c>
      <c r="D3461" t="s">
        <v>13</v>
      </c>
      <c r="E3461">
        <v>0.98633540372670803</v>
      </c>
      <c r="F3461">
        <v>0.98645687468906795</v>
      </c>
      <c r="G3461">
        <v>123.979068040847</v>
      </c>
      <c r="H3461">
        <v>12</v>
      </c>
      <c r="I3461">
        <v>12</v>
      </c>
      <c r="J3461">
        <v>30</v>
      </c>
    </row>
    <row r="3462" spans="1:10" x14ac:dyDescent="0.25">
      <c r="A3462" t="s">
        <v>23</v>
      </c>
      <c r="B3462" t="s">
        <v>21</v>
      </c>
      <c r="C3462" t="s">
        <v>18</v>
      </c>
      <c r="D3462" t="s">
        <v>13</v>
      </c>
      <c r="E3462">
        <v>0.99751552795030995</v>
      </c>
      <c r="F3462">
        <v>0.99725174518695603</v>
      </c>
      <c r="G3462">
        <v>124.058971405029</v>
      </c>
      <c r="H3462">
        <v>13</v>
      </c>
      <c r="I3462">
        <v>12</v>
      </c>
      <c r="J3462">
        <v>30</v>
      </c>
    </row>
    <row r="3463" spans="1:10" x14ac:dyDescent="0.25">
      <c r="A3463" t="s">
        <v>23</v>
      </c>
      <c r="B3463" t="s">
        <v>21</v>
      </c>
      <c r="C3463" t="s">
        <v>18</v>
      </c>
      <c r="D3463" t="s">
        <v>13</v>
      </c>
      <c r="E3463">
        <v>0.99006211180124204</v>
      </c>
      <c r="F3463">
        <v>0.98959647584024801</v>
      </c>
      <c r="G3463">
        <v>124.606548547744</v>
      </c>
      <c r="H3463">
        <v>12</v>
      </c>
      <c r="I3463">
        <v>12</v>
      </c>
      <c r="J3463">
        <v>30</v>
      </c>
    </row>
    <row r="3464" spans="1:10" x14ac:dyDescent="0.25">
      <c r="A3464" t="s">
        <v>23</v>
      </c>
      <c r="B3464" t="s">
        <v>21</v>
      </c>
      <c r="C3464" t="s">
        <v>18</v>
      </c>
      <c r="D3464" t="s">
        <v>13</v>
      </c>
      <c r="E3464">
        <v>0.98881987577639696</v>
      </c>
      <c r="F3464">
        <v>0.98902971490049596</v>
      </c>
      <c r="G3464">
        <v>126.78299188613801</v>
      </c>
      <c r="H3464">
        <v>13</v>
      </c>
      <c r="I3464">
        <v>14</v>
      </c>
      <c r="J3464">
        <v>30</v>
      </c>
    </row>
    <row r="3465" spans="1:10" x14ac:dyDescent="0.25">
      <c r="A3465" t="s">
        <v>23</v>
      </c>
      <c r="B3465" t="s">
        <v>21</v>
      </c>
      <c r="C3465" t="s">
        <v>18</v>
      </c>
      <c r="D3465" t="s">
        <v>13</v>
      </c>
      <c r="E3465">
        <v>0.99006211180124204</v>
      </c>
      <c r="F3465">
        <v>0.99009208036372598</v>
      </c>
      <c r="G3465">
        <v>126.969988346099</v>
      </c>
      <c r="H3465">
        <v>12</v>
      </c>
      <c r="I3465">
        <v>11</v>
      </c>
      <c r="J3465">
        <v>30</v>
      </c>
    </row>
    <row r="3466" spans="1:10" x14ac:dyDescent="0.25">
      <c r="A3466" t="s">
        <v>23</v>
      </c>
      <c r="B3466" t="s">
        <v>21</v>
      </c>
      <c r="C3466" t="s">
        <v>18</v>
      </c>
      <c r="D3466" t="s">
        <v>13</v>
      </c>
      <c r="E3466">
        <v>0.98509316770186295</v>
      </c>
      <c r="F3466">
        <v>0.98513162232658402</v>
      </c>
      <c r="G3466">
        <v>127.02390146255399</v>
      </c>
      <c r="H3466">
        <v>12</v>
      </c>
      <c r="I3466">
        <v>12</v>
      </c>
      <c r="J3466">
        <v>30</v>
      </c>
    </row>
    <row r="3467" spans="1:10" x14ac:dyDescent="0.25">
      <c r="A3467" t="s">
        <v>23</v>
      </c>
      <c r="B3467" t="s">
        <v>21</v>
      </c>
      <c r="C3467" t="s">
        <v>18</v>
      </c>
      <c r="D3467" t="s">
        <v>13</v>
      </c>
      <c r="E3467">
        <v>0.99378881987577605</v>
      </c>
      <c r="F3467">
        <v>0.993566720326583</v>
      </c>
      <c r="G3467">
        <v>128.156013727188</v>
      </c>
      <c r="H3467">
        <v>13</v>
      </c>
      <c r="I3467">
        <v>14</v>
      </c>
      <c r="J3467">
        <v>30</v>
      </c>
    </row>
    <row r="3468" spans="1:10" x14ac:dyDescent="0.25">
      <c r="A3468" t="s">
        <v>23</v>
      </c>
      <c r="B3468" t="s">
        <v>21</v>
      </c>
      <c r="C3468" t="s">
        <v>18</v>
      </c>
      <c r="D3468" t="s">
        <v>13</v>
      </c>
      <c r="E3468">
        <v>0.99378881987577605</v>
      </c>
      <c r="F3468">
        <v>0.99333254526968895</v>
      </c>
      <c r="G3468">
        <v>130.07659578323299</v>
      </c>
      <c r="H3468">
        <v>13</v>
      </c>
      <c r="I3468">
        <v>14</v>
      </c>
      <c r="J3468">
        <v>30</v>
      </c>
    </row>
    <row r="3469" spans="1:10" x14ac:dyDescent="0.25">
      <c r="A3469" t="s">
        <v>23</v>
      </c>
      <c r="B3469" t="s">
        <v>21</v>
      </c>
      <c r="C3469" t="s">
        <v>18</v>
      </c>
      <c r="D3469" t="s">
        <v>13</v>
      </c>
      <c r="E3469">
        <v>0.99875776397515503</v>
      </c>
      <c r="F3469">
        <v>0.99861829718894402</v>
      </c>
      <c r="G3469">
        <v>130.787354469299</v>
      </c>
      <c r="H3469">
        <v>10</v>
      </c>
      <c r="I3469">
        <v>13</v>
      </c>
      <c r="J3469">
        <v>30</v>
      </c>
    </row>
    <row r="3470" spans="1:10" x14ac:dyDescent="0.25">
      <c r="A3470" t="s">
        <v>23</v>
      </c>
      <c r="B3470" t="s">
        <v>21</v>
      </c>
      <c r="C3470" t="s">
        <v>18</v>
      </c>
      <c r="D3470" t="s">
        <v>13</v>
      </c>
      <c r="E3470">
        <v>0.98881987577639696</v>
      </c>
      <c r="F3470">
        <v>0.98871070296770103</v>
      </c>
      <c r="G3470">
        <v>132.379051685333</v>
      </c>
      <c r="H3470">
        <v>13</v>
      </c>
      <c r="I3470">
        <v>13</v>
      </c>
      <c r="J3470">
        <v>30</v>
      </c>
    </row>
    <row r="3471" spans="1:10" x14ac:dyDescent="0.25">
      <c r="A3471" t="s">
        <v>23</v>
      </c>
      <c r="B3471" t="s">
        <v>21</v>
      </c>
      <c r="C3471" t="s">
        <v>18</v>
      </c>
      <c r="D3471" t="s">
        <v>13</v>
      </c>
      <c r="E3471">
        <v>0.99130434782608701</v>
      </c>
      <c r="F3471">
        <v>0.99115329353900605</v>
      </c>
      <c r="G3471">
        <v>132.653571605682</v>
      </c>
      <c r="H3471">
        <v>13</v>
      </c>
      <c r="I3471">
        <v>14</v>
      </c>
      <c r="J3471">
        <v>30</v>
      </c>
    </row>
    <row r="3472" spans="1:10" x14ac:dyDescent="0.25">
      <c r="A3472" t="s">
        <v>23</v>
      </c>
      <c r="B3472" t="s">
        <v>21</v>
      </c>
      <c r="C3472" t="s">
        <v>18</v>
      </c>
      <c r="D3472" t="s">
        <v>13</v>
      </c>
      <c r="E3472">
        <v>0.99254658385093097</v>
      </c>
      <c r="F3472">
        <v>0.99263729003739098</v>
      </c>
      <c r="G3472">
        <v>132.852467060089</v>
      </c>
      <c r="H3472">
        <v>13</v>
      </c>
      <c r="I3472">
        <v>14</v>
      </c>
      <c r="J3472">
        <v>30</v>
      </c>
    </row>
    <row r="3473" spans="1:10" x14ac:dyDescent="0.25">
      <c r="A3473" t="s">
        <v>23</v>
      </c>
      <c r="B3473" t="s">
        <v>21</v>
      </c>
      <c r="C3473" t="s">
        <v>18</v>
      </c>
      <c r="D3473" t="s">
        <v>13</v>
      </c>
      <c r="E3473">
        <v>0.99254658385093097</v>
      </c>
      <c r="F3473">
        <v>0.99226556427242196</v>
      </c>
      <c r="G3473">
        <v>133.20877599716101</v>
      </c>
      <c r="H3473">
        <v>13</v>
      </c>
      <c r="I3473">
        <v>14</v>
      </c>
      <c r="J3473">
        <v>30</v>
      </c>
    </row>
    <row r="3474" spans="1:10" x14ac:dyDescent="0.25">
      <c r="A3474" t="s">
        <v>23</v>
      </c>
      <c r="B3474" t="s">
        <v>21</v>
      </c>
      <c r="C3474" t="s">
        <v>18</v>
      </c>
      <c r="D3474" t="s">
        <v>13</v>
      </c>
      <c r="E3474">
        <v>0.98757763975155199</v>
      </c>
      <c r="F3474">
        <v>0.98765730385055905</v>
      </c>
      <c r="G3474">
        <v>133.40217471122699</v>
      </c>
      <c r="H3474">
        <v>11</v>
      </c>
      <c r="I3474">
        <v>14</v>
      </c>
      <c r="J3474">
        <v>30</v>
      </c>
    </row>
    <row r="3475" spans="1:10" x14ac:dyDescent="0.25">
      <c r="A3475" t="s">
        <v>23</v>
      </c>
      <c r="B3475" t="s">
        <v>21</v>
      </c>
      <c r="C3475" t="s">
        <v>18</v>
      </c>
      <c r="D3475" t="s">
        <v>13</v>
      </c>
      <c r="E3475">
        <v>0.99378881987577605</v>
      </c>
      <c r="F3475">
        <v>0.993608377041863</v>
      </c>
      <c r="G3475">
        <v>134.82615017890899</v>
      </c>
      <c r="H3475">
        <v>13</v>
      </c>
      <c r="I3475">
        <v>13</v>
      </c>
      <c r="J3475">
        <v>30</v>
      </c>
    </row>
    <row r="3476" spans="1:10" x14ac:dyDescent="0.25">
      <c r="A3476" t="s">
        <v>23</v>
      </c>
      <c r="B3476" t="s">
        <v>21</v>
      </c>
      <c r="C3476" t="s">
        <v>18</v>
      </c>
      <c r="D3476" t="s">
        <v>13</v>
      </c>
      <c r="E3476">
        <v>0.99627329192546499</v>
      </c>
      <c r="F3476">
        <v>0.99582973258571394</v>
      </c>
      <c r="G3476">
        <v>133.96951293945301</v>
      </c>
      <c r="H3476">
        <v>13</v>
      </c>
      <c r="I3476">
        <v>13</v>
      </c>
      <c r="J3476">
        <v>30</v>
      </c>
    </row>
    <row r="3477" spans="1:10" x14ac:dyDescent="0.25">
      <c r="A3477" t="s">
        <v>23</v>
      </c>
      <c r="B3477" t="s">
        <v>21</v>
      </c>
      <c r="C3477" t="s">
        <v>18</v>
      </c>
      <c r="D3477" t="s">
        <v>13</v>
      </c>
      <c r="E3477">
        <v>0.99378881987577605</v>
      </c>
      <c r="F3477">
        <v>0.99350408191540296</v>
      </c>
      <c r="G3477">
        <v>135.805857658386</v>
      </c>
      <c r="H3477">
        <v>13</v>
      </c>
      <c r="I3477">
        <v>13</v>
      </c>
      <c r="J3477">
        <v>30</v>
      </c>
    </row>
    <row r="3478" spans="1:10" x14ac:dyDescent="0.25">
      <c r="A3478" t="s">
        <v>23</v>
      </c>
      <c r="B3478" t="s">
        <v>21</v>
      </c>
      <c r="C3478" t="s">
        <v>18</v>
      </c>
      <c r="D3478" t="s">
        <v>13</v>
      </c>
      <c r="E3478">
        <v>0.99130434782608701</v>
      </c>
      <c r="F3478">
        <v>0.99113982859763905</v>
      </c>
      <c r="G3478">
        <v>134.82904577255201</v>
      </c>
      <c r="H3478">
        <v>13</v>
      </c>
      <c r="I3478">
        <v>14</v>
      </c>
      <c r="J3478">
        <v>30</v>
      </c>
    </row>
    <row r="3479" spans="1:10" x14ac:dyDescent="0.25">
      <c r="A3479" t="s">
        <v>23</v>
      </c>
      <c r="B3479" t="s">
        <v>21</v>
      </c>
      <c r="C3479" t="s">
        <v>18</v>
      </c>
      <c r="D3479" t="s">
        <v>13</v>
      </c>
      <c r="E3479">
        <v>0.99130434782608701</v>
      </c>
      <c r="F3479">
        <v>0.99080370254322903</v>
      </c>
      <c r="G3479">
        <v>137.492666959762</v>
      </c>
      <c r="H3479">
        <v>12</v>
      </c>
      <c r="I3479">
        <v>14</v>
      </c>
      <c r="J3479">
        <v>30</v>
      </c>
    </row>
    <row r="3480" spans="1:10" x14ac:dyDescent="0.25">
      <c r="A3480" t="s">
        <v>23</v>
      </c>
      <c r="B3480" t="s">
        <v>21</v>
      </c>
      <c r="C3480" t="s">
        <v>18</v>
      </c>
      <c r="D3480" t="s">
        <v>13</v>
      </c>
      <c r="E3480">
        <v>0.98757763975155199</v>
      </c>
      <c r="F3480">
        <v>0.98744535995751503</v>
      </c>
      <c r="G3480">
        <v>137.89186453819201</v>
      </c>
      <c r="H3480">
        <v>12</v>
      </c>
      <c r="I3480">
        <v>14</v>
      </c>
      <c r="J3480">
        <v>30</v>
      </c>
    </row>
    <row r="3481" spans="1:10" x14ac:dyDescent="0.25">
      <c r="A3481" t="s">
        <v>23</v>
      </c>
      <c r="B3481" t="s">
        <v>21</v>
      </c>
      <c r="C3481" t="s">
        <v>18</v>
      </c>
      <c r="D3481" t="s">
        <v>13</v>
      </c>
      <c r="E3481">
        <v>0.98757763975155199</v>
      </c>
      <c r="F3481">
        <v>0.98762420474981305</v>
      </c>
      <c r="G3481">
        <v>137.95910382270799</v>
      </c>
      <c r="H3481">
        <v>11</v>
      </c>
      <c r="I3481">
        <v>14</v>
      </c>
      <c r="J3481">
        <v>30</v>
      </c>
    </row>
    <row r="3482" spans="1:10" x14ac:dyDescent="0.25">
      <c r="A3482" t="s">
        <v>23</v>
      </c>
      <c r="B3482" t="s">
        <v>21</v>
      </c>
      <c r="C3482" t="s">
        <v>18</v>
      </c>
      <c r="D3482" t="s">
        <v>14</v>
      </c>
      <c r="E3482">
        <v>0.93913043478260805</v>
      </c>
      <c r="F3482">
        <v>0.94692230837913005</v>
      </c>
      <c r="G3482">
        <v>24.937617778778002</v>
      </c>
      <c r="H3482">
        <v>6</v>
      </c>
      <c r="I3482">
        <v>6</v>
      </c>
      <c r="J3482">
        <v>30</v>
      </c>
    </row>
    <row r="3483" spans="1:10" x14ac:dyDescent="0.25">
      <c r="A3483" t="s">
        <v>23</v>
      </c>
      <c r="B3483" t="s">
        <v>21</v>
      </c>
      <c r="C3483" t="s">
        <v>18</v>
      </c>
      <c r="D3483" t="s">
        <v>14</v>
      </c>
      <c r="E3483">
        <v>0.92670807453416104</v>
      </c>
      <c r="F3483">
        <v>0.93899018036608695</v>
      </c>
      <c r="G3483">
        <v>25.001241207122799</v>
      </c>
      <c r="H3483">
        <v>6</v>
      </c>
      <c r="I3483">
        <v>6</v>
      </c>
      <c r="J3483">
        <v>30</v>
      </c>
    </row>
    <row r="3484" spans="1:10" x14ac:dyDescent="0.25">
      <c r="A3484" t="s">
        <v>23</v>
      </c>
      <c r="B3484" t="s">
        <v>21</v>
      </c>
      <c r="C3484" t="s">
        <v>18</v>
      </c>
      <c r="D3484" t="s">
        <v>14</v>
      </c>
      <c r="E3484">
        <v>0.915527950310559</v>
      </c>
      <c r="F3484">
        <v>0.93117004340273302</v>
      </c>
      <c r="G3484">
        <v>28.2426948547363</v>
      </c>
      <c r="H3484">
        <v>6</v>
      </c>
      <c r="I3484">
        <v>6</v>
      </c>
      <c r="J3484">
        <v>30</v>
      </c>
    </row>
    <row r="3485" spans="1:10" x14ac:dyDescent="0.25">
      <c r="A3485" t="s">
        <v>23</v>
      </c>
      <c r="B3485" t="s">
        <v>21</v>
      </c>
      <c r="C3485" t="s">
        <v>18</v>
      </c>
      <c r="D3485" t="s">
        <v>14</v>
      </c>
      <c r="E3485">
        <v>0.93167701863354002</v>
      </c>
      <c r="F3485">
        <v>0.94189467419627304</v>
      </c>
      <c r="G3485">
        <v>28.593014001846299</v>
      </c>
      <c r="H3485">
        <v>6</v>
      </c>
      <c r="I3485">
        <v>6</v>
      </c>
      <c r="J3485">
        <v>30</v>
      </c>
    </row>
    <row r="3486" spans="1:10" x14ac:dyDescent="0.25">
      <c r="A3486" t="s">
        <v>23</v>
      </c>
      <c r="B3486" t="s">
        <v>21</v>
      </c>
      <c r="C3486" t="s">
        <v>18</v>
      </c>
      <c r="D3486" t="s">
        <v>14</v>
      </c>
      <c r="E3486">
        <v>0.94161490683229798</v>
      </c>
      <c r="F3486">
        <v>0.94854849557652099</v>
      </c>
      <c r="G3486">
        <v>29.053726434707599</v>
      </c>
      <c r="H3486">
        <v>6</v>
      </c>
      <c r="I3486">
        <v>6</v>
      </c>
      <c r="J3486">
        <v>30</v>
      </c>
    </row>
    <row r="3487" spans="1:10" x14ac:dyDescent="0.25">
      <c r="A3487" t="s">
        <v>23</v>
      </c>
      <c r="B3487" t="s">
        <v>21</v>
      </c>
      <c r="C3487" t="s">
        <v>18</v>
      </c>
      <c r="D3487" t="s">
        <v>14</v>
      </c>
      <c r="E3487">
        <v>1</v>
      </c>
      <c r="F3487">
        <v>0.99945625298906804</v>
      </c>
      <c r="G3487">
        <v>29.232125997543299</v>
      </c>
      <c r="H3487">
        <v>13</v>
      </c>
      <c r="I3487">
        <v>12</v>
      </c>
      <c r="J3487">
        <v>30</v>
      </c>
    </row>
    <row r="3488" spans="1:10" x14ac:dyDescent="0.25">
      <c r="A3488" t="s">
        <v>23</v>
      </c>
      <c r="B3488" t="s">
        <v>21</v>
      </c>
      <c r="C3488" t="s">
        <v>18</v>
      </c>
      <c r="D3488" t="s">
        <v>14</v>
      </c>
      <c r="E3488">
        <v>0.915527950310559</v>
      </c>
      <c r="F3488">
        <v>0.93109607176782605</v>
      </c>
      <c r="G3488">
        <v>29.210904598235999</v>
      </c>
      <c r="H3488">
        <v>6</v>
      </c>
      <c r="I3488">
        <v>6</v>
      </c>
      <c r="J3488">
        <v>30</v>
      </c>
    </row>
    <row r="3489" spans="1:10" x14ac:dyDescent="0.25">
      <c r="A3489" t="s">
        <v>23</v>
      </c>
      <c r="B3489" t="s">
        <v>21</v>
      </c>
      <c r="C3489" t="s">
        <v>18</v>
      </c>
      <c r="D3489" t="s">
        <v>14</v>
      </c>
      <c r="E3489">
        <v>1</v>
      </c>
      <c r="F3489">
        <v>0.99967060350223602</v>
      </c>
      <c r="G3489">
        <v>29.356460809707599</v>
      </c>
      <c r="H3489">
        <v>13</v>
      </c>
      <c r="I3489">
        <v>12</v>
      </c>
      <c r="J3489">
        <v>30</v>
      </c>
    </row>
    <row r="3490" spans="1:10" x14ac:dyDescent="0.25">
      <c r="A3490" t="s">
        <v>23</v>
      </c>
      <c r="B3490" t="s">
        <v>21</v>
      </c>
      <c r="C3490" t="s">
        <v>18</v>
      </c>
      <c r="D3490" t="s">
        <v>14</v>
      </c>
      <c r="E3490">
        <v>1</v>
      </c>
      <c r="F3490">
        <v>0.99968665176720495</v>
      </c>
      <c r="G3490">
        <v>29.583779335021902</v>
      </c>
      <c r="H3490">
        <v>13</v>
      </c>
      <c r="I3490">
        <v>12</v>
      </c>
      <c r="J3490">
        <v>30</v>
      </c>
    </row>
    <row r="3491" spans="1:10" x14ac:dyDescent="0.25">
      <c r="A3491" t="s">
        <v>23</v>
      </c>
      <c r="B3491" t="s">
        <v>21</v>
      </c>
      <c r="C3491" t="s">
        <v>18</v>
      </c>
      <c r="D3491" t="s">
        <v>14</v>
      </c>
      <c r="E3491">
        <v>0.94037267080745301</v>
      </c>
      <c r="F3491">
        <v>0.94827762503763902</v>
      </c>
      <c r="G3491">
        <v>29.4510850906372</v>
      </c>
      <c r="H3491">
        <v>6</v>
      </c>
      <c r="I3491">
        <v>6</v>
      </c>
      <c r="J3491">
        <v>30</v>
      </c>
    </row>
    <row r="3492" spans="1:10" x14ac:dyDescent="0.25">
      <c r="A3492" t="s">
        <v>23</v>
      </c>
      <c r="B3492" t="s">
        <v>21</v>
      </c>
      <c r="C3492" t="s">
        <v>18</v>
      </c>
      <c r="D3492" t="s">
        <v>14</v>
      </c>
      <c r="E3492">
        <v>0.91801242236024805</v>
      </c>
      <c r="F3492">
        <v>0.93288767433776398</v>
      </c>
      <c r="G3492">
        <v>29.331777811050401</v>
      </c>
      <c r="H3492">
        <v>6</v>
      </c>
      <c r="I3492">
        <v>6</v>
      </c>
      <c r="J3492">
        <v>30</v>
      </c>
    </row>
    <row r="3493" spans="1:10" x14ac:dyDescent="0.25">
      <c r="A3493" t="s">
        <v>23</v>
      </c>
      <c r="B3493" t="s">
        <v>21</v>
      </c>
      <c r="C3493" t="s">
        <v>18</v>
      </c>
      <c r="D3493" t="s">
        <v>14</v>
      </c>
      <c r="E3493">
        <v>0.924223602484472</v>
      </c>
      <c r="F3493">
        <v>0.93739741024099399</v>
      </c>
      <c r="G3493">
        <v>29.4323742389678</v>
      </c>
      <c r="H3493">
        <v>6</v>
      </c>
      <c r="I3493">
        <v>6</v>
      </c>
      <c r="J3493">
        <v>30</v>
      </c>
    </row>
    <row r="3494" spans="1:10" x14ac:dyDescent="0.25">
      <c r="A3494" t="s">
        <v>23</v>
      </c>
      <c r="B3494" t="s">
        <v>21</v>
      </c>
      <c r="C3494" t="s">
        <v>18</v>
      </c>
      <c r="D3494" t="s">
        <v>14</v>
      </c>
      <c r="E3494">
        <v>1</v>
      </c>
      <c r="F3494">
        <v>0.99962724321614904</v>
      </c>
      <c r="G3494">
        <v>29.5106859207153</v>
      </c>
      <c r="H3494">
        <v>13</v>
      </c>
      <c r="I3494">
        <v>12</v>
      </c>
      <c r="J3494">
        <v>30</v>
      </c>
    </row>
    <row r="3495" spans="1:10" x14ac:dyDescent="0.25">
      <c r="A3495" t="s">
        <v>23</v>
      </c>
      <c r="B3495" t="s">
        <v>21</v>
      </c>
      <c r="C3495" t="s">
        <v>18</v>
      </c>
      <c r="D3495" t="s">
        <v>14</v>
      </c>
      <c r="E3495">
        <v>0.93291925465838499</v>
      </c>
      <c r="F3495">
        <v>0.94329038663999998</v>
      </c>
      <c r="G3495">
        <v>29.694748163223199</v>
      </c>
      <c r="H3495">
        <v>6</v>
      </c>
      <c r="I3495">
        <v>6</v>
      </c>
      <c r="J3495">
        <v>30</v>
      </c>
    </row>
    <row r="3496" spans="1:10" x14ac:dyDescent="0.25">
      <c r="A3496" t="s">
        <v>23</v>
      </c>
      <c r="B3496" t="s">
        <v>21</v>
      </c>
      <c r="C3496" t="s">
        <v>18</v>
      </c>
      <c r="D3496" t="s">
        <v>14</v>
      </c>
      <c r="E3496">
        <v>0.99875776397515503</v>
      </c>
      <c r="F3496">
        <v>0.99823348313204896</v>
      </c>
      <c r="G3496">
        <v>29.600964307784999</v>
      </c>
      <c r="H3496">
        <v>12</v>
      </c>
      <c r="I3496">
        <v>11</v>
      </c>
      <c r="J3496">
        <v>30</v>
      </c>
    </row>
    <row r="3497" spans="1:10" x14ac:dyDescent="0.25">
      <c r="A3497" t="s">
        <v>23</v>
      </c>
      <c r="B3497" t="s">
        <v>21</v>
      </c>
      <c r="C3497" t="s">
        <v>18</v>
      </c>
      <c r="D3497" t="s">
        <v>14</v>
      </c>
      <c r="E3497">
        <v>1</v>
      </c>
      <c r="F3497">
        <v>0.99966090749900605</v>
      </c>
      <c r="G3497">
        <v>29.871641874313301</v>
      </c>
      <c r="H3497">
        <v>13</v>
      </c>
      <c r="I3497">
        <v>12</v>
      </c>
      <c r="J3497">
        <v>30</v>
      </c>
    </row>
    <row r="3498" spans="1:10" x14ac:dyDescent="0.25">
      <c r="A3498" t="s">
        <v>23</v>
      </c>
      <c r="B3498" t="s">
        <v>21</v>
      </c>
      <c r="C3498" t="s">
        <v>18</v>
      </c>
      <c r="D3498" t="s">
        <v>14</v>
      </c>
      <c r="E3498">
        <v>0.99751552795030995</v>
      </c>
      <c r="F3498">
        <v>0.99720417225291902</v>
      </c>
      <c r="G3498">
        <v>30.349611282348601</v>
      </c>
      <c r="H3498">
        <v>13</v>
      </c>
      <c r="I3498">
        <v>12</v>
      </c>
      <c r="J3498">
        <v>30</v>
      </c>
    </row>
    <row r="3499" spans="1:10" x14ac:dyDescent="0.25">
      <c r="A3499" t="s">
        <v>23</v>
      </c>
      <c r="B3499" t="s">
        <v>21</v>
      </c>
      <c r="C3499" t="s">
        <v>18</v>
      </c>
      <c r="D3499" t="s">
        <v>14</v>
      </c>
      <c r="E3499">
        <v>0.92049689440993698</v>
      </c>
      <c r="F3499">
        <v>0.93466677590546599</v>
      </c>
      <c r="G3499">
        <v>30.3602919578552</v>
      </c>
      <c r="H3499">
        <v>6</v>
      </c>
      <c r="I3499">
        <v>6</v>
      </c>
      <c r="J3499">
        <v>30</v>
      </c>
    </row>
    <row r="3500" spans="1:10" x14ac:dyDescent="0.25">
      <c r="A3500" t="s">
        <v>23</v>
      </c>
      <c r="B3500" t="s">
        <v>21</v>
      </c>
      <c r="C3500" t="s">
        <v>18</v>
      </c>
      <c r="D3500" t="s">
        <v>14</v>
      </c>
      <c r="E3500">
        <v>0.99875776397515503</v>
      </c>
      <c r="F3500">
        <v>0.99855795324844698</v>
      </c>
      <c r="G3500">
        <v>30.503118038177401</v>
      </c>
      <c r="H3500">
        <v>12</v>
      </c>
      <c r="I3500">
        <v>12</v>
      </c>
      <c r="J3500">
        <v>30</v>
      </c>
    </row>
    <row r="3501" spans="1:10" x14ac:dyDescent="0.25">
      <c r="A3501" t="s">
        <v>23</v>
      </c>
      <c r="B3501" t="s">
        <v>21</v>
      </c>
      <c r="C3501" t="s">
        <v>18</v>
      </c>
      <c r="D3501" t="s">
        <v>14</v>
      </c>
      <c r="E3501">
        <v>0.99875776397515503</v>
      </c>
      <c r="F3501">
        <v>0.99855298637080703</v>
      </c>
      <c r="G3501">
        <v>30.588626623153601</v>
      </c>
      <c r="H3501">
        <v>12</v>
      </c>
      <c r="I3501">
        <v>12</v>
      </c>
      <c r="J3501">
        <v>30</v>
      </c>
    </row>
    <row r="3502" spans="1:10" x14ac:dyDescent="0.25">
      <c r="A3502" t="s">
        <v>23</v>
      </c>
      <c r="B3502" t="s">
        <v>21</v>
      </c>
      <c r="C3502" t="s">
        <v>18</v>
      </c>
      <c r="D3502" t="s">
        <v>14</v>
      </c>
      <c r="E3502">
        <v>1</v>
      </c>
      <c r="F3502">
        <v>0.99950157689838504</v>
      </c>
      <c r="G3502">
        <v>30.804694414138702</v>
      </c>
      <c r="H3502">
        <v>12</v>
      </c>
      <c r="I3502">
        <v>12</v>
      </c>
      <c r="J3502">
        <v>30</v>
      </c>
    </row>
    <row r="3503" spans="1:10" x14ac:dyDescent="0.25">
      <c r="A3503" t="s">
        <v>23</v>
      </c>
      <c r="B3503" t="s">
        <v>21</v>
      </c>
      <c r="C3503" t="s">
        <v>18</v>
      </c>
      <c r="D3503" t="s">
        <v>14</v>
      </c>
      <c r="E3503">
        <v>1</v>
      </c>
      <c r="F3503">
        <v>0.99969700849962695</v>
      </c>
      <c r="G3503">
        <v>31.279873847961401</v>
      </c>
      <c r="H3503">
        <v>12</v>
      </c>
      <c r="I3503">
        <v>12</v>
      </c>
      <c r="J3503">
        <v>30</v>
      </c>
    </row>
    <row r="3504" spans="1:10" x14ac:dyDescent="0.25">
      <c r="A3504" t="s">
        <v>23</v>
      </c>
      <c r="B3504" t="s">
        <v>21</v>
      </c>
      <c r="C3504" t="s">
        <v>18</v>
      </c>
      <c r="D3504" t="s">
        <v>14</v>
      </c>
      <c r="E3504">
        <v>0.99751552795030995</v>
      </c>
      <c r="F3504">
        <v>0.99703877074906799</v>
      </c>
      <c r="G3504">
        <v>31.369509696960399</v>
      </c>
      <c r="H3504">
        <v>12</v>
      </c>
      <c r="I3504">
        <v>12</v>
      </c>
      <c r="J3504">
        <v>30</v>
      </c>
    </row>
    <row r="3505" spans="1:10" x14ac:dyDescent="0.25">
      <c r="A3505" t="s">
        <v>23</v>
      </c>
      <c r="B3505" t="s">
        <v>21</v>
      </c>
      <c r="C3505" t="s">
        <v>18</v>
      </c>
      <c r="D3505" t="s">
        <v>14</v>
      </c>
      <c r="E3505">
        <v>0.93167701863354002</v>
      </c>
      <c r="F3505">
        <v>0.94228065488310497</v>
      </c>
      <c r="G3505">
        <v>31.5201015472412</v>
      </c>
      <c r="H3505">
        <v>6</v>
      </c>
      <c r="I3505">
        <v>6</v>
      </c>
      <c r="J3505">
        <v>30</v>
      </c>
    </row>
    <row r="3506" spans="1:10" x14ac:dyDescent="0.25">
      <c r="A3506" t="s">
        <v>23</v>
      </c>
      <c r="B3506" t="s">
        <v>21</v>
      </c>
      <c r="C3506" t="s">
        <v>18</v>
      </c>
      <c r="D3506" t="s">
        <v>14</v>
      </c>
      <c r="E3506">
        <v>0.99130434782608701</v>
      </c>
      <c r="F3506">
        <v>0.991478984162111</v>
      </c>
      <c r="G3506">
        <v>31.6682949066162</v>
      </c>
      <c r="H3506">
        <v>11</v>
      </c>
      <c r="I3506">
        <v>12</v>
      </c>
      <c r="J3506">
        <v>30</v>
      </c>
    </row>
    <row r="3507" spans="1:10" x14ac:dyDescent="0.25">
      <c r="A3507" t="s">
        <v>23</v>
      </c>
      <c r="B3507" t="s">
        <v>21</v>
      </c>
      <c r="C3507" t="s">
        <v>18</v>
      </c>
      <c r="D3507" t="s">
        <v>14</v>
      </c>
      <c r="E3507">
        <v>0.99627329192546499</v>
      </c>
      <c r="F3507">
        <v>0.99585593441006204</v>
      </c>
      <c r="G3507">
        <v>32.204655408859203</v>
      </c>
      <c r="H3507">
        <v>11</v>
      </c>
      <c r="I3507">
        <v>12</v>
      </c>
      <c r="J3507">
        <v>30</v>
      </c>
    </row>
    <row r="3508" spans="1:10" x14ac:dyDescent="0.25">
      <c r="A3508" t="s">
        <v>23</v>
      </c>
      <c r="B3508" t="s">
        <v>21</v>
      </c>
      <c r="C3508" t="s">
        <v>18</v>
      </c>
      <c r="D3508" t="s">
        <v>14</v>
      </c>
      <c r="E3508">
        <v>0.99627329192546499</v>
      </c>
      <c r="F3508">
        <v>0.99605180998397502</v>
      </c>
      <c r="G3508">
        <v>32.3023006916046</v>
      </c>
      <c r="H3508">
        <v>12</v>
      </c>
      <c r="I3508">
        <v>13</v>
      </c>
      <c r="J3508">
        <v>30</v>
      </c>
    </row>
    <row r="3509" spans="1:10" x14ac:dyDescent="0.25">
      <c r="A3509" t="s">
        <v>23</v>
      </c>
      <c r="B3509" t="s">
        <v>21</v>
      </c>
      <c r="C3509" t="s">
        <v>18</v>
      </c>
      <c r="D3509" t="s">
        <v>14</v>
      </c>
      <c r="E3509">
        <v>0.99503105590062102</v>
      </c>
      <c r="F3509">
        <v>0.99493735007180095</v>
      </c>
      <c r="G3509">
        <v>32.244724273681598</v>
      </c>
      <c r="H3509">
        <v>12</v>
      </c>
      <c r="I3509">
        <v>13</v>
      </c>
      <c r="J3509">
        <v>30</v>
      </c>
    </row>
    <row r="3510" spans="1:10" x14ac:dyDescent="0.25">
      <c r="A3510" t="s">
        <v>23</v>
      </c>
      <c r="B3510" t="s">
        <v>21</v>
      </c>
      <c r="C3510" t="s">
        <v>18</v>
      </c>
      <c r="D3510" t="s">
        <v>14</v>
      </c>
      <c r="E3510">
        <v>0.99627329192546499</v>
      </c>
      <c r="F3510">
        <v>0.99579381198633499</v>
      </c>
      <c r="G3510">
        <v>32.629569292068403</v>
      </c>
      <c r="H3510">
        <v>12</v>
      </c>
      <c r="I3510">
        <v>13</v>
      </c>
      <c r="J3510">
        <v>30</v>
      </c>
    </row>
    <row r="3511" spans="1:10" x14ac:dyDescent="0.25">
      <c r="A3511" t="s">
        <v>23</v>
      </c>
      <c r="B3511" t="s">
        <v>21</v>
      </c>
      <c r="C3511" t="s">
        <v>18</v>
      </c>
      <c r="D3511" t="s">
        <v>14</v>
      </c>
      <c r="E3511">
        <v>0.99627329192546499</v>
      </c>
      <c r="F3511">
        <v>0.99583510935515496</v>
      </c>
      <c r="G3511">
        <v>32.391354560852001</v>
      </c>
      <c r="H3511">
        <v>11</v>
      </c>
      <c r="I3511">
        <v>12</v>
      </c>
      <c r="J3511">
        <v>30</v>
      </c>
    </row>
    <row r="3512" spans="1:10" x14ac:dyDescent="0.25">
      <c r="A3512" t="s">
        <v>23</v>
      </c>
      <c r="B3512" t="s">
        <v>21</v>
      </c>
      <c r="C3512" t="s">
        <v>18</v>
      </c>
      <c r="D3512" t="s">
        <v>15</v>
      </c>
      <c r="E3512">
        <v>0</v>
      </c>
      <c r="F3512">
        <v>0.75</v>
      </c>
      <c r="G3512">
        <v>45.8047387599945</v>
      </c>
      <c r="H3512">
        <v>0</v>
      </c>
      <c r="I3512">
        <v>0</v>
      </c>
      <c r="J3512">
        <v>30</v>
      </c>
    </row>
    <row r="3513" spans="1:10" x14ac:dyDescent="0.25">
      <c r="A3513" t="s">
        <v>23</v>
      </c>
      <c r="B3513" t="s">
        <v>21</v>
      </c>
      <c r="C3513" t="s">
        <v>18</v>
      </c>
      <c r="D3513" t="s">
        <v>15</v>
      </c>
      <c r="E3513">
        <v>0</v>
      </c>
      <c r="F3513">
        <v>0.75</v>
      </c>
      <c r="G3513">
        <v>50.190451145172098</v>
      </c>
      <c r="H3513">
        <v>0</v>
      </c>
      <c r="I3513">
        <v>0</v>
      </c>
      <c r="J3513">
        <v>30</v>
      </c>
    </row>
    <row r="3514" spans="1:10" x14ac:dyDescent="0.25">
      <c r="A3514" t="s">
        <v>23</v>
      </c>
      <c r="B3514" t="s">
        <v>21</v>
      </c>
      <c r="C3514" t="s">
        <v>18</v>
      </c>
      <c r="D3514" t="s">
        <v>15</v>
      </c>
      <c r="E3514">
        <v>0</v>
      </c>
      <c r="F3514">
        <v>0.75</v>
      </c>
      <c r="G3514">
        <v>50.5785071849823</v>
      </c>
      <c r="H3514">
        <v>0</v>
      </c>
      <c r="I3514">
        <v>0</v>
      </c>
      <c r="J3514">
        <v>30</v>
      </c>
    </row>
    <row r="3515" spans="1:10" x14ac:dyDescent="0.25">
      <c r="A3515" t="s">
        <v>23</v>
      </c>
      <c r="B3515" t="s">
        <v>21</v>
      </c>
      <c r="C3515" t="s">
        <v>18</v>
      </c>
      <c r="D3515" t="s">
        <v>15</v>
      </c>
      <c r="E3515">
        <v>0</v>
      </c>
      <c r="F3515">
        <v>0.75</v>
      </c>
      <c r="G3515">
        <v>51.129717588424597</v>
      </c>
      <c r="H3515">
        <v>0</v>
      </c>
      <c r="I3515">
        <v>0</v>
      </c>
      <c r="J3515">
        <v>30</v>
      </c>
    </row>
    <row r="3516" spans="1:10" x14ac:dyDescent="0.25">
      <c r="A3516" t="s">
        <v>23</v>
      </c>
      <c r="B3516" t="s">
        <v>21</v>
      </c>
      <c r="C3516" t="s">
        <v>18</v>
      </c>
      <c r="D3516" t="s">
        <v>15</v>
      </c>
      <c r="E3516">
        <v>0</v>
      </c>
      <c r="F3516">
        <v>0.75</v>
      </c>
      <c r="G3516">
        <v>51.705735206603997</v>
      </c>
      <c r="H3516">
        <v>0</v>
      </c>
      <c r="I3516">
        <v>0</v>
      </c>
      <c r="J3516">
        <v>30</v>
      </c>
    </row>
    <row r="3517" spans="1:10" x14ac:dyDescent="0.25">
      <c r="A3517" t="s">
        <v>23</v>
      </c>
      <c r="B3517" t="s">
        <v>21</v>
      </c>
      <c r="C3517" t="s">
        <v>18</v>
      </c>
      <c r="D3517" t="s">
        <v>15</v>
      </c>
      <c r="E3517">
        <v>0</v>
      </c>
      <c r="F3517">
        <v>0.75</v>
      </c>
      <c r="G3517">
        <v>52.831561326980498</v>
      </c>
      <c r="H3517">
        <v>1</v>
      </c>
      <c r="I3517">
        <v>3</v>
      </c>
      <c r="J3517">
        <v>30</v>
      </c>
    </row>
    <row r="3518" spans="1:10" x14ac:dyDescent="0.25">
      <c r="A3518" t="s">
        <v>23</v>
      </c>
      <c r="B3518" t="s">
        <v>21</v>
      </c>
      <c r="C3518" t="s">
        <v>18</v>
      </c>
      <c r="D3518" t="s">
        <v>15</v>
      </c>
      <c r="E3518">
        <v>0</v>
      </c>
      <c r="F3518">
        <v>0.75</v>
      </c>
      <c r="G3518">
        <v>53.445194721221903</v>
      </c>
      <c r="H3518">
        <v>1</v>
      </c>
      <c r="I3518">
        <v>3</v>
      </c>
      <c r="J3518">
        <v>30</v>
      </c>
    </row>
    <row r="3519" spans="1:10" x14ac:dyDescent="0.25">
      <c r="A3519" t="s">
        <v>23</v>
      </c>
      <c r="B3519" t="s">
        <v>21</v>
      </c>
      <c r="C3519" t="s">
        <v>18</v>
      </c>
      <c r="D3519" t="s">
        <v>15</v>
      </c>
      <c r="E3519">
        <v>0</v>
      </c>
      <c r="F3519">
        <v>0.75</v>
      </c>
      <c r="G3519">
        <v>53.769026041030799</v>
      </c>
      <c r="H3519">
        <v>0</v>
      </c>
      <c r="I3519">
        <v>0</v>
      </c>
      <c r="J3519">
        <v>30</v>
      </c>
    </row>
    <row r="3520" spans="1:10" x14ac:dyDescent="0.25">
      <c r="A3520" t="s">
        <v>23</v>
      </c>
      <c r="B3520" t="s">
        <v>21</v>
      </c>
      <c r="C3520" t="s">
        <v>18</v>
      </c>
      <c r="D3520" t="s">
        <v>15</v>
      </c>
      <c r="E3520">
        <v>0</v>
      </c>
      <c r="F3520">
        <v>0.75</v>
      </c>
      <c r="G3520">
        <v>54.8665611743927</v>
      </c>
      <c r="H3520">
        <v>1</v>
      </c>
      <c r="I3520">
        <v>3</v>
      </c>
      <c r="J3520">
        <v>30</v>
      </c>
    </row>
    <row r="3521" spans="1:10" x14ac:dyDescent="0.25">
      <c r="A3521" t="s">
        <v>23</v>
      </c>
      <c r="B3521" t="s">
        <v>21</v>
      </c>
      <c r="C3521" t="s">
        <v>18</v>
      </c>
      <c r="D3521" t="s">
        <v>15</v>
      </c>
      <c r="E3521">
        <v>0</v>
      </c>
      <c r="F3521">
        <v>0.75</v>
      </c>
      <c r="G3521">
        <v>57.639798641204798</v>
      </c>
      <c r="H3521">
        <v>1</v>
      </c>
      <c r="I3521">
        <v>3</v>
      </c>
      <c r="J3521">
        <v>30</v>
      </c>
    </row>
    <row r="3522" spans="1:10" x14ac:dyDescent="0.25">
      <c r="A3522" t="s">
        <v>23</v>
      </c>
      <c r="B3522" t="s">
        <v>21</v>
      </c>
      <c r="C3522" t="s">
        <v>18</v>
      </c>
      <c r="D3522" t="s">
        <v>15</v>
      </c>
      <c r="E3522">
        <v>1.2422360248447199E-3</v>
      </c>
      <c r="F3522">
        <v>0.75005900621118005</v>
      </c>
      <c r="G3522">
        <v>61.384759426116901</v>
      </c>
      <c r="H3522">
        <v>1</v>
      </c>
      <c r="I3522">
        <v>3</v>
      </c>
      <c r="J3522">
        <v>30</v>
      </c>
    </row>
    <row r="3523" spans="1:10" x14ac:dyDescent="0.25">
      <c r="A3523" t="s">
        <v>23</v>
      </c>
      <c r="B3523" t="s">
        <v>21</v>
      </c>
      <c r="C3523" t="s">
        <v>18</v>
      </c>
      <c r="D3523" t="s">
        <v>15</v>
      </c>
      <c r="E3523">
        <v>0</v>
      </c>
      <c r="F3523">
        <v>0.75</v>
      </c>
      <c r="G3523">
        <v>66.114040613174396</v>
      </c>
      <c r="H3523">
        <v>1</v>
      </c>
      <c r="I3523">
        <v>4</v>
      </c>
      <c r="J3523">
        <v>30</v>
      </c>
    </row>
    <row r="3524" spans="1:10" x14ac:dyDescent="0.25">
      <c r="A3524" t="s">
        <v>23</v>
      </c>
      <c r="B3524" t="s">
        <v>21</v>
      </c>
      <c r="C3524" t="s">
        <v>18</v>
      </c>
      <c r="D3524" t="s">
        <v>15</v>
      </c>
      <c r="E3524">
        <v>0</v>
      </c>
      <c r="F3524">
        <v>0.75</v>
      </c>
      <c r="G3524">
        <v>67.002758502960205</v>
      </c>
      <c r="H3524">
        <v>2</v>
      </c>
      <c r="I3524">
        <v>5</v>
      </c>
      <c r="J3524">
        <v>30</v>
      </c>
    </row>
    <row r="3525" spans="1:10" x14ac:dyDescent="0.25">
      <c r="A3525" t="s">
        <v>23</v>
      </c>
      <c r="B3525" t="s">
        <v>21</v>
      </c>
      <c r="C3525" t="s">
        <v>18</v>
      </c>
      <c r="D3525" t="s">
        <v>15</v>
      </c>
      <c r="E3525">
        <v>0</v>
      </c>
      <c r="F3525">
        <v>0.75</v>
      </c>
      <c r="G3525">
        <v>67.006517171859699</v>
      </c>
      <c r="H3525">
        <v>2</v>
      </c>
      <c r="I3525">
        <v>5</v>
      </c>
      <c r="J3525">
        <v>30</v>
      </c>
    </row>
    <row r="3526" spans="1:10" x14ac:dyDescent="0.25">
      <c r="A3526" t="s">
        <v>23</v>
      </c>
      <c r="B3526" t="s">
        <v>21</v>
      </c>
      <c r="C3526" t="s">
        <v>18</v>
      </c>
      <c r="D3526" t="s">
        <v>15</v>
      </c>
      <c r="E3526">
        <v>0</v>
      </c>
      <c r="F3526">
        <v>0.75</v>
      </c>
      <c r="G3526">
        <v>69.156590223312307</v>
      </c>
      <c r="H3526">
        <v>1</v>
      </c>
      <c r="I3526">
        <v>3</v>
      </c>
      <c r="J3526">
        <v>30</v>
      </c>
    </row>
    <row r="3527" spans="1:10" x14ac:dyDescent="0.25">
      <c r="A3527" t="s">
        <v>23</v>
      </c>
      <c r="B3527" t="s">
        <v>21</v>
      </c>
      <c r="C3527" t="s">
        <v>18</v>
      </c>
      <c r="D3527" t="s">
        <v>15</v>
      </c>
      <c r="E3527">
        <v>0</v>
      </c>
      <c r="F3527">
        <v>0.75</v>
      </c>
      <c r="G3527">
        <v>70.365359544754</v>
      </c>
      <c r="H3527">
        <v>1</v>
      </c>
      <c r="I3527">
        <v>3</v>
      </c>
      <c r="J3527">
        <v>30</v>
      </c>
    </row>
    <row r="3528" spans="1:10" x14ac:dyDescent="0.25">
      <c r="A3528" t="s">
        <v>23</v>
      </c>
      <c r="B3528" t="s">
        <v>21</v>
      </c>
      <c r="C3528" t="s">
        <v>18</v>
      </c>
      <c r="D3528" t="s">
        <v>15</v>
      </c>
      <c r="E3528">
        <v>0</v>
      </c>
      <c r="F3528">
        <v>0.75</v>
      </c>
      <c r="G3528">
        <v>74.052398920059204</v>
      </c>
      <c r="H3528">
        <v>3</v>
      </c>
      <c r="I3528">
        <v>7</v>
      </c>
      <c r="J3528">
        <v>30</v>
      </c>
    </row>
    <row r="3529" spans="1:10" x14ac:dyDescent="0.25">
      <c r="A3529" t="s">
        <v>23</v>
      </c>
      <c r="B3529" t="s">
        <v>21</v>
      </c>
      <c r="C3529" t="s">
        <v>18</v>
      </c>
      <c r="D3529" t="s">
        <v>15</v>
      </c>
      <c r="E3529">
        <v>0</v>
      </c>
      <c r="F3529">
        <v>0.75</v>
      </c>
      <c r="G3529">
        <v>77.9944007396698</v>
      </c>
      <c r="H3529">
        <v>1</v>
      </c>
      <c r="I3529">
        <v>4</v>
      </c>
      <c r="J3529">
        <v>30</v>
      </c>
    </row>
    <row r="3530" spans="1:10" x14ac:dyDescent="0.25">
      <c r="A3530" t="s">
        <v>23</v>
      </c>
      <c r="B3530" t="s">
        <v>21</v>
      </c>
      <c r="C3530" t="s">
        <v>18</v>
      </c>
      <c r="D3530" t="s">
        <v>15</v>
      </c>
      <c r="E3530">
        <v>0</v>
      </c>
      <c r="F3530">
        <v>0.74993478260869495</v>
      </c>
      <c r="G3530">
        <v>82.221602916717501</v>
      </c>
      <c r="H3530">
        <v>2</v>
      </c>
      <c r="I3530">
        <v>5</v>
      </c>
      <c r="J3530">
        <v>30</v>
      </c>
    </row>
    <row r="3531" spans="1:10" x14ac:dyDescent="0.25">
      <c r="A3531" t="s">
        <v>23</v>
      </c>
      <c r="B3531" t="s">
        <v>21</v>
      </c>
      <c r="C3531" t="s">
        <v>18</v>
      </c>
      <c r="D3531" t="s">
        <v>15</v>
      </c>
      <c r="E3531">
        <v>0</v>
      </c>
      <c r="F3531">
        <v>0.75</v>
      </c>
      <c r="G3531">
        <v>86.656560897827106</v>
      </c>
      <c r="H3531">
        <v>5</v>
      </c>
      <c r="I3531">
        <v>11</v>
      </c>
      <c r="J3531">
        <v>30</v>
      </c>
    </row>
    <row r="3532" spans="1:10" x14ac:dyDescent="0.25">
      <c r="A3532" t="s">
        <v>23</v>
      </c>
      <c r="B3532" t="s">
        <v>21</v>
      </c>
      <c r="C3532" t="s">
        <v>18</v>
      </c>
      <c r="D3532" t="s">
        <v>15</v>
      </c>
      <c r="E3532">
        <v>0</v>
      </c>
      <c r="F3532">
        <v>0.75</v>
      </c>
      <c r="G3532">
        <v>93.211471080780001</v>
      </c>
      <c r="H3532">
        <v>5</v>
      </c>
      <c r="I3532">
        <v>12</v>
      </c>
      <c r="J3532">
        <v>30</v>
      </c>
    </row>
    <row r="3533" spans="1:10" x14ac:dyDescent="0.25">
      <c r="A3533" t="s">
        <v>23</v>
      </c>
      <c r="B3533" t="s">
        <v>21</v>
      </c>
      <c r="C3533" t="s">
        <v>18</v>
      </c>
      <c r="D3533" t="s">
        <v>15</v>
      </c>
      <c r="E3533">
        <v>1.2422360248447199E-3</v>
      </c>
      <c r="F3533">
        <v>0.75005900621118005</v>
      </c>
      <c r="G3533">
        <v>98.003781318664494</v>
      </c>
      <c r="H3533">
        <v>4</v>
      </c>
      <c r="I3533">
        <v>9</v>
      </c>
      <c r="J3533">
        <v>30</v>
      </c>
    </row>
    <row r="3534" spans="1:10" x14ac:dyDescent="0.25">
      <c r="A3534" t="s">
        <v>23</v>
      </c>
      <c r="B3534" t="s">
        <v>21</v>
      </c>
      <c r="C3534" t="s">
        <v>18</v>
      </c>
      <c r="D3534" t="s">
        <v>15</v>
      </c>
      <c r="E3534">
        <v>2.4844720496894398E-3</v>
      </c>
      <c r="F3534">
        <v>0.75011801242235998</v>
      </c>
      <c r="G3534">
        <v>98.387221336364703</v>
      </c>
      <c r="H3534">
        <v>7</v>
      </c>
      <c r="I3534">
        <v>16</v>
      </c>
      <c r="J3534">
        <v>30</v>
      </c>
    </row>
    <row r="3535" spans="1:10" x14ac:dyDescent="0.25">
      <c r="A3535" t="s">
        <v>23</v>
      </c>
      <c r="B3535" t="s">
        <v>21</v>
      </c>
      <c r="C3535" t="s">
        <v>18</v>
      </c>
      <c r="D3535" t="s">
        <v>15</v>
      </c>
      <c r="E3535">
        <v>1.2422360248447199E-3</v>
      </c>
      <c r="F3535">
        <v>0.749993788819875</v>
      </c>
      <c r="G3535">
        <v>98.873986244201603</v>
      </c>
      <c r="H3535">
        <v>4</v>
      </c>
      <c r="I3535">
        <v>9</v>
      </c>
      <c r="J3535">
        <v>30</v>
      </c>
    </row>
    <row r="3536" spans="1:10" x14ac:dyDescent="0.25">
      <c r="A3536" t="s">
        <v>23</v>
      </c>
      <c r="B3536" t="s">
        <v>21</v>
      </c>
      <c r="C3536" t="s">
        <v>18</v>
      </c>
      <c r="D3536" t="s">
        <v>15</v>
      </c>
      <c r="E3536">
        <v>1.2422360248447199E-3</v>
      </c>
      <c r="F3536">
        <v>0.75005900621118005</v>
      </c>
      <c r="G3536">
        <v>99.429380416870103</v>
      </c>
      <c r="H3536">
        <v>7</v>
      </c>
      <c r="I3536">
        <v>16</v>
      </c>
      <c r="J3536">
        <v>30</v>
      </c>
    </row>
    <row r="3537" spans="1:10" x14ac:dyDescent="0.25">
      <c r="A3537" t="s">
        <v>23</v>
      </c>
      <c r="B3537" t="s">
        <v>21</v>
      </c>
      <c r="C3537" t="s">
        <v>18</v>
      </c>
      <c r="D3537" t="s">
        <v>15</v>
      </c>
      <c r="E3537">
        <v>2.4844720496894398E-3</v>
      </c>
      <c r="F3537">
        <v>0.75011801242235998</v>
      </c>
      <c r="G3537">
        <v>99.7990815639495</v>
      </c>
      <c r="H3537">
        <v>6</v>
      </c>
      <c r="I3537">
        <v>13</v>
      </c>
      <c r="J3537">
        <v>30</v>
      </c>
    </row>
    <row r="3538" spans="1:10" x14ac:dyDescent="0.25">
      <c r="A3538" t="s">
        <v>23</v>
      </c>
      <c r="B3538" t="s">
        <v>21</v>
      </c>
      <c r="C3538" t="s">
        <v>18</v>
      </c>
      <c r="D3538" t="s">
        <v>15</v>
      </c>
      <c r="E3538">
        <v>0</v>
      </c>
      <c r="F3538">
        <v>0.74993478260869495</v>
      </c>
      <c r="G3538">
        <v>103.055687904357</v>
      </c>
      <c r="H3538">
        <v>6</v>
      </c>
      <c r="I3538">
        <v>13</v>
      </c>
      <c r="J3538">
        <v>30</v>
      </c>
    </row>
    <row r="3539" spans="1:10" x14ac:dyDescent="0.25">
      <c r="A3539" t="s">
        <v>23</v>
      </c>
      <c r="B3539" t="s">
        <v>21</v>
      </c>
      <c r="C3539" t="s">
        <v>18</v>
      </c>
      <c r="D3539" t="s">
        <v>15</v>
      </c>
      <c r="E3539">
        <v>4.9689440993788796E-3</v>
      </c>
      <c r="F3539">
        <v>0.75023602484471996</v>
      </c>
      <c r="G3539">
        <v>102.912883996963</v>
      </c>
      <c r="H3539">
        <v>9</v>
      </c>
      <c r="I3539">
        <v>19</v>
      </c>
      <c r="J3539">
        <v>30</v>
      </c>
    </row>
    <row r="3540" spans="1:10" x14ac:dyDescent="0.25">
      <c r="A3540" t="s">
        <v>23</v>
      </c>
      <c r="B3540" t="s">
        <v>21</v>
      </c>
      <c r="C3540" t="s">
        <v>18</v>
      </c>
      <c r="D3540" t="s">
        <v>15</v>
      </c>
      <c r="E3540">
        <v>1.2422360248447199E-3</v>
      </c>
      <c r="F3540">
        <v>0.749863354037267</v>
      </c>
      <c r="G3540">
        <v>105.63303947448701</v>
      </c>
      <c r="H3540">
        <v>7</v>
      </c>
      <c r="I3540">
        <v>16</v>
      </c>
      <c r="J3540">
        <v>30</v>
      </c>
    </row>
    <row r="3541" spans="1:10" x14ac:dyDescent="0.25">
      <c r="A3541" t="s">
        <v>23</v>
      </c>
      <c r="B3541" t="s">
        <v>21</v>
      </c>
      <c r="C3541" t="s">
        <v>18</v>
      </c>
      <c r="D3541" t="s">
        <v>15</v>
      </c>
      <c r="E3541">
        <v>2.4844720496894398E-3</v>
      </c>
      <c r="F3541">
        <v>0.75011801242235998</v>
      </c>
      <c r="G3541">
        <v>106.70943331718399</v>
      </c>
      <c r="H3541">
        <v>10</v>
      </c>
      <c r="I3541">
        <v>23</v>
      </c>
      <c r="J3541">
        <v>30</v>
      </c>
    </row>
    <row r="3542" spans="1:10" x14ac:dyDescent="0.25">
      <c r="A3542" t="s">
        <v>23</v>
      </c>
      <c r="B3542" t="s">
        <v>21</v>
      </c>
      <c r="C3542" t="s">
        <v>18</v>
      </c>
      <c r="D3542" t="s">
        <v>16</v>
      </c>
      <c r="E3542">
        <v>0</v>
      </c>
      <c r="F3542">
        <v>0.75</v>
      </c>
      <c r="G3542">
        <v>27.117554664611799</v>
      </c>
      <c r="H3542">
        <v>0</v>
      </c>
      <c r="I3542">
        <v>0</v>
      </c>
      <c r="J3542">
        <v>30</v>
      </c>
    </row>
    <row r="3543" spans="1:10" x14ac:dyDescent="0.25">
      <c r="A3543" t="s">
        <v>23</v>
      </c>
      <c r="B3543" t="s">
        <v>21</v>
      </c>
      <c r="C3543" t="s">
        <v>18</v>
      </c>
      <c r="D3543" t="s">
        <v>16</v>
      </c>
      <c r="E3543">
        <v>0</v>
      </c>
      <c r="F3543">
        <v>0.75</v>
      </c>
      <c r="G3543">
        <v>28.333743810653601</v>
      </c>
      <c r="H3543">
        <v>0</v>
      </c>
      <c r="I3543">
        <v>0</v>
      </c>
      <c r="J3543">
        <v>30</v>
      </c>
    </row>
    <row r="3544" spans="1:10" x14ac:dyDescent="0.25">
      <c r="A3544" t="s">
        <v>23</v>
      </c>
      <c r="B3544" t="s">
        <v>21</v>
      </c>
      <c r="C3544" t="s">
        <v>18</v>
      </c>
      <c r="D3544" t="s">
        <v>16</v>
      </c>
      <c r="E3544">
        <v>0</v>
      </c>
      <c r="F3544">
        <v>0.75</v>
      </c>
      <c r="G3544">
        <v>28.399694442748999</v>
      </c>
      <c r="H3544">
        <v>0</v>
      </c>
      <c r="I3544">
        <v>0</v>
      </c>
      <c r="J3544">
        <v>30</v>
      </c>
    </row>
    <row r="3545" spans="1:10" x14ac:dyDescent="0.25">
      <c r="A3545" t="s">
        <v>23</v>
      </c>
      <c r="B3545" t="s">
        <v>21</v>
      </c>
      <c r="C3545" t="s">
        <v>18</v>
      </c>
      <c r="D3545" t="s">
        <v>16</v>
      </c>
      <c r="E3545">
        <v>0</v>
      </c>
      <c r="F3545">
        <v>0.75</v>
      </c>
      <c r="G3545">
        <v>29.546027898788399</v>
      </c>
      <c r="H3545">
        <v>0</v>
      </c>
      <c r="I3545">
        <v>0</v>
      </c>
      <c r="J3545">
        <v>30</v>
      </c>
    </row>
    <row r="3546" spans="1:10" x14ac:dyDescent="0.25">
      <c r="A3546" t="s">
        <v>23</v>
      </c>
      <c r="B3546" t="s">
        <v>21</v>
      </c>
      <c r="C3546" t="s">
        <v>18</v>
      </c>
      <c r="D3546" t="s">
        <v>16</v>
      </c>
      <c r="E3546">
        <v>0</v>
      </c>
      <c r="F3546">
        <v>0.75</v>
      </c>
      <c r="G3546">
        <v>30.123140573501502</v>
      </c>
      <c r="H3546">
        <v>0</v>
      </c>
      <c r="I3546">
        <v>0</v>
      </c>
      <c r="J3546">
        <v>30</v>
      </c>
    </row>
    <row r="3547" spans="1:10" x14ac:dyDescent="0.25">
      <c r="A3547" t="s">
        <v>23</v>
      </c>
      <c r="B3547" t="s">
        <v>21</v>
      </c>
      <c r="C3547" t="s">
        <v>18</v>
      </c>
      <c r="D3547" t="s">
        <v>16</v>
      </c>
      <c r="E3547">
        <v>0</v>
      </c>
      <c r="F3547">
        <v>0.75</v>
      </c>
      <c r="G3547">
        <v>30.332621335983202</v>
      </c>
      <c r="H3547">
        <v>0</v>
      </c>
      <c r="I3547">
        <v>0</v>
      </c>
      <c r="J3547">
        <v>30</v>
      </c>
    </row>
    <row r="3548" spans="1:10" x14ac:dyDescent="0.25">
      <c r="A3548" t="s">
        <v>23</v>
      </c>
      <c r="B3548" t="s">
        <v>21</v>
      </c>
      <c r="C3548" t="s">
        <v>18</v>
      </c>
      <c r="D3548" t="s">
        <v>16</v>
      </c>
      <c r="E3548">
        <v>0</v>
      </c>
      <c r="F3548">
        <v>0.75</v>
      </c>
      <c r="G3548">
        <v>30.752424001693701</v>
      </c>
      <c r="H3548">
        <v>0</v>
      </c>
      <c r="I3548">
        <v>0</v>
      </c>
      <c r="J3548">
        <v>30</v>
      </c>
    </row>
    <row r="3549" spans="1:10" x14ac:dyDescent="0.25">
      <c r="A3549" t="s">
        <v>23</v>
      </c>
      <c r="B3549" t="s">
        <v>21</v>
      </c>
      <c r="C3549" t="s">
        <v>18</v>
      </c>
      <c r="D3549" t="s">
        <v>16</v>
      </c>
      <c r="E3549">
        <v>0</v>
      </c>
      <c r="F3549">
        <v>0.75</v>
      </c>
      <c r="G3549">
        <v>30.461058616638098</v>
      </c>
      <c r="H3549">
        <v>0</v>
      </c>
      <c r="I3549">
        <v>0</v>
      </c>
      <c r="J3549">
        <v>30</v>
      </c>
    </row>
    <row r="3550" spans="1:10" x14ac:dyDescent="0.25">
      <c r="A3550" t="s">
        <v>23</v>
      </c>
      <c r="B3550" t="s">
        <v>21</v>
      </c>
      <c r="C3550" t="s">
        <v>18</v>
      </c>
      <c r="D3550" t="s">
        <v>16</v>
      </c>
      <c r="E3550">
        <v>0</v>
      </c>
      <c r="F3550">
        <v>0.75</v>
      </c>
      <c r="G3550">
        <v>30.897941589355401</v>
      </c>
      <c r="H3550">
        <v>0</v>
      </c>
      <c r="I3550">
        <v>0</v>
      </c>
      <c r="J3550">
        <v>30</v>
      </c>
    </row>
    <row r="3551" spans="1:10" x14ac:dyDescent="0.25">
      <c r="A3551" t="s">
        <v>23</v>
      </c>
      <c r="B3551" t="s">
        <v>21</v>
      </c>
      <c r="C3551" t="s">
        <v>18</v>
      </c>
      <c r="D3551" t="s">
        <v>16</v>
      </c>
      <c r="E3551">
        <v>0</v>
      </c>
      <c r="F3551">
        <v>0.75</v>
      </c>
      <c r="G3551">
        <v>31.534869909286499</v>
      </c>
      <c r="H3551">
        <v>0</v>
      </c>
      <c r="I3551">
        <v>0</v>
      </c>
      <c r="J3551">
        <v>30</v>
      </c>
    </row>
    <row r="3552" spans="1:10" x14ac:dyDescent="0.25">
      <c r="A3552" t="s">
        <v>23</v>
      </c>
      <c r="B3552" t="s">
        <v>21</v>
      </c>
      <c r="C3552" t="s">
        <v>18</v>
      </c>
      <c r="D3552" t="s">
        <v>16</v>
      </c>
      <c r="E3552">
        <v>0</v>
      </c>
      <c r="F3552">
        <v>0.75</v>
      </c>
      <c r="G3552">
        <v>31.2865214347839</v>
      </c>
      <c r="H3552">
        <v>0</v>
      </c>
      <c r="I3552">
        <v>0</v>
      </c>
      <c r="J3552">
        <v>30</v>
      </c>
    </row>
    <row r="3553" spans="1:10" x14ac:dyDescent="0.25">
      <c r="A3553" t="s">
        <v>23</v>
      </c>
      <c r="B3553" t="s">
        <v>21</v>
      </c>
      <c r="C3553" t="s">
        <v>18</v>
      </c>
      <c r="D3553" t="s">
        <v>16</v>
      </c>
      <c r="E3553">
        <v>0</v>
      </c>
      <c r="F3553">
        <v>0.75</v>
      </c>
      <c r="G3553">
        <v>31.667908906936599</v>
      </c>
      <c r="H3553">
        <v>0</v>
      </c>
      <c r="I3553">
        <v>0</v>
      </c>
      <c r="J3553">
        <v>30</v>
      </c>
    </row>
    <row r="3554" spans="1:10" x14ac:dyDescent="0.25">
      <c r="A3554" t="s">
        <v>23</v>
      </c>
      <c r="B3554" t="s">
        <v>21</v>
      </c>
      <c r="C3554" t="s">
        <v>18</v>
      </c>
      <c r="D3554" t="s">
        <v>16</v>
      </c>
      <c r="E3554">
        <v>0</v>
      </c>
      <c r="F3554">
        <v>0.75</v>
      </c>
      <c r="G3554">
        <v>32.0225217342376</v>
      </c>
      <c r="H3554">
        <v>0</v>
      </c>
      <c r="I3554">
        <v>0</v>
      </c>
      <c r="J3554">
        <v>30</v>
      </c>
    </row>
    <row r="3555" spans="1:10" x14ac:dyDescent="0.25">
      <c r="A3555" t="s">
        <v>23</v>
      </c>
      <c r="B3555" t="s">
        <v>21</v>
      </c>
      <c r="C3555" t="s">
        <v>18</v>
      </c>
      <c r="D3555" t="s">
        <v>16</v>
      </c>
      <c r="E3555">
        <v>0</v>
      </c>
      <c r="F3555">
        <v>0.75</v>
      </c>
      <c r="G3555">
        <v>32.651101589202803</v>
      </c>
      <c r="H3555">
        <v>0</v>
      </c>
      <c r="I3555">
        <v>0</v>
      </c>
      <c r="J3555">
        <v>30</v>
      </c>
    </row>
    <row r="3556" spans="1:10" x14ac:dyDescent="0.25">
      <c r="A3556" t="s">
        <v>23</v>
      </c>
      <c r="B3556" t="s">
        <v>21</v>
      </c>
      <c r="C3556" t="s">
        <v>18</v>
      </c>
      <c r="D3556" t="s">
        <v>16</v>
      </c>
      <c r="E3556">
        <v>0</v>
      </c>
      <c r="F3556">
        <v>0.75</v>
      </c>
      <c r="G3556">
        <v>32.5779867172241</v>
      </c>
      <c r="H3556">
        <v>0</v>
      </c>
      <c r="I3556">
        <v>0</v>
      </c>
      <c r="J3556">
        <v>30</v>
      </c>
    </row>
    <row r="3557" spans="1:10" x14ac:dyDescent="0.25">
      <c r="A3557" t="s">
        <v>23</v>
      </c>
      <c r="B3557" t="s">
        <v>21</v>
      </c>
      <c r="C3557" t="s">
        <v>18</v>
      </c>
      <c r="D3557" t="s">
        <v>16</v>
      </c>
      <c r="E3557">
        <v>0</v>
      </c>
      <c r="F3557">
        <v>0.75</v>
      </c>
      <c r="G3557">
        <v>32.844313144683802</v>
      </c>
      <c r="H3557">
        <v>0</v>
      </c>
      <c r="I3557">
        <v>0</v>
      </c>
      <c r="J3557">
        <v>30</v>
      </c>
    </row>
    <row r="3558" spans="1:10" x14ac:dyDescent="0.25">
      <c r="A3558" t="s">
        <v>23</v>
      </c>
      <c r="B3558" t="s">
        <v>21</v>
      </c>
      <c r="C3558" t="s">
        <v>18</v>
      </c>
      <c r="D3558" t="s">
        <v>16</v>
      </c>
      <c r="E3558">
        <v>0</v>
      </c>
      <c r="F3558">
        <v>0.75</v>
      </c>
      <c r="G3558">
        <v>33.109975099563599</v>
      </c>
      <c r="H3558">
        <v>0</v>
      </c>
      <c r="I3558">
        <v>0</v>
      </c>
      <c r="J3558">
        <v>30</v>
      </c>
    </row>
    <row r="3559" spans="1:10" x14ac:dyDescent="0.25">
      <c r="A3559" t="s">
        <v>23</v>
      </c>
      <c r="B3559" t="s">
        <v>21</v>
      </c>
      <c r="C3559" t="s">
        <v>18</v>
      </c>
      <c r="D3559" t="s">
        <v>16</v>
      </c>
      <c r="E3559">
        <v>0</v>
      </c>
      <c r="F3559">
        <v>0.75</v>
      </c>
      <c r="G3559">
        <v>33.496226072311401</v>
      </c>
      <c r="H3559">
        <v>0</v>
      </c>
      <c r="I3559">
        <v>0</v>
      </c>
      <c r="J3559">
        <v>30</v>
      </c>
    </row>
    <row r="3560" spans="1:10" x14ac:dyDescent="0.25">
      <c r="A3560" t="s">
        <v>23</v>
      </c>
      <c r="B3560" t="s">
        <v>21</v>
      </c>
      <c r="C3560" t="s">
        <v>18</v>
      </c>
      <c r="D3560" t="s">
        <v>16</v>
      </c>
      <c r="E3560">
        <v>0</v>
      </c>
      <c r="F3560">
        <v>0.75</v>
      </c>
      <c r="G3560">
        <v>33.659843683242798</v>
      </c>
      <c r="H3560">
        <v>0</v>
      </c>
      <c r="I3560">
        <v>0</v>
      </c>
      <c r="J3560">
        <v>30</v>
      </c>
    </row>
    <row r="3561" spans="1:10" x14ac:dyDescent="0.25">
      <c r="A3561" t="s">
        <v>23</v>
      </c>
      <c r="B3561" t="s">
        <v>21</v>
      </c>
      <c r="C3561" t="s">
        <v>18</v>
      </c>
      <c r="D3561" t="s">
        <v>16</v>
      </c>
      <c r="E3561">
        <v>0</v>
      </c>
      <c r="F3561">
        <v>0.75</v>
      </c>
      <c r="G3561">
        <v>34.164937019348102</v>
      </c>
      <c r="H3561">
        <v>0</v>
      </c>
      <c r="I3561">
        <v>0</v>
      </c>
      <c r="J3561">
        <v>30</v>
      </c>
    </row>
    <row r="3562" spans="1:10" x14ac:dyDescent="0.25">
      <c r="A3562" t="s">
        <v>23</v>
      </c>
      <c r="B3562" t="s">
        <v>21</v>
      </c>
      <c r="C3562" t="s">
        <v>18</v>
      </c>
      <c r="D3562" t="s">
        <v>16</v>
      </c>
      <c r="E3562">
        <v>0</v>
      </c>
      <c r="F3562">
        <v>0.75</v>
      </c>
      <c r="G3562">
        <v>34.083219289779599</v>
      </c>
      <c r="H3562">
        <v>0</v>
      </c>
      <c r="I3562">
        <v>0</v>
      </c>
      <c r="J3562">
        <v>30</v>
      </c>
    </row>
    <row r="3563" spans="1:10" x14ac:dyDescent="0.25">
      <c r="A3563" t="s">
        <v>23</v>
      </c>
      <c r="B3563" t="s">
        <v>21</v>
      </c>
      <c r="C3563" t="s">
        <v>18</v>
      </c>
      <c r="D3563" t="s">
        <v>16</v>
      </c>
      <c r="E3563">
        <v>0</v>
      </c>
      <c r="F3563">
        <v>0.75</v>
      </c>
      <c r="G3563">
        <v>34.109607219696002</v>
      </c>
      <c r="H3563">
        <v>0</v>
      </c>
      <c r="I3563">
        <v>0</v>
      </c>
      <c r="J3563">
        <v>30</v>
      </c>
    </row>
    <row r="3564" spans="1:10" x14ac:dyDescent="0.25">
      <c r="A3564" t="s">
        <v>23</v>
      </c>
      <c r="B3564" t="s">
        <v>21</v>
      </c>
      <c r="C3564" t="s">
        <v>18</v>
      </c>
      <c r="D3564" t="s">
        <v>16</v>
      </c>
      <c r="E3564">
        <v>0</v>
      </c>
      <c r="F3564">
        <v>0.75</v>
      </c>
      <c r="G3564">
        <v>34.704728364944401</v>
      </c>
      <c r="H3564">
        <v>0</v>
      </c>
      <c r="I3564">
        <v>0</v>
      </c>
      <c r="J3564">
        <v>30</v>
      </c>
    </row>
    <row r="3565" spans="1:10" x14ac:dyDescent="0.25">
      <c r="A3565" t="s">
        <v>23</v>
      </c>
      <c r="B3565" t="s">
        <v>21</v>
      </c>
      <c r="C3565" t="s">
        <v>18</v>
      </c>
      <c r="D3565" t="s">
        <v>16</v>
      </c>
      <c r="E3565">
        <v>0</v>
      </c>
      <c r="F3565">
        <v>0.75</v>
      </c>
      <c r="G3565">
        <v>35.069985866546602</v>
      </c>
      <c r="H3565">
        <v>0</v>
      </c>
      <c r="I3565">
        <v>0</v>
      </c>
      <c r="J3565">
        <v>30</v>
      </c>
    </row>
    <row r="3566" spans="1:10" x14ac:dyDescent="0.25">
      <c r="A3566" t="s">
        <v>23</v>
      </c>
      <c r="B3566" t="s">
        <v>21</v>
      </c>
      <c r="C3566" t="s">
        <v>18</v>
      </c>
      <c r="D3566" t="s">
        <v>16</v>
      </c>
      <c r="E3566">
        <v>0</v>
      </c>
      <c r="F3566">
        <v>0.75</v>
      </c>
      <c r="G3566">
        <v>35.009744167327803</v>
      </c>
      <c r="H3566">
        <v>0</v>
      </c>
      <c r="I3566">
        <v>0</v>
      </c>
      <c r="J3566">
        <v>30</v>
      </c>
    </row>
    <row r="3567" spans="1:10" x14ac:dyDescent="0.25">
      <c r="A3567" t="s">
        <v>23</v>
      </c>
      <c r="B3567" t="s">
        <v>21</v>
      </c>
      <c r="C3567" t="s">
        <v>18</v>
      </c>
      <c r="D3567" t="s">
        <v>16</v>
      </c>
      <c r="E3567">
        <v>0</v>
      </c>
      <c r="F3567">
        <v>0.75</v>
      </c>
      <c r="G3567">
        <v>34.923577070236199</v>
      </c>
      <c r="H3567">
        <v>0</v>
      </c>
      <c r="I3567">
        <v>0</v>
      </c>
      <c r="J3567">
        <v>30</v>
      </c>
    </row>
    <row r="3568" spans="1:10" x14ac:dyDescent="0.25">
      <c r="A3568" t="s">
        <v>23</v>
      </c>
      <c r="B3568" t="s">
        <v>21</v>
      </c>
      <c r="C3568" t="s">
        <v>18</v>
      </c>
      <c r="D3568" t="s">
        <v>16</v>
      </c>
      <c r="E3568">
        <v>0</v>
      </c>
      <c r="F3568">
        <v>0.75</v>
      </c>
      <c r="G3568">
        <v>35.114300489425602</v>
      </c>
      <c r="H3568">
        <v>0</v>
      </c>
      <c r="I3568">
        <v>0</v>
      </c>
      <c r="J3568">
        <v>30</v>
      </c>
    </row>
    <row r="3569" spans="1:10" x14ac:dyDescent="0.25">
      <c r="A3569" t="s">
        <v>23</v>
      </c>
      <c r="B3569" t="s">
        <v>21</v>
      </c>
      <c r="C3569" t="s">
        <v>18</v>
      </c>
      <c r="D3569" t="s">
        <v>16</v>
      </c>
      <c r="E3569">
        <v>0</v>
      </c>
      <c r="F3569">
        <v>0.75</v>
      </c>
      <c r="G3569">
        <v>35.329613685607903</v>
      </c>
      <c r="H3569">
        <v>0</v>
      </c>
      <c r="I3569">
        <v>0</v>
      </c>
      <c r="J3569">
        <v>30</v>
      </c>
    </row>
    <row r="3570" spans="1:10" x14ac:dyDescent="0.25">
      <c r="A3570" t="s">
        <v>23</v>
      </c>
      <c r="B3570" t="s">
        <v>21</v>
      </c>
      <c r="C3570" t="s">
        <v>18</v>
      </c>
      <c r="D3570" t="s">
        <v>16</v>
      </c>
      <c r="E3570">
        <v>0</v>
      </c>
      <c r="F3570">
        <v>0.75</v>
      </c>
      <c r="G3570">
        <v>35.395444393157902</v>
      </c>
      <c r="H3570">
        <v>0</v>
      </c>
      <c r="I3570">
        <v>0</v>
      </c>
      <c r="J3570">
        <v>30</v>
      </c>
    </row>
    <row r="3571" spans="1:10" x14ac:dyDescent="0.25">
      <c r="A3571" t="s">
        <v>23</v>
      </c>
      <c r="B3571" t="s">
        <v>21</v>
      </c>
      <c r="C3571" t="s">
        <v>18</v>
      </c>
      <c r="D3571" t="s">
        <v>16</v>
      </c>
      <c r="E3571">
        <v>0</v>
      </c>
      <c r="F3571">
        <v>0.75</v>
      </c>
      <c r="G3571">
        <v>35.066385507583597</v>
      </c>
      <c r="H3571">
        <v>0</v>
      </c>
      <c r="I3571">
        <v>0</v>
      </c>
      <c r="J3571">
        <v>30</v>
      </c>
    </row>
    <row r="3572" spans="1:10" x14ac:dyDescent="0.25">
      <c r="A3572" t="s">
        <v>23</v>
      </c>
      <c r="B3572" t="s">
        <v>21</v>
      </c>
      <c r="C3572" t="s">
        <v>18</v>
      </c>
      <c r="D3572" t="s">
        <v>17</v>
      </c>
      <c r="E3572">
        <v>0.83602484472049599</v>
      </c>
      <c r="F3572">
        <v>0.86213624562062097</v>
      </c>
      <c r="G3572">
        <v>14680.5330517292</v>
      </c>
      <c r="H3572">
        <v>754</v>
      </c>
      <c r="I3572">
        <v>718</v>
      </c>
      <c r="J3572">
        <v>30</v>
      </c>
    </row>
    <row r="3573" spans="1:10" x14ac:dyDescent="0.25">
      <c r="A3573" t="s">
        <v>23</v>
      </c>
      <c r="B3573" t="s">
        <v>21</v>
      </c>
      <c r="C3573" t="s">
        <v>18</v>
      </c>
      <c r="D3573" t="s">
        <v>17</v>
      </c>
      <c r="E3573">
        <v>0.81242236024844705</v>
      </c>
      <c r="F3573">
        <v>0.857824836245341</v>
      </c>
      <c r="G3573">
        <v>14696.321666002201</v>
      </c>
      <c r="H3573">
        <v>780</v>
      </c>
      <c r="I3573">
        <v>737</v>
      </c>
      <c r="J3573">
        <v>30</v>
      </c>
    </row>
    <row r="3574" spans="1:10" x14ac:dyDescent="0.25">
      <c r="A3574" t="s">
        <v>23</v>
      </c>
      <c r="B3574" t="s">
        <v>21</v>
      </c>
      <c r="C3574" t="s">
        <v>18</v>
      </c>
      <c r="D3574" t="s">
        <v>17</v>
      </c>
      <c r="E3574">
        <v>0.83478260869565202</v>
      </c>
      <c r="F3574">
        <v>0.85813862845329203</v>
      </c>
      <c r="G3574">
        <v>14898.3207292556</v>
      </c>
      <c r="H3574">
        <v>810</v>
      </c>
      <c r="I3574">
        <v>758</v>
      </c>
      <c r="J3574">
        <v>30</v>
      </c>
    </row>
    <row r="3575" spans="1:10" x14ac:dyDescent="0.25">
      <c r="A3575" t="s">
        <v>23</v>
      </c>
      <c r="B3575" t="s">
        <v>21</v>
      </c>
      <c r="C3575" t="s">
        <v>18</v>
      </c>
      <c r="D3575" t="s">
        <v>17</v>
      </c>
      <c r="E3575">
        <v>0.80372670807453395</v>
      </c>
      <c r="F3575">
        <v>0.85323548962385098</v>
      </c>
      <c r="G3575">
        <v>14899.9126188755</v>
      </c>
      <c r="H3575">
        <v>775</v>
      </c>
      <c r="I3575">
        <v>736</v>
      </c>
      <c r="J3575">
        <v>30</v>
      </c>
    </row>
    <row r="3576" spans="1:10" x14ac:dyDescent="0.25">
      <c r="A3576" t="s">
        <v>23</v>
      </c>
      <c r="B3576" t="s">
        <v>21</v>
      </c>
      <c r="C3576" t="s">
        <v>18</v>
      </c>
      <c r="D3576" t="s">
        <v>17</v>
      </c>
      <c r="E3576">
        <v>0.831055900621118</v>
      </c>
      <c r="F3576">
        <v>0.86099078347900604</v>
      </c>
      <c r="G3576">
        <v>14918.941891193301</v>
      </c>
      <c r="H3576">
        <v>781</v>
      </c>
      <c r="I3576">
        <v>722</v>
      </c>
      <c r="J3576">
        <v>30</v>
      </c>
    </row>
    <row r="3577" spans="1:10" x14ac:dyDescent="0.25">
      <c r="A3577" t="s">
        <v>23</v>
      </c>
      <c r="B3577" t="s">
        <v>21</v>
      </c>
      <c r="C3577" t="s">
        <v>18</v>
      </c>
      <c r="D3577" t="s">
        <v>17</v>
      </c>
      <c r="E3577">
        <v>0.80372670807453395</v>
      </c>
      <c r="F3577">
        <v>0.851144077309689</v>
      </c>
      <c r="G3577">
        <v>14995.893766880001</v>
      </c>
      <c r="H3577">
        <v>755</v>
      </c>
      <c r="I3577">
        <v>727</v>
      </c>
      <c r="J3577">
        <v>30</v>
      </c>
    </row>
    <row r="3578" spans="1:10" x14ac:dyDescent="0.25">
      <c r="A3578" t="s">
        <v>23</v>
      </c>
      <c r="B3578" t="s">
        <v>21</v>
      </c>
      <c r="C3578" t="s">
        <v>18</v>
      </c>
      <c r="D3578" t="s">
        <v>17</v>
      </c>
      <c r="E3578">
        <v>0.83229813664596197</v>
      </c>
      <c r="F3578">
        <v>0.85875875078633501</v>
      </c>
      <c r="G3578">
        <v>15021.5277464389</v>
      </c>
      <c r="H3578">
        <v>749</v>
      </c>
      <c r="I3578">
        <v>721</v>
      </c>
      <c r="J3578">
        <v>30</v>
      </c>
    </row>
    <row r="3579" spans="1:10" x14ac:dyDescent="0.25">
      <c r="A3579" t="s">
        <v>23</v>
      </c>
      <c r="B3579" t="s">
        <v>21</v>
      </c>
      <c r="C3579" t="s">
        <v>18</v>
      </c>
      <c r="D3579" t="s">
        <v>17</v>
      </c>
      <c r="E3579">
        <v>0.84596273291925395</v>
      </c>
      <c r="F3579">
        <v>0.86932021596434705</v>
      </c>
      <c r="G3579">
        <v>15029.509209632801</v>
      </c>
      <c r="H3579">
        <v>734</v>
      </c>
      <c r="I3579">
        <v>698</v>
      </c>
      <c r="J3579">
        <v>30</v>
      </c>
    </row>
    <row r="3580" spans="1:10" x14ac:dyDescent="0.25">
      <c r="A3580" t="s">
        <v>23</v>
      </c>
      <c r="B3580" t="s">
        <v>21</v>
      </c>
      <c r="C3580" t="s">
        <v>18</v>
      </c>
      <c r="D3580" t="s">
        <v>17</v>
      </c>
      <c r="E3580">
        <v>0.83478260869565202</v>
      </c>
      <c r="F3580">
        <v>0.86449505756881995</v>
      </c>
      <c r="G3580">
        <v>15092.7053880691</v>
      </c>
      <c r="H3580">
        <v>752</v>
      </c>
      <c r="I3580">
        <v>724</v>
      </c>
      <c r="J3580">
        <v>30</v>
      </c>
    </row>
    <row r="3581" spans="1:10" x14ac:dyDescent="0.25">
      <c r="A3581" t="s">
        <v>23</v>
      </c>
      <c r="B3581" t="s">
        <v>21</v>
      </c>
      <c r="C3581" t="s">
        <v>18</v>
      </c>
      <c r="D3581" t="s">
        <v>17</v>
      </c>
      <c r="E3581">
        <v>0.81118012422360197</v>
      </c>
      <c r="F3581">
        <v>0.85196913403142804</v>
      </c>
      <c r="G3581">
        <v>15110.070916414201</v>
      </c>
      <c r="H3581">
        <v>792</v>
      </c>
      <c r="I3581">
        <v>745</v>
      </c>
      <c r="J3581">
        <v>30</v>
      </c>
    </row>
    <row r="3582" spans="1:10" x14ac:dyDescent="0.25">
      <c r="A3582" t="s">
        <v>23</v>
      </c>
      <c r="B3582" t="s">
        <v>21</v>
      </c>
      <c r="C3582" t="s">
        <v>18</v>
      </c>
      <c r="D3582" t="s">
        <v>17</v>
      </c>
      <c r="E3582">
        <v>0.81242236024844705</v>
      </c>
      <c r="F3582">
        <v>0.84873565386881999</v>
      </c>
      <c r="G3582">
        <v>15140.0347964763</v>
      </c>
      <c r="H3582">
        <v>774</v>
      </c>
      <c r="I3582">
        <v>733</v>
      </c>
      <c r="J3582">
        <v>30</v>
      </c>
    </row>
    <row r="3583" spans="1:10" x14ac:dyDescent="0.25">
      <c r="A3583" t="s">
        <v>23</v>
      </c>
      <c r="B3583" t="s">
        <v>21</v>
      </c>
      <c r="C3583" t="s">
        <v>18</v>
      </c>
      <c r="D3583" t="s">
        <v>17</v>
      </c>
      <c r="E3583">
        <v>0.82608695652173902</v>
      </c>
      <c r="F3583">
        <v>0.856515465738385</v>
      </c>
      <c r="G3583">
        <v>15191.471219778001</v>
      </c>
      <c r="H3583">
        <v>769</v>
      </c>
      <c r="I3583">
        <v>706</v>
      </c>
      <c r="J3583">
        <v>30</v>
      </c>
    </row>
    <row r="3584" spans="1:10" x14ac:dyDescent="0.25">
      <c r="A3584" t="s">
        <v>23</v>
      </c>
      <c r="B3584" t="s">
        <v>21</v>
      </c>
      <c r="C3584" t="s">
        <v>18</v>
      </c>
      <c r="D3584" t="s">
        <v>17</v>
      </c>
      <c r="E3584">
        <v>0.83354037267080705</v>
      </c>
      <c r="F3584">
        <v>0.86212973365018597</v>
      </c>
      <c r="G3584">
        <v>15197.449212551101</v>
      </c>
      <c r="H3584">
        <v>745</v>
      </c>
      <c r="I3584">
        <v>708</v>
      </c>
      <c r="J3584">
        <v>30</v>
      </c>
    </row>
    <row r="3585" spans="1:10" x14ac:dyDescent="0.25">
      <c r="A3585" t="s">
        <v>23</v>
      </c>
      <c r="B3585" t="s">
        <v>21</v>
      </c>
      <c r="C3585" t="s">
        <v>18</v>
      </c>
      <c r="D3585" t="s">
        <v>17</v>
      </c>
      <c r="E3585">
        <v>0.82981366459627304</v>
      </c>
      <c r="F3585">
        <v>0.86480015050993797</v>
      </c>
      <c r="G3585">
        <v>15202.707942008899</v>
      </c>
      <c r="H3585">
        <v>749</v>
      </c>
      <c r="I3585">
        <v>709</v>
      </c>
      <c r="J3585">
        <v>30</v>
      </c>
    </row>
    <row r="3586" spans="1:10" x14ac:dyDescent="0.25">
      <c r="A3586" t="s">
        <v>23</v>
      </c>
      <c r="B3586" t="s">
        <v>21</v>
      </c>
      <c r="C3586" t="s">
        <v>18</v>
      </c>
      <c r="D3586" t="s">
        <v>17</v>
      </c>
      <c r="E3586">
        <v>0.82360248447204898</v>
      </c>
      <c r="F3586">
        <v>0.86005382008583797</v>
      </c>
      <c r="G3586">
        <v>15224.3181064128</v>
      </c>
      <c r="H3586">
        <v>759</v>
      </c>
      <c r="I3586">
        <v>729</v>
      </c>
      <c r="J3586">
        <v>30</v>
      </c>
    </row>
    <row r="3587" spans="1:10" x14ac:dyDescent="0.25">
      <c r="A3587" t="s">
        <v>23</v>
      </c>
      <c r="B3587" t="s">
        <v>21</v>
      </c>
      <c r="C3587" t="s">
        <v>18</v>
      </c>
      <c r="D3587" t="s">
        <v>17</v>
      </c>
      <c r="E3587">
        <v>0.85465838509316705</v>
      </c>
      <c r="F3587">
        <v>0.86267796091453397</v>
      </c>
      <c r="G3587">
        <v>15224.8604376316</v>
      </c>
      <c r="H3587">
        <v>797</v>
      </c>
      <c r="I3587">
        <v>757</v>
      </c>
      <c r="J3587">
        <v>30</v>
      </c>
    </row>
    <row r="3588" spans="1:10" x14ac:dyDescent="0.25">
      <c r="A3588" t="s">
        <v>23</v>
      </c>
      <c r="B3588" t="s">
        <v>21</v>
      </c>
      <c r="C3588" t="s">
        <v>18</v>
      </c>
      <c r="D3588" t="s">
        <v>17</v>
      </c>
      <c r="E3588">
        <v>0.83726708074534095</v>
      </c>
      <c r="F3588">
        <v>0.86346780867714301</v>
      </c>
      <c r="G3588">
        <v>15247.3596000671</v>
      </c>
      <c r="H3588">
        <v>775</v>
      </c>
      <c r="I3588">
        <v>721</v>
      </c>
      <c r="J3588">
        <v>30</v>
      </c>
    </row>
    <row r="3589" spans="1:10" x14ac:dyDescent="0.25">
      <c r="A3589" t="s">
        <v>23</v>
      </c>
      <c r="B3589" t="s">
        <v>21</v>
      </c>
      <c r="C3589" t="s">
        <v>18</v>
      </c>
      <c r="D3589" t="s">
        <v>17</v>
      </c>
      <c r="E3589">
        <v>0.82111801242236004</v>
      </c>
      <c r="F3589">
        <v>0.86199155053329102</v>
      </c>
      <c r="G3589">
        <v>15260.445128679199</v>
      </c>
      <c r="H3589">
        <v>718</v>
      </c>
      <c r="I3589">
        <v>685</v>
      </c>
      <c r="J3589">
        <v>30</v>
      </c>
    </row>
    <row r="3590" spans="1:10" x14ac:dyDescent="0.25">
      <c r="A3590" t="s">
        <v>23</v>
      </c>
      <c r="B3590" t="s">
        <v>21</v>
      </c>
      <c r="C3590" t="s">
        <v>18</v>
      </c>
      <c r="D3590" t="s">
        <v>17</v>
      </c>
      <c r="E3590">
        <v>0.80372670807453395</v>
      </c>
      <c r="F3590">
        <v>0.84963859516882001</v>
      </c>
      <c r="G3590">
        <v>15291.095148086501</v>
      </c>
      <c r="H3590">
        <v>749</v>
      </c>
      <c r="I3590">
        <v>704</v>
      </c>
      <c r="J3590">
        <v>30</v>
      </c>
    </row>
    <row r="3591" spans="1:10" x14ac:dyDescent="0.25">
      <c r="A3591" t="s">
        <v>23</v>
      </c>
      <c r="B3591" t="s">
        <v>21</v>
      </c>
      <c r="C3591" t="s">
        <v>18</v>
      </c>
      <c r="D3591" t="s">
        <v>17</v>
      </c>
      <c r="E3591">
        <v>0.81366459627329102</v>
      </c>
      <c r="F3591">
        <v>0.85797020690795001</v>
      </c>
      <c r="G3591">
        <v>15308.483442544901</v>
      </c>
      <c r="H3591">
        <v>751</v>
      </c>
      <c r="I3591">
        <v>703</v>
      </c>
      <c r="J3591">
        <v>30</v>
      </c>
    </row>
    <row r="3592" spans="1:10" x14ac:dyDescent="0.25">
      <c r="A3592" t="s">
        <v>23</v>
      </c>
      <c r="B3592" t="s">
        <v>21</v>
      </c>
      <c r="C3592" t="s">
        <v>18</v>
      </c>
      <c r="D3592" t="s">
        <v>17</v>
      </c>
      <c r="E3592">
        <v>0.81242236024844705</v>
      </c>
      <c r="F3592">
        <v>0.85686986182484404</v>
      </c>
      <c r="G3592">
        <v>15325.8267161846</v>
      </c>
      <c r="H3592">
        <v>751</v>
      </c>
      <c r="I3592">
        <v>716</v>
      </c>
      <c r="J3592">
        <v>30</v>
      </c>
    </row>
    <row r="3593" spans="1:10" x14ac:dyDescent="0.25">
      <c r="A3593" t="s">
        <v>23</v>
      </c>
      <c r="B3593" t="s">
        <v>21</v>
      </c>
      <c r="C3593" t="s">
        <v>18</v>
      </c>
      <c r="D3593" t="s">
        <v>17</v>
      </c>
      <c r="E3593">
        <v>0.85838509316770095</v>
      </c>
      <c r="F3593">
        <v>0.87283218312422295</v>
      </c>
      <c r="G3593">
        <v>15326.2215685844</v>
      </c>
      <c r="H3593">
        <v>774</v>
      </c>
      <c r="I3593">
        <v>733</v>
      </c>
      <c r="J3593">
        <v>30</v>
      </c>
    </row>
    <row r="3594" spans="1:10" x14ac:dyDescent="0.25">
      <c r="A3594" t="s">
        <v>23</v>
      </c>
      <c r="B3594" t="s">
        <v>21</v>
      </c>
      <c r="C3594" t="s">
        <v>18</v>
      </c>
      <c r="D3594" t="s">
        <v>17</v>
      </c>
      <c r="E3594">
        <v>0.80372670807453395</v>
      </c>
      <c r="F3594">
        <v>0.84927731324558997</v>
      </c>
      <c r="G3594">
        <v>15327.3662109375</v>
      </c>
      <c r="H3594">
        <v>779</v>
      </c>
      <c r="I3594">
        <v>729</v>
      </c>
      <c r="J3594">
        <v>30</v>
      </c>
    </row>
    <row r="3595" spans="1:10" x14ac:dyDescent="0.25">
      <c r="A3595" t="s">
        <v>23</v>
      </c>
      <c r="B3595" t="s">
        <v>21</v>
      </c>
      <c r="C3595" t="s">
        <v>18</v>
      </c>
      <c r="D3595" t="s">
        <v>17</v>
      </c>
      <c r="E3595">
        <v>0.80869565217391304</v>
      </c>
      <c r="F3595">
        <v>0.85445310236708005</v>
      </c>
      <c r="G3595">
        <v>15332.3583974838</v>
      </c>
      <c r="H3595">
        <v>814</v>
      </c>
      <c r="I3595">
        <v>758</v>
      </c>
      <c r="J3595">
        <v>30</v>
      </c>
    </row>
    <row r="3596" spans="1:10" x14ac:dyDescent="0.25">
      <c r="A3596" t="s">
        <v>23</v>
      </c>
      <c r="B3596" t="s">
        <v>21</v>
      </c>
      <c r="C3596" t="s">
        <v>18</v>
      </c>
      <c r="D3596" t="s">
        <v>17</v>
      </c>
      <c r="E3596">
        <v>0.83354037267080705</v>
      </c>
      <c r="F3596">
        <v>0.85953608281565197</v>
      </c>
      <c r="G3596">
        <v>15374.636856555901</v>
      </c>
      <c r="H3596">
        <v>763</v>
      </c>
      <c r="I3596">
        <v>712</v>
      </c>
      <c r="J3596">
        <v>30</v>
      </c>
    </row>
    <row r="3597" spans="1:10" x14ac:dyDescent="0.25">
      <c r="A3597" t="s">
        <v>23</v>
      </c>
      <c r="B3597" t="s">
        <v>21</v>
      </c>
      <c r="C3597" t="s">
        <v>18</v>
      </c>
      <c r="D3597" t="s">
        <v>17</v>
      </c>
      <c r="E3597">
        <v>0.82360248447204898</v>
      </c>
      <c r="F3597">
        <v>0.86455245952931603</v>
      </c>
      <c r="G3597">
        <v>15392.792237043301</v>
      </c>
      <c r="H3597">
        <v>765</v>
      </c>
      <c r="I3597">
        <v>733</v>
      </c>
      <c r="J3597">
        <v>30</v>
      </c>
    </row>
    <row r="3598" spans="1:10" x14ac:dyDescent="0.25">
      <c r="A3598" t="s">
        <v>23</v>
      </c>
      <c r="B3598" t="s">
        <v>21</v>
      </c>
      <c r="C3598" t="s">
        <v>18</v>
      </c>
      <c r="D3598" t="s">
        <v>17</v>
      </c>
      <c r="E3598">
        <v>0.80745341614906796</v>
      </c>
      <c r="F3598">
        <v>0.85245373898509302</v>
      </c>
      <c r="G3598">
        <v>15415.2908837795</v>
      </c>
      <c r="H3598">
        <v>734</v>
      </c>
      <c r="I3598">
        <v>702</v>
      </c>
      <c r="J3598">
        <v>30</v>
      </c>
    </row>
    <row r="3599" spans="1:10" x14ac:dyDescent="0.25">
      <c r="A3599" t="s">
        <v>23</v>
      </c>
      <c r="B3599" t="s">
        <v>21</v>
      </c>
      <c r="C3599" t="s">
        <v>18</v>
      </c>
      <c r="D3599" t="s">
        <v>17</v>
      </c>
      <c r="E3599">
        <v>0.83229813664596197</v>
      </c>
      <c r="F3599">
        <v>0.86109293521602503</v>
      </c>
      <c r="G3599">
        <v>15419.414656639099</v>
      </c>
      <c r="H3599">
        <v>764</v>
      </c>
      <c r="I3599">
        <v>728</v>
      </c>
      <c r="J3599">
        <v>30</v>
      </c>
    </row>
    <row r="3600" spans="1:10" x14ac:dyDescent="0.25">
      <c r="A3600" t="s">
        <v>23</v>
      </c>
      <c r="B3600" t="s">
        <v>21</v>
      </c>
      <c r="C3600" t="s">
        <v>18</v>
      </c>
      <c r="D3600" t="s">
        <v>17</v>
      </c>
      <c r="E3600">
        <v>0.82111801242236004</v>
      </c>
      <c r="F3600">
        <v>0.85044725367242202</v>
      </c>
      <c r="G3600">
        <v>15419.4158160686</v>
      </c>
      <c r="H3600">
        <v>818</v>
      </c>
      <c r="I3600">
        <v>751</v>
      </c>
      <c r="J3600">
        <v>30</v>
      </c>
    </row>
    <row r="3601" spans="1:10" x14ac:dyDescent="0.25">
      <c r="A3601" t="s">
        <v>23</v>
      </c>
      <c r="B3601" t="s">
        <v>21</v>
      </c>
      <c r="C3601" t="s">
        <v>18</v>
      </c>
      <c r="D3601" t="s">
        <v>17</v>
      </c>
      <c r="E3601">
        <v>0.82857142857142796</v>
      </c>
      <c r="F3601">
        <v>0.85627793894708004</v>
      </c>
      <c r="G3601">
        <v>15430.2097523212</v>
      </c>
      <c r="H3601">
        <v>758</v>
      </c>
      <c r="I3601">
        <v>721</v>
      </c>
      <c r="J3601">
        <v>30</v>
      </c>
    </row>
    <row r="3602" spans="1:10" x14ac:dyDescent="0.25">
      <c r="A3602" t="s">
        <v>24</v>
      </c>
      <c r="B3602" t="s">
        <v>11</v>
      </c>
      <c r="C3602" t="s">
        <v>12</v>
      </c>
      <c r="D3602" t="s">
        <v>13</v>
      </c>
      <c r="E3602">
        <v>0.98992673992673996</v>
      </c>
      <c r="F3602">
        <v>0.990528089190293</v>
      </c>
      <c r="G3602">
        <v>160.52032685279801</v>
      </c>
      <c r="H3602">
        <v>26</v>
      </c>
      <c r="I3602">
        <v>37</v>
      </c>
      <c r="J3602">
        <v>30</v>
      </c>
    </row>
    <row r="3603" spans="1:10" x14ac:dyDescent="0.25">
      <c r="A3603" t="s">
        <v>24</v>
      </c>
      <c r="B3603" t="s">
        <v>11</v>
      </c>
      <c r="C3603" t="s">
        <v>12</v>
      </c>
      <c r="D3603" t="s">
        <v>13</v>
      </c>
      <c r="E3603">
        <v>0.98809523809523803</v>
      </c>
      <c r="F3603">
        <v>0.98818756852097001</v>
      </c>
      <c r="G3603">
        <v>167.511964559555</v>
      </c>
      <c r="H3603">
        <v>29</v>
      </c>
      <c r="I3603">
        <v>41</v>
      </c>
      <c r="J3603">
        <v>30</v>
      </c>
    </row>
    <row r="3604" spans="1:10" x14ac:dyDescent="0.25">
      <c r="A3604" t="s">
        <v>24</v>
      </c>
      <c r="B3604" t="s">
        <v>11</v>
      </c>
      <c r="C3604" t="s">
        <v>12</v>
      </c>
      <c r="D3604" t="s">
        <v>13</v>
      </c>
      <c r="E3604">
        <v>0.99450549450549397</v>
      </c>
      <c r="F3604">
        <v>0.99494886411996297</v>
      </c>
      <c r="G3604">
        <v>170.99361729621799</v>
      </c>
      <c r="H3604">
        <v>30</v>
      </c>
      <c r="I3604">
        <v>41</v>
      </c>
      <c r="J3604">
        <v>30</v>
      </c>
    </row>
    <row r="3605" spans="1:10" x14ac:dyDescent="0.25">
      <c r="A3605" t="s">
        <v>24</v>
      </c>
      <c r="B3605" t="s">
        <v>11</v>
      </c>
      <c r="C3605" t="s">
        <v>12</v>
      </c>
      <c r="D3605" t="s">
        <v>13</v>
      </c>
      <c r="E3605">
        <v>0.99175824175824101</v>
      </c>
      <c r="F3605">
        <v>0.99235967534716096</v>
      </c>
      <c r="G3605">
        <v>174.85287117958001</v>
      </c>
      <c r="H3605">
        <v>29</v>
      </c>
      <c r="I3605">
        <v>39</v>
      </c>
      <c r="J3605">
        <v>30</v>
      </c>
    </row>
    <row r="3606" spans="1:10" x14ac:dyDescent="0.25">
      <c r="A3606" t="s">
        <v>24</v>
      </c>
      <c r="B3606" t="s">
        <v>11</v>
      </c>
      <c r="C3606" t="s">
        <v>12</v>
      </c>
      <c r="D3606" t="s">
        <v>13</v>
      </c>
      <c r="E3606">
        <v>0.98992673992673996</v>
      </c>
      <c r="F3606">
        <v>0.99039356810256396</v>
      </c>
      <c r="G3606">
        <v>180.196563243865</v>
      </c>
      <c r="H3606">
        <v>31</v>
      </c>
      <c r="I3606">
        <v>44</v>
      </c>
      <c r="J3606">
        <v>30</v>
      </c>
    </row>
    <row r="3607" spans="1:10" x14ac:dyDescent="0.25">
      <c r="A3607" t="s">
        <v>24</v>
      </c>
      <c r="B3607" t="s">
        <v>11</v>
      </c>
      <c r="C3607" t="s">
        <v>12</v>
      </c>
      <c r="D3607" t="s">
        <v>13</v>
      </c>
      <c r="E3607">
        <v>0.99358974358974295</v>
      </c>
      <c r="F3607">
        <v>0.99318695505769194</v>
      </c>
      <c r="G3607">
        <v>180.99576854705799</v>
      </c>
      <c r="H3607">
        <v>29</v>
      </c>
      <c r="I3607">
        <v>39</v>
      </c>
      <c r="J3607">
        <v>30</v>
      </c>
    </row>
    <row r="3608" spans="1:10" x14ac:dyDescent="0.25">
      <c r="A3608" t="s">
        <v>24</v>
      </c>
      <c r="B3608" t="s">
        <v>11</v>
      </c>
      <c r="C3608" t="s">
        <v>12</v>
      </c>
      <c r="D3608" t="s">
        <v>13</v>
      </c>
      <c r="E3608">
        <v>0.99175824175824101</v>
      </c>
      <c r="F3608">
        <v>0.99261534023269204</v>
      </c>
      <c r="G3608">
        <v>187.60924291610701</v>
      </c>
      <c r="H3608">
        <v>31</v>
      </c>
      <c r="I3608">
        <v>41</v>
      </c>
      <c r="J3608">
        <v>30</v>
      </c>
    </row>
    <row r="3609" spans="1:10" x14ac:dyDescent="0.25">
      <c r="A3609" t="s">
        <v>24</v>
      </c>
      <c r="B3609" t="s">
        <v>11</v>
      </c>
      <c r="C3609" t="s">
        <v>12</v>
      </c>
      <c r="D3609" t="s">
        <v>13</v>
      </c>
      <c r="E3609">
        <v>0.99542124542124499</v>
      </c>
      <c r="F3609">
        <v>0.99499989340641004</v>
      </c>
      <c r="G3609">
        <v>178.86867952346799</v>
      </c>
      <c r="H3609">
        <v>33</v>
      </c>
      <c r="I3609">
        <v>45</v>
      </c>
      <c r="J3609">
        <v>30</v>
      </c>
    </row>
    <row r="3610" spans="1:10" x14ac:dyDescent="0.25">
      <c r="A3610" t="s">
        <v>24</v>
      </c>
      <c r="B3610" t="s">
        <v>11</v>
      </c>
      <c r="C3610" t="s">
        <v>12</v>
      </c>
      <c r="D3610" t="s">
        <v>13</v>
      </c>
      <c r="E3610">
        <v>0.99358974358974295</v>
      </c>
      <c r="F3610">
        <v>0.99331530921520095</v>
      </c>
      <c r="G3610">
        <v>190.690778493881</v>
      </c>
      <c r="H3610">
        <v>28</v>
      </c>
      <c r="I3610">
        <v>38</v>
      </c>
      <c r="J3610">
        <v>30</v>
      </c>
    </row>
    <row r="3611" spans="1:10" x14ac:dyDescent="0.25">
      <c r="A3611" t="s">
        <v>24</v>
      </c>
      <c r="B3611" t="s">
        <v>11</v>
      </c>
      <c r="C3611" t="s">
        <v>12</v>
      </c>
      <c r="D3611" t="s">
        <v>13</v>
      </c>
      <c r="E3611">
        <v>0.99175824175824101</v>
      </c>
      <c r="F3611">
        <v>0.99232634637023798</v>
      </c>
      <c r="G3611">
        <v>192.50792407989499</v>
      </c>
      <c r="H3611">
        <v>29</v>
      </c>
      <c r="I3611">
        <v>41</v>
      </c>
      <c r="J3611">
        <v>30</v>
      </c>
    </row>
    <row r="3612" spans="1:10" x14ac:dyDescent="0.25">
      <c r="A3612" t="s">
        <v>24</v>
      </c>
      <c r="B3612" t="s">
        <v>11</v>
      </c>
      <c r="C3612" t="s">
        <v>12</v>
      </c>
      <c r="D3612" t="s">
        <v>13</v>
      </c>
      <c r="E3612">
        <v>1</v>
      </c>
      <c r="F3612">
        <v>0.99976805280384595</v>
      </c>
      <c r="G3612">
        <v>187.34220242500299</v>
      </c>
      <c r="H3612">
        <v>27</v>
      </c>
      <c r="I3612">
        <v>37</v>
      </c>
      <c r="J3612">
        <v>30</v>
      </c>
    </row>
    <row r="3613" spans="1:10" x14ac:dyDescent="0.25">
      <c r="A3613" t="s">
        <v>24</v>
      </c>
      <c r="B3613" t="s">
        <v>11</v>
      </c>
      <c r="C3613" t="s">
        <v>12</v>
      </c>
      <c r="D3613" t="s">
        <v>13</v>
      </c>
      <c r="E3613">
        <v>0.99542124542124499</v>
      </c>
      <c r="F3613">
        <v>0.99519040404688597</v>
      </c>
      <c r="G3613">
        <v>197.50973033905001</v>
      </c>
      <c r="H3613">
        <v>32</v>
      </c>
      <c r="I3613">
        <v>43</v>
      </c>
      <c r="J3613">
        <v>30</v>
      </c>
    </row>
    <row r="3614" spans="1:10" x14ac:dyDescent="0.25">
      <c r="A3614" t="s">
        <v>24</v>
      </c>
      <c r="B3614" t="s">
        <v>11</v>
      </c>
      <c r="C3614" t="s">
        <v>12</v>
      </c>
      <c r="D3614" t="s">
        <v>13</v>
      </c>
      <c r="E3614">
        <v>0.98626373626373598</v>
      </c>
      <c r="F3614">
        <v>0.98860941881208797</v>
      </c>
      <c r="G3614">
        <v>197.94993543624801</v>
      </c>
      <c r="H3614">
        <v>33</v>
      </c>
      <c r="I3614">
        <v>44</v>
      </c>
      <c r="J3614">
        <v>30</v>
      </c>
    </row>
    <row r="3615" spans="1:10" x14ac:dyDescent="0.25">
      <c r="A3615" t="s">
        <v>24</v>
      </c>
      <c r="B3615" t="s">
        <v>11</v>
      </c>
      <c r="C3615" t="s">
        <v>12</v>
      </c>
      <c r="D3615" t="s">
        <v>13</v>
      </c>
      <c r="E3615">
        <v>0.99267399267399203</v>
      </c>
      <c r="F3615">
        <v>0.99346859607847904</v>
      </c>
      <c r="G3615">
        <v>189.33207821846</v>
      </c>
      <c r="H3615">
        <v>30</v>
      </c>
      <c r="I3615">
        <v>39</v>
      </c>
      <c r="J3615">
        <v>30</v>
      </c>
    </row>
    <row r="3616" spans="1:10" x14ac:dyDescent="0.25">
      <c r="A3616" t="s">
        <v>24</v>
      </c>
      <c r="B3616" t="s">
        <v>11</v>
      </c>
      <c r="C3616" t="s">
        <v>12</v>
      </c>
      <c r="D3616" t="s">
        <v>13</v>
      </c>
      <c r="E3616">
        <v>0.99633699633699602</v>
      </c>
      <c r="F3616">
        <v>0.99656494500137305</v>
      </c>
      <c r="G3616">
        <v>199.624795913696</v>
      </c>
      <c r="H3616">
        <v>28</v>
      </c>
      <c r="I3616">
        <v>36</v>
      </c>
      <c r="J3616">
        <v>30</v>
      </c>
    </row>
    <row r="3617" spans="1:10" x14ac:dyDescent="0.25">
      <c r="A3617" t="s">
        <v>24</v>
      </c>
      <c r="B3617" t="s">
        <v>11</v>
      </c>
      <c r="C3617" t="s">
        <v>12</v>
      </c>
      <c r="D3617" t="s">
        <v>13</v>
      </c>
      <c r="E3617">
        <v>0.99542124542124499</v>
      </c>
      <c r="F3617">
        <v>0.99509990238186796</v>
      </c>
      <c r="G3617">
        <v>200.059228420257</v>
      </c>
      <c r="H3617">
        <v>30</v>
      </c>
      <c r="I3617">
        <v>41</v>
      </c>
      <c r="J3617">
        <v>30</v>
      </c>
    </row>
    <row r="3618" spans="1:10" x14ac:dyDescent="0.25">
      <c r="A3618" t="s">
        <v>24</v>
      </c>
      <c r="B3618" t="s">
        <v>11</v>
      </c>
      <c r="C3618" t="s">
        <v>12</v>
      </c>
      <c r="D3618" t="s">
        <v>13</v>
      </c>
      <c r="E3618">
        <v>0.99358974358974295</v>
      </c>
      <c r="F3618">
        <v>0.99436154114212405</v>
      </c>
      <c r="G3618">
        <v>202.71929121017399</v>
      </c>
      <c r="H3618">
        <v>29</v>
      </c>
      <c r="I3618">
        <v>37</v>
      </c>
      <c r="J3618">
        <v>30</v>
      </c>
    </row>
    <row r="3619" spans="1:10" x14ac:dyDescent="0.25">
      <c r="A3619" t="s">
        <v>24</v>
      </c>
      <c r="B3619" t="s">
        <v>11</v>
      </c>
      <c r="C3619" t="s">
        <v>12</v>
      </c>
      <c r="D3619" t="s">
        <v>13</v>
      </c>
      <c r="E3619">
        <v>0.99267399267399203</v>
      </c>
      <c r="F3619">
        <v>0.99275448696804003</v>
      </c>
      <c r="G3619">
        <v>194.08290362357999</v>
      </c>
      <c r="H3619">
        <v>31</v>
      </c>
      <c r="I3619">
        <v>41</v>
      </c>
      <c r="J3619">
        <v>30</v>
      </c>
    </row>
    <row r="3620" spans="1:10" x14ac:dyDescent="0.25">
      <c r="A3620" t="s">
        <v>24</v>
      </c>
      <c r="B3620" t="s">
        <v>11</v>
      </c>
      <c r="C3620" t="s">
        <v>12</v>
      </c>
      <c r="D3620" t="s">
        <v>13</v>
      </c>
      <c r="E3620">
        <v>0.99267399267399203</v>
      </c>
      <c r="F3620">
        <v>0.99344932060476099</v>
      </c>
      <c r="G3620">
        <v>195.031833410263</v>
      </c>
      <c r="H3620">
        <v>32</v>
      </c>
      <c r="I3620">
        <v>43</v>
      </c>
      <c r="J3620">
        <v>30</v>
      </c>
    </row>
    <row r="3621" spans="1:10" x14ac:dyDescent="0.25">
      <c r="A3621" t="s">
        <v>24</v>
      </c>
      <c r="B3621" t="s">
        <v>11</v>
      </c>
      <c r="C3621" t="s">
        <v>12</v>
      </c>
      <c r="D3621" t="s">
        <v>13</v>
      </c>
      <c r="E3621">
        <v>0.99450549450549397</v>
      </c>
      <c r="F3621">
        <v>0.99497711321282001</v>
      </c>
      <c r="G3621">
        <v>204.07742476463301</v>
      </c>
      <c r="H3621">
        <v>32</v>
      </c>
      <c r="I3621">
        <v>46</v>
      </c>
      <c r="J3621">
        <v>30</v>
      </c>
    </row>
    <row r="3622" spans="1:10" x14ac:dyDescent="0.25">
      <c r="A3622" t="s">
        <v>24</v>
      </c>
      <c r="B3622" t="s">
        <v>11</v>
      </c>
      <c r="C3622" t="s">
        <v>12</v>
      </c>
      <c r="D3622" t="s">
        <v>13</v>
      </c>
      <c r="E3622">
        <v>0.99358974358974295</v>
      </c>
      <c r="F3622">
        <v>0.99431443239276496</v>
      </c>
      <c r="G3622">
        <v>205.18796086311301</v>
      </c>
      <c r="H3622">
        <v>30</v>
      </c>
      <c r="I3622">
        <v>41</v>
      </c>
      <c r="J3622">
        <v>30</v>
      </c>
    </row>
    <row r="3623" spans="1:10" x14ac:dyDescent="0.25">
      <c r="A3623" t="s">
        <v>24</v>
      </c>
      <c r="B3623" t="s">
        <v>11</v>
      </c>
      <c r="C3623" t="s">
        <v>12</v>
      </c>
      <c r="D3623" t="s">
        <v>13</v>
      </c>
      <c r="E3623">
        <v>0.98809523809523803</v>
      </c>
      <c r="F3623">
        <v>0.98818475759871804</v>
      </c>
      <c r="G3623">
        <v>205.18343329429601</v>
      </c>
      <c r="H3623">
        <v>30</v>
      </c>
      <c r="I3623">
        <v>41</v>
      </c>
      <c r="J3623">
        <v>30</v>
      </c>
    </row>
    <row r="3624" spans="1:10" x14ac:dyDescent="0.25">
      <c r="A3624" t="s">
        <v>24</v>
      </c>
      <c r="B3624" t="s">
        <v>11</v>
      </c>
      <c r="C3624" t="s">
        <v>12</v>
      </c>
      <c r="D3624" t="s">
        <v>13</v>
      </c>
      <c r="E3624">
        <v>0.99084249084248999</v>
      </c>
      <c r="F3624">
        <v>0.99047693474011</v>
      </c>
      <c r="G3624">
        <v>205.433510303497</v>
      </c>
      <c r="H3624">
        <v>33</v>
      </c>
      <c r="I3624">
        <v>43</v>
      </c>
      <c r="J3624">
        <v>30</v>
      </c>
    </row>
    <row r="3625" spans="1:10" x14ac:dyDescent="0.25">
      <c r="A3625" t="s">
        <v>24</v>
      </c>
      <c r="B3625" t="s">
        <v>11</v>
      </c>
      <c r="C3625" t="s">
        <v>12</v>
      </c>
      <c r="D3625" t="s">
        <v>13</v>
      </c>
      <c r="E3625">
        <v>0.99633699633699602</v>
      </c>
      <c r="F3625">
        <v>0.99589620195402895</v>
      </c>
      <c r="G3625">
        <v>196.68594646453801</v>
      </c>
      <c r="H3625">
        <v>31</v>
      </c>
      <c r="I3625">
        <v>43</v>
      </c>
      <c r="J3625">
        <v>30</v>
      </c>
    </row>
    <row r="3626" spans="1:10" x14ac:dyDescent="0.25">
      <c r="A3626" t="s">
        <v>24</v>
      </c>
      <c r="B3626" t="s">
        <v>11</v>
      </c>
      <c r="C3626" t="s">
        <v>12</v>
      </c>
      <c r="D3626" t="s">
        <v>13</v>
      </c>
      <c r="E3626">
        <v>0.99450549450549397</v>
      </c>
      <c r="F3626">
        <v>0.99434648492847899</v>
      </c>
      <c r="G3626">
        <v>196.90472865104601</v>
      </c>
      <c r="H3626">
        <v>30</v>
      </c>
      <c r="I3626">
        <v>40</v>
      </c>
      <c r="J3626">
        <v>30</v>
      </c>
    </row>
    <row r="3627" spans="1:10" x14ac:dyDescent="0.25">
      <c r="A3627" t="s">
        <v>24</v>
      </c>
      <c r="B3627" t="s">
        <v>11</v>
      </c>
      <c r="C3627" t="s">
        <v>12</v>
      </c>
      <c r="D3627" t="s">
        <v>13</v>
      </c>
      <c r="E3627">
        <v>0.98901098901098905</v>
      </c>
      <c r="F3627">
        <v>0.98938316030888196</v>
      </c>
      <c r="G3627">
        <v>199.51442527770899</v>
      </c>
      <c r="H3627">
        <v>34</v>
      </c>
      <c r="I3627">
        <v>46</v>
      </c>
      <c r="J3627">
        <v>30</v>
      </c>
    </row>
    <row r="3628" spans="1:10" x14ac:dyDescent="0.25">
      <c r="A3628" t="s">
        <v>24</v>
      </c>
      <c r="B3628" t="s">
        <v>11</v>
      </c>
      <c r="C3628" t="s">
        <v>12</v>
      </c>
      <c r="D3628" t="s">
        <v>13</v>
      </c>
      <c r="E3628">
        <v>0.99450549450549397</v>
      </c>
      <c r="F3628">
        <v>0.99424338434780202</v>
      </c>
      <c r="G3628">
        <v>209.04298496246301</v>
      </c>
      <c r="H3628">
        <v>30</v>
      </c>
      <c r="I3628">
        <v>44</v>
      </c>
      <c r="J3628">
        <v>30</v>
      </c>
    </row>
    <row r="3629" spans="1:10" x14ac:dyDescent="0.25">
      <c r="A3629" t="s">
        <v>24</v>
      </c>
      <c r="B3629" t="s">
        <v>11</v>
      </c>
      <c r="C3629" t="s">
        <v>12</v>
      </c>
      <c r="D3629" t="s">
        <v>13</v>
      </c>
      <c r="E3629">
        <v>0.99084249084248999</v>
      </c>
      <c r="F3629">
        <v>0.99083606144450498</v>
      </c>
      <c r="G3629">
        <v>200.62606573104799</v>
      </c>
      <c r="H3629">
        <v>35</v>
      </c>
      <c r="I3629">
        <v>47</v>
      </c>
      <c r="J3629">
        <v>30</v>
      </c>
    </row>
    <row r="3630" spans="1:10" x14ac:dyDescent="0.25">
      <c r="A3630" t="s">
        <v>24</v>
      </c>
      <c r="B3630" t="s">
        <v>11</v>
      </c>
      <c r="C3630" t="s">
        <v>12</v>
      </c>
      <c r="D3630" t="s">
        <v>13</v>
      </c>
      <c r="E3630">
        <v>0.99450549450549397</v>
      </c>
      <c r="F3630">
        <v>0.99488928079102501</v>
      </c>
      <c r="G3630">
        <v>209.46956515312101</v>
      </c>
      <c r="H3630">
        <v>36</v>
      </c>
      <c r="I3630">
        <v>49</v>
      </c>
      <c r="J3630">
        <v>30</v>
      </c>
    </row>
    <row r="3631" spans="1:10" x14ac:dyDescent="0.25">
      <c r="A3631" t="s">
        <v>24</v>
      </c>
      <c r="B3631" t="s">
        <v>11</v>
      </c>
      <c r="C3631" t="s">
        <v>12</v>
      </c>
      <c r="D3631" t="s">
        <v>13</v>
      </c>
      <c r="E3631">
        <v>0.99084249084248999</v>
      </c>
      <c r="F3631">
        <v>0.99171632108736196</v>
      </c>
      <c r="G3631">
        <v>200.783826351165</v>
      </c>
      <c r="H3631">
        <v>31</v>
      </c>
      <c r="I3631">
        <v>45</v>
      </c>
      <c r="J3631">
        <v>30</v>
      </c>
    </row>
    <row r="3632" spans="1:10" x14ac:dyDescent="0.25">
      <c r="A3632" t="s">
        <v>24</v>
      </c>
      <c r="B3632" t="s">
        <v>11</v>
      </c>
      <c r="C3632" t="s">
        <v>12</v>
      </c>
      <c r="D3632" t="s">
        <v>14</v>
      </c>
      <c r="E3632">
        <v>2.7472527472527401E-3</v>
      </c>
      <c r="F3632">
        <v>0.75027600308782005</v>
      </c>
      <c r="G3632">
        <v>1.27209043502807</v>
      </c>
      <c r="H3632">
        <v>2</v>
      </c>
      <c r="I3632">
        <v>2</v>
      </c>
      <c r="J3632">
        <v>30</v>
      </c>
    </row>
    <row r="3633" spans="1:10" x14ac:dyDescent="0.25">
      <c r="A3633" t="s">
        <v>24</v>
      </c>
      <c r="B3633" t="s">
        <v>11</v>
      </c>
      <c r="C3633" t="s">
        <v>12</v>
      </c>
      <c r="D3633" t="s">
        <v>14</v>
      </c>
      <c r="E3633">
        <v>1.83150183150183E-3</v>
      </c>
      <c r="F3633">
        <v>0.75008699633699605</v>
      </c>
      <c r="G3633">
        <v>1.3675632476806601</v>
      </c>
      <c r="H3633">
        <v>3</v>
      </c>
      <c r="I3633">
        <v>3</v>
      </c>
      <c r="J3633">
        <v>30</v>
      </c>
    </row>
    <row r="3634" spans="1:10" x14ac:dyDescent="0.25">
      <c r="A3634" t="s">
        <v>24</v>
      </c>
      <c r="B3634" t="s">
        <v>11</v>
      </c>
      <c r="C3634" t="s">
        <v>12</v>
      </c>
      <c r="D3634" t="s">
        <v>14</v>
      </c>
      <c r="E3634">
        <v>2.7472527472527401E-3</v>
      </c>
      <c r="F3634">
        <v>0.75022704772500004</v>
      </c>
      <c r="G3634">
        <v>1.4653971195220901</v>
      </c>
      <c r="H3634">
        <v>3</v>
      </c>
      <c r="I3634">
        <v>3</v>
      </c>
      <c r="J3634">
        <v>30</v>
      </c>
    </row>
    <row r="3635" spans="1:10" x14ac:dyDescent="0.25">
      <c r="A3635" t="s">
        <v>24</v>
      </c>
      <c r="B3635" t="s">
        <v>11</v>
      </c>
      <c r="C3635" t="s">
        <v>12</v>
      </c>
      <c r="D3635" t="s">
        <v>14</v>
      </c>
      <c r="E3635">
        <v>2.7472527472527401E-3</v>
      </c>
      <c r="F3635">
        <v>0.75015154386849803</v>
      </c>
      <c r="G3635">
        <v>1.48644042015075</v>
      </c>
      <c r="H3635">
        <v>3</v>
      </c>
      <c r="I3635">
        <v>3</v>
      </c>
      <c r="J3635">
        <v>30</v>
      </c>
    </row>
    <row r="3636" spans="1:10" x14ac:dyDescent="0.25">
      <c r="A3636" t="s">
        <v>24</v>
      </c>
      <c r="B3636" t="s">
        <v>11</v>
      </c>
      <c r="C3636" t="s">
        <v>12</v>
      </c>
      <c r="D3636" t="s">
        <v>14</v>
      </c>
      <c r="E3636">
        <v>9.1575091575091499E-4</v>
      </c>
      <c r="F3636">
        <v>0.74995664867673995</v>
      </c>
      <c r="G3636">
        <v>1.5032365322112999</v>
      </c>
      <c r="H3636">
        <v>3</v>
      </c>
      <c r="I3636">
        <v>3</v>
      </c>
      <c r="J3636">
        <v>30</v>
      </c>
    </row>
    <row r="3637" spans="1:10" x14ac:dyDescent="0.25">
      <c r="A3637" t="s">
        <v>24</v>
      </c>
      <c r="B3637" t="s">
        <v>11</v>
      </c>
      <c r="C3637" t="s">
        <v>12</v>
      </c>
      <c r="D3637" t="s">
        <v>14</v>
      </c>
      <c r="E3637">
        <v>9.1575091575091499E-4</v>
      </c>
      <c r="F3637">
        <v>0.75007568257500001</v>
      </c>
      <c r="G3637">
        <v>1.71060538291931</v>
      </c>
      <c r="H3637">
        <v>4</v>
      </c>
      <c r="I3637">
        <v>4</v>
      </c>
      <c r="J3637">
        <v>30</v>
      </c>
    </row>
    <row r="3638" spans="1:10" x14ac:dyDescent="0.25">
      <c r="A3638" t="s">
        <v>24</v>
      </c>
      <c r="B3638" t="s">
        <v>11</v>
      </c>
      <c r="C3638" t="s">
        <v>12</v>
      </c>
      <c r="D3638" t="s">
        <v>14</v>
      </c>
      <c r="E3638">
        <v>0</v>
      </c>
      <c r="F3638">
        <v>0.74980727358525601</v>
      </c>
      <c r="G3638">
        <v>1.7422752380371</v>
      </c>
      <c r="H3638">
        <v>4</v>
      </c>
      <c r="I3638">
        <v>4</v>
      </c>
      <c r="J3638">
        <v>30</v>
      </c>
    </row>
    <row r="3639" spans="1:10" x14ac:dyDescent="0.25">
      <c r="A3639" t="s">
        <v>24</v>
      </c>
      <c r="B3639" t="s">
        <v>11</v>
      </c>
      <c r="C3639" t="s">
        <v>12</v>
      </c>
      <c r="D3639" t="s">
        <v>14</v>
      </c>
      <c r="E3639">
        <v>9.1575091575091499E-4</v>
      </c>
      <c r="F3639">
        <v>0.75007568257500001</v>
      </c>
      <c r="G3639">
        <v>1.76587510108947</v>
      </c>
      <c r="H3639">
        <v>4</v>
      </c>
      <c r="I3639">
        <v>4</v>
      </c>
      <c r="J3639">
        <v>30</v>
      </c>
    </row>
    <row r="3640" spans="1:10" x14ac:dyDescent="0.25">
      <c r="A3640" t="s">
        <v>24</v>
      </c>
      <c r="B3640" t="s">
        <v>11</v>
      </c>
      <c r="C3640" t="s">
        <v>12</v>
      </c>
      <c r="D3640" t="s">
        <v>14</v>
      </c>
      <c r="E3640">
        <v>9.1575091575091499E-4</v>
      </c>
      <c r="F3640">
        <v>0.75011921261675796</v>
      </c>
      <c r="G3640">
        <v>1.7200522422790501</v>
      </c>
      <c r="H3640">
        <v>4</v>
      </c>
      <c r="I3640">
        <v>4</v>
      </c>
      <c r="J3640">
        <v>30</v>
      </c>
    </row>
    <row r="3641" spans="1:10" x14ac:dyDescent="0.25">
      <c r="A3641" t="s">
        <v>24</v>
      </c>
      <c r="B3641" t="s">
        <v>11</v>
      </c>
      <c r="C3641" t="s">
        <v>12</v>
      </c>
      <c r="D3641" t="s">
        <v>14</v>
      </c>
      <c r="E3641">
        <v>0</v>
      </c>
      <c r="F3641">
        <v>0.75</v>
      </c>
      <c r="G3641">
        <v>1.8028378486633301</v>
      </c>
      <c r="H3641">
        <v>4</v>
      </c>
      <c r="I3641">
        <v>4</v>
      </c>
      <c r="J3641">
        <v>30</v>
      </c>
    </row>
    <row r="3642" spans="1:10" x14ac:dyDescent="0.25">
      <c r="A3642" t="s">
        <v>24</v>
      </c>
      <c r="B3642" t="s">
        <v>11</v>
      </c>
      <c r="C3642" t="s">
        <v>12</v>
      </c>
      <c r="D3642" t="s">
        <v>14</v>
      </c>
      <c r="E3642">
        <v>2.7472527472527401E-3</v>
      </c>
      <c r="F3642">
        <v>0.75027600308782005</v>
      </c>
      <c r="G3642">
        <v>1.7040867805480899</v>
      </c>
      <c r="H3642">
        <v>3</v>
      </c>
      <c r="I3642">
        <v>3</v>
      </c>
      <c r="J3642">
        <v>30</v>
      </c>
    </row>
    <row r="3643" spans="1:10" x14ac:dyDescent="0.25">
      <c r="A3643" t="s">
        <v>24</v>
      </c>
      <c r="B3643" t="s">
        <v>11</v>
      </c>
      <c r="C3643" t="s">
        <v>12</v>
      </c>
      <c r="D3643" t="s">
        <v>14</v>
      </c>
      <c r="E3643">
        <v>2.7472527472527401E-3</v>
      </c>
      <c r="F3643">
        <v>0.75020620895375401</v>
      </c>
      <c r="G3643">
        <v>1.7502529621124201</v>
      </c>
      <c r="H3643">
        <v>4</v>
      </c>
      <c r="I3643">
        <v>4</v>
      </c>
      <c r="J3643">
        <v>30</v>
      </c>
    </row>
    <row r="3644" spans="1:10" x14ac:dyDescent="0.25">
      <c r="A3644" t="s">
        <v>24</v>
      </c>
      <c r="B3644" t="s">
        <v>11</v>
      </c>
      <c r="C3644" t="s">
        <v>12</v>
      </c>
      <c r="D3644" t="s">
        <v>14</v>
      </c>
      <c r="E3644">
        <v>0</v>
      </c>
      <c r="F3644">
        <v>0.75</v>
      </c>
      <c r="G3644">
        <v>1.7069396972656199</v>
      </c>
      <c r="H3644">
        <v>4</v>
      </c>
      <c r="I3644">
        <v>4</v>
      </c>
      <c r="J3644">
        <v>30</v>
      </c>
    </row>
    <row r="3645" spans="1:10" x14ac:dyDescent="0.25">
      <c r="A3645" t="s">
        <v>24</v>
      </c>
      <c r="B3645" t="s">
        <v>11</v>
      </c>
      <c r="C3645" t="s">
        <v>12</v>
      </c>
      <c r="D3645" t="s">
        <v>14</v>
      </c>
      <c r="E3645">
        <v>1.83150183150183E-3</v>
      </c>
      <c r="F3645">
        <v>0.75020032051282004</v>
      </c>
      <c r="G3645">
        <v>1.78572726249694</v>
      </c>
      <c r="H3645">
        <v>4</v>
      </c>
      <c r="I3645">
        <v>4</v>
      </c>
      <c r="J3645">
        <v>30</v>
      </c>
    </row>
    <row r="3646" spans="1:10" x14ac:dyDescent="0.25">
      <c r="A3646" t="s">
        <v>24</v>
      </c>
      <c r="B3646" t="s">
        <v>11</v>
      </c>
      <c r="C3646" t="s">
        <v>12</v>
      </c>
      <c r="D3646" t="s">
        <v>14</v>
      </c>
      <c r="E3646">
        <v>0</v>
      </c>
      <c r="F3646">
        <v>0.74990918074349799</v>
      </c>
      <c r="G3646">
        <v>1.73019075393676</v>
      </c>
      <c r="H3646">
        <v>4</v>
      </c>
      <c r="I3646">
        <v>4</v>
      </c>
      <c r="J3646">
        <v>30</v>
      </c>
    </row>
    <row r="3647" spans="1:10" x14ac:dyDescent="0.25">
      <c r="A3647" t="s">
        <v>24</v>
      </c>
      <c r="B3647" t="s">
        <v>11</v>
      </c>
      <c r="C3647" t="s">
        <v>12</v>
      </c>
      <c r="D3647" t="s">
        <v>14</v>
      </c>
      <c r="E3647">
        <v>0</v>
      </c>
      <c r="F3647">
        <v>0.75</v>
      </c>
      <c r="G3647">
        <v>1.7138912677764799</v>
      </c>
      <c r="H3647">
        <v>4</v>
      </c>
      <c r="I3647">
        <v>4</v>
      </c>
      <c r="J3647">
        <v>30</v>
      </c>
    </row>
    <row r="3648" spans="1:10" x14ac:dyDescent="0.25">
      <c r="A3648" t="s">
        <v>24</v>
      </c>
      <c r="B3648" t="s">
        <v>11</v>
      </c>
      <c r="C3648" t="s">
        <v>12</v>
      </c>
      <c r="D3648" t="s">
        <v>14</v>
      </c>
      <c r="E3648">
        <v>4.5787545787545703E-3</v>
      </c>
      <c r="F3648">
        <v>0.75028273809523804</v>
      </c>
      <c r="G3648">
        <v>1.7823226451873699</v>
      </c>
      <c r="H3648">
        <v>4</v>
      </c>
      <c r="I3648">
        <v>4</v>
      </c>
      <c r="J3648">
        <v>30</v>
      </c>
    </row>
    <row r="3649" spans="1:10" x14ac:dyDescent="0.25">
      <c r="A3649" t="s">
        <v>24</v>
      </c>
      <c r="B3649" t="s">
        <v>11</v>
      </c>
      <c r="C3649" t="s">
        <v>12</v>
      </c>
      <c r="D3649" t="s">
        <v>14</v>
      </c>
      <c r="E3649">
        <v>1.83150183150183E-3</v>
      </c>
      <c r="F3649">
        <v>0.74999617708049404</v>
      </c>
      <c r="G3649">
        <v>1.72478175163269</v>
      </c>
      <c r="H3649">
        <v>4</v>
      </c>
      <c r="I3649">
        <v>4</v>
      </c>
      <c r="J3649">
        <v>30</v>
      </c>
    </row>
    <row r="3650" spans="1:10" x14ac:dyDescent="0.25">
      <c r="A3650" t="s">
        <v>24</v>
      </c>
      <c r="B3650" t="s">
        <v>11</v>
      </c>
      <c r="C3650" t="s">
        <v>12</v>
      </c>
      <c r="D3650" t="s">
        <v>14</v>
      </c>
      <c r="E3650">
        <v>2.7472527472527401E-3</v>
      </c>
      <c r="F3650">
        <v>0.75015154386849803</v>
      </c>
      <c r="G3650">
        <v>1.82410883903503</v>
      </c>
      <c r="H3650">
        <v>4</v>
      </c>
      <c r="I3650">
        <v>4</v>
      </c>
      <c r="J3650">
        <v>30</v>
      </c>
    </row>
    <row r="3651" spans="1:10" x14ac:dyDescent="0.25">
      <c r="A3651" t="s">
        <v>24</v>
      </c>
      <c r="B3651" t="s">
        <v>11</v>
      </c>
      <c r="C3651" t="s">
        <v>12</v>
      </c>
      <c r="D3651" t="s">
        <v>14</v>
      </c>
      <c r="E3651">
        <v>1.83150183150183E-3</v>
      </c>
      <c r="F3651">
        <v>0.75011463386217903</v>
      </c>
      <c r="G3651">
        <v>1.8139636516571001</v>
      </c>
      <c r="H3651">
        <v>4</v>
      </c>
      <c r="I3651">
        <v>4</v>
      </c>
      <c r="J3651">
        <v>30</v>
      </c>
    </row>
    <row r="3652" spans="1:10" x14ac:dyDescent="0.25">
      <c r="A3652" t="s">
        <v>24</v>
      </c>
      <c r="B3652" t="s">
        <v>11</v>
      </c>
      <c r="C3652" t="s">
        <v>12</v>
      </c>
      <c r="D3652" t="s">
        <v>14</v>
      </c>
      <c r="E3652">
        <v>9.1575091575091499E-4</v>
      </c>
      <c r="F3652">
        <v>0.75011921261675796</v>
      </c>
      <c r="G3652">
        <v>1.7281231880187899</v>
      </c>
      <c r="H3652">
        <v>4</v>
      </c>
      <c r="I3652">
        <v>4</v>
      </c>
      <c r="J3652">
        <v>30</v>
      </c>
    </row>
    <row r="3653" spans="1:10" x14ac:dyDescent="0.25">
      <c r="A3653" t="s">
        <v>24</v>
      </c>
      <c r="B3653" t="s">
        <v>11</v>
      </c>
      <c r="C3653" t="s">
        <v>12</v>
      </c>
      <c r="D3653" t="s">
        <v>14</v>
      </c>
      <c r="E3653">
        <v>0</v>
      </c>
      <c r="F3653">
        <v>0.75</v>
      </c>
      <c r="G3653">
        <v>1.74222207069396</v>
      </c>
      <c r="H3653">
        <v>4</v>
      </c>
      <c r="I3653">
        <v>4</v>
      </c>
      <c r="J3653">
        <v>30</v>
      </c>
    </row>
    <row r="3654" spans="1:10" x14ac:dyDescent="0.25">
      <c r="A3654" t="s">
        <v>24</v>
      </c>
      <c r="B3654" t="s">
        <v>11</v>
      </c>
      <c r="C3654" t="s">
        <v>12</v>
      </c>
      <c r="D3654" t="s">
        <v>14</v>
      </c>
      <c r="E3654">
        <v>0</v>
      </c>
      <c r="F3654">
        <v>0.75</v>
      </c>
      <c r="G3654">
        <v>1.7533929347991899</v>
      </c>
      <c r="H3654">
        <v>4</v>
      </c>
      <c r="I3654">
        <v>4</v>
      </c>
      <c r="J3654">
        <v>30</v>
      </c>
    </row>
    <row r="3655" spans="1:10" x14ac:dyDescent="0.25">
      <c r="A3655" t="s">
        <v>24</v>
      </c>
      <c r="B3655" t="s">
        <v>11</v>
      </c>
      <c r="C3655" t="s">
        <v>12</v>
      </c>
      <c r="D3655" t="s">
        <v>14</v>
      </c>
      <c r="E3655">
        <v>0</v>
      </c>
      <c r="F3655">
        <v>0.75</v>
      </c>
      <c r="G3655">
        <v>1.78780198097229</v>
      </c>
      <c r="H3655">
        <v>4</v>
      </c>
      <c r="I3655">
        <v>4</v>
      </c>
      <c r="J3655">
        <v>30</v>
      </c>
    </row>
    <row r="3656" spans="1:10" x14ac:dyDescent="0.25">
      <c r="A3656" t="s">
        <v>24</v>
      </c>
      <c r="B3656" t="s">
        <v>11</v>
      </c>
      <c r="C3656" t="s">
        <v>12</v>
      </c>
      <c r="D3656" t="s">
        <v>14</v>
      </c>
      <c r="E3656">
        <v>9.1575091575091499E-4</v>
      </c>
      <c r="F3656">
        <v>0.75007568257500001</v>
      </c>
      <c r="G3656">
        <v>1.7981042861938401</v>
      </c>
      <c r="H3656">
        <v>4</v>
      </c>
      <c r="I3656">
        <v>4</v>
      </c>
      <c r="J3656">
        <v>30</v>
      </c>
    </row>
    <row r="3657" spans="1:10" x14ac:dyDescent="0.25">
      <c r="A3657" t="s">
        <v>24</v>
      </c>
      <c r="B3657" t="s">
        <v>11</v>
      </c>
      <c r="C3657" t="s">
        <v>12</v>
      </c>
      <c r="D3657" t="s">
        <v>14</v>
      </c>
      <c r="E3657">
        <v>1.83150183150183E-3</v>
      </c>
      <c r="F3657">
        <v>0.75003233125173996</v>
      </c>
      <c r="G3657">
        <v>1.8100836277007999</v>
      </c>
      <c r="H3657">
        <v>4</v>
      </c>
      <c r="I3657">
        <v>4</v>
      </c>
      <c r="J3657">
        <v>30</v>
      </c>
    </row>
    <row r="3658" spans="1:10" x14ac:dyDescent="0.25">
      <c r="A3658" t="s">
        <v>24</v>
      </c>
      <c r="B3658" t="s">
        <v>11</v>
      </c>
      <c r="C3658" t="s">
        <v>12</v>
      </c>
      <c r="D3658" t="s">
        <v>14</v>
      </c>
      <c r="E3658">
        <v>9.1575091575091499E-4</v>
      </c>
      <c r="F3658">
        <v>0.75002839336025595</v>
      </c>
      <c r="G3658">
        <v>1.9732863903045601</v>
      </c>
      <c r="H3658">
        <v>5</v>
      </c>
      <c r="I3658">
        <v>5</v>
      </c>
      <c r="J3658">
        <v>30</v>
      </c>
    </row>
    <row r="3659" spans="1:10" x14ac:dyDescent="0.25">
      <c r="A3659" t="s">
        <v>24</v>
      </c>
      <c r="B3659" t="s">
        <v>11</v>
      </c>
      <c r="C3659" t="s">
        <v>12</v>
      </c>
      <c r="D3659" t="s">
        <v>14</v>
      </c>
      <c r="E3659">
        <v>1.83150183150183E-3</v>
      </c>
      <c r="F3659">
        <v>0.74989426992225205</v>
      </c>
      <c r="G3659">
        <v>1.8697745800018299</v>
      </c>
      <c r="H3659">
        <v>4</v>
      </c>
      <c r="I3659">
        <v>4</v>
      </c>
      <c r="J3659">
        <v>30</v>
      </c>
    </row>
    <row r="3660" spans="1:10" x14ac:dyDescent="0.25">
      <c r="A3660" t="s">
        <v>24</v>
      </c>
      <c r="B3660" t="s">
        <v>11</v>
      </c>
      <c r="C3660" t="s">
        <v>12</v>
      </c>
      <c r="D3660" t="s">
        <v>14</v>
      </c>
      <c r="E3660">
        <v>2.7472527472527401E-3</v>
      </c>
      <c r="F3660">
        <v>0.75009633733690395</v>
      </c>
      <c r="G3660">
        <v>1.4402437210082999</v>
      </c>
      <c r="H3660">
        <v>4</v>
      </c>
      <c r="I3660">
        <v>4</v>
      </c>
      <c r="J3660">
        <v>30</v>
      </c>
    </row>
    <row r="3661" spans="1:10" x14ac:dyDescent="0.25">
      <c r="A3661" t="s">
        <v>24</v>
      </c>
      <c r="B3661" t="s">
        <v>11</v>
      </c>
      <c r="C3661" t="s">
        <v>12</v>
      </c>
      <c r="D3661" t="s">
        <v>14</v>
      </c>
      <c r="E3661">
        <v>9.1575091575091499E-4</v>
      </c>
      <c r="F3661">
        <v>0.75002839336025595</v>
      </c>
      <c r="G3661">
        <v>1.6198966503143299</v>
      </c>
      <c r="H3661">
        <v>5</v>
      </c>
      <c r="I3661">
        <v>5</v>
      </c>
      <c r="J3661">
        <v>30</v>
      </c>
    </row>
    <row r="3662" spans="1:10" x14ac:dyDescent="0.25">
      <c r="A3662" t="s">
        <v>24</v>
      </c>
      <c r="B3662" t="s">
        <v>11</v>
      </c>
      <c r="C3662" t="s">
        <v>12</v>
      </c>
      <c r="D3662" t="s">
        <v>15</v>
      </c>
      <c r="E3662">
        <v>0</v>
      </c>
      <c r="F3662">
        <v>0.75</v>
      </c>
      <c r="G3662">
        <v>16.095436811447101</v>
      </c>
      <c r="H3662">
        <v>0</v>
      </c>
      <c r="I3662">
        <v>0</v>
      </c>
      <c r="J3662">
        <v>30</v>
      </c>
    </row>
    <row r="3663" spans="1:10" x14ac:dyDescent="0.25">
      <c r="A3663" t="s">
        <v>24</v>
      </c>
      <c r="B3663" t="s">
        <v>11</v>
      </c>
      <c r="C3663" t="s">
        <v>12</v>
      </c>
      <c r="D3663" t="s">
        <v>15</v>
      </c>
      <c r="E3663">
        <v>0</v>
      </c>
      <c r="F3663">
        <v>0.75</v>
      </c>
      <c r="G3663">
        <v>16.770859003066999</v>
      </c>
      <c r="H3663">
        <v>0</v>
      </c>
      <c r="I3663">
        <v>0</v>
      </c>
      <c r="J3663">
        <v>30</v>
      </c>
    </row>
    <row r="3664" spans="1:10" x14ac:dyDescent="0.25">
      <c r="A3664" t="s">
        <v>24</v>
      </c>
      <c r="B3664" t="s">
        <v>11</v>
      </c>
      <c r="C3664" t="s">
        <v>12</v>
      </c>
      <c r="D3664" t="s">
        <v>15</v>
      </c>
      <c r="E3664">
        <v>0</v>
      </c>
      <c r="F3664">
        <v>0.75</v>
      </c>
      <c r="G3664">
        <v>16.858674049377399</v>
      </c>
      <c r="H3664">
        <v>0</v>
      </c>
      <c r="I3664">
        <v>0</v>
      </c>
      <c r="J3664">
        <v>30</v>
      </c>
    </row>
    <row r="3665" spans="1:10" x14ac:dyDescent="0.25">
      <c r="A3665" t="s">
        <v>24</v>
      </c>
      <c r="B3665" t="s">
        <v>11</v>
      </c>
      <c r="C3665" t="s">
        <v>12</v>
      </c>
      <c r="D3665" t="s">
        <v>15</v>
      </c>
      <c r="E3665">
        <v>0</v>
      </c>
      <c r="F3665">
        <v>0.75</v>
      </c>
      <c r="G3665">
        <v>17.0082137584686</v>
      </c>
      <c r="H3665">
        <v>0</v>
      </c>
      <c r="I3665">
        <v>0</v>
      </c>
      <c r="J3665">
        <v>30</v>
      </c>
    </row>
    <row r="3666" spans="1:10" x14ac:dyDescent="0.25">
      <c r="A3666" t="s">
        <v>24</v>
      </c>
      <c r="B3666" t="s">
        <v>11</v>
      </c>
      <c r="C3666" t="s">
        <v>12</v>
      </c>
      <c r="D3666" t="s">
        <v>15</v>
      </c>
      <c r="E3666">
        <v>0</v>
      </c>
      <c r="F3666">
        <v>0.75</v>
      </c>
      <c r="G3666">
        <v>18.142119884490899</v>
      </c>
      <c r="H3666">
        <v>0</v>
      </c>
      <c r="I3666">
        <v>0</v>
      </c>
      <c r="J3666">
        <v>30</v>
      </c>
    </row>
    <row r="3667" spans="1:10" x14ac:dyDescent="0.25">
      <c r="A3667" t="s">
        <v>24</v>
      </c>
      <c r="B3667" t="s">
        <v>11</v>
      </c>
      <c r="C3667" t="s">
        <v>12</v>
      </c>
      <c r="D3667" t="s">
        <v>15</v>
      </c>
      <c r="E3667">
        <v>0</v>
      </c>
      <c r="F3667">
        <v>0.75</v>
      </c>
      <c r="G3667">
        <v>18.611010313034001</v>
      </c>
      <c r="H3667">
        <v>0</v>
      </c>
      <c r="I3667">
        <v>0</v>
      </c>
      <c r="J3667">
        <v>30</v>
      </c>
    </row>
    <row r="3668" spans="1:10" x14ac:dyDescent="0.25">
      <c r="A3668" t="s">
        <v>24</v>
      </c>
      <c r="B3668" t="s">
        <v>11</v>
      </c>
      <c r="C3668" t="s">
        <v>12</v>
      </c>
      <c r="D3668" t="s">
        <v>15</v>
      </c>
      <c r="E3668">
        <v>0</v>
      </c>
      <c r="F3668">
        <v>0.75</v>
      </c>
      <c r="G3668">
        <v>18.564139127731298</v>
      </c>
      <c r="H3668">
        <v>0</v>
      </c>
      <c r="I3668">
        <v>0</v>
      </c>
      <c r="J3668">
        <v>30</v>
      </c>
    </row>
    <row r="3669" spans="1:10" x14ac:dyDescent="0.25">
      <c r="A3669" t="s">
        <v>24</v>
      </c>
      <c r="B3669" t="s">
        <v>11</v>
      </c>
      <c r="C3669" t="s">
        <v>12</v>
      </c>
      <c r="D3669" t="s">
        <v>15</v>
      </c>
      <c r="E3669">
        <v>0</v>
      </c>
      <c r="F3669">
        <v>0.75</v>
      </c>
      <c r="G3669">
        <v>19.571246385574302</v>
      </c>
      <c r="H3669">
        <v>0</v>
      </c>
      <c r="I3669">
        <v>0</v>
      </c>
      <c r="J3669">
        <v>30</v>
      </c>
    </row>
    <row r="3670" spans="1:10" x14ac:dyDescent="0.25">
      <c r="A3670" t="s">
        <v>24</v>
      </c>
      <c r="B3670" t="s">
        <v>11</v>
      </c>
      <c r="C3670" t="s">
        <v>12</v>
      </c>
      <c r="D3670" t="s">
        <v>15</v>
      </c>
      <c r="E3670">
        <v>0</v>
      </c>
      <c r="F3670">
        <v>0.75</v>
      </c>
      <c r="G3670">
        <v>20.269877195358202</v>
      </c>
      <c r="H3670">
        <v>0</v>
      </c>
      <c r="I3670">
        <v>0</v>
      </c>
      <c r="J3670">
        <v>30</v>
      </c>
    </row>
    <row r="3671" spans="1:10" x14ac:dyDescent="0.25">
      <c r="A3671" t="s">
        <v>24</v>
      </c>
      <c r="B3671" t="s">
        <v>11</v>
      </c>
      <c r="C3671" t="s">
        <v>12</v>
      </c>
      <c r="D3671" t="s">
        <v>15</v>
      </c>
      <c r="E3671">
        <v>0</v>
      </c>
      <c r="F3671">
        <v>0.75</v>
      </c>
      <c r="G3671">
        <v>21.1546418666839</v>
      </c>
      <c r="H3671">
        <v>0</v>
      </c>
      <c r="I3671">
        <v>0</v>
      </c>
      <c r="J3671">
        <v>30</v>
      </c>
    </row>
    <row r="3672" spans="1:10" x14ac:dyDescent="0.25">
      <c r="A3672" t="s">
        <v>24</v>
      </c>
      <c r="B3672" t="s">
        <v>11</v>
      </c>
      <c r="C3672" t="s">
        <v>12</v>
      </c>
      <c r="D3672" t="s">
        <v>15</v>
      </c>
      <c r="E3672">
        <v>0</v>
      </c>
      <c r="F3672">
        <v>0.75</v>
      </c>
      <c r="G3672">
        <v>28.350619316101</v>
      </c>
      <c r="H3672">
        <v>0</v>
      </c>
      <c r="I3672">
        <v>0</v>
      </c>
      <c r="J3672">
        <v>30</v>
      </c>
    </row>
    <row r="3673" spans="1:10" x14ac:dyDescent="0.25">
      <c r="A3673" t="s">
        <v>24</v>
      </c>
      <c r="B3673" t="s">
        <v>11</v>
      </c>
      <c r="C3673" t="s">
        <v>12</v>
      </c>
      <c r="D3673" t="s">
        <v>15</v>
      </c>
      <c r="E3673">
        <v>0</v>
      </c>
      <c r="F3673">
        <v>0.75</v>
      </c>
      <c r="G3673">
        <v>29.7982738018035</v>
      </c>
      <c r="H3673">
        <v>0</v>
      </c>
      <c r="I3673">
        <v>0</v>
      </c>
      <c r="J3673">
        <v>30</v>
      </c>
    </row>
    <row r="3674" spans="1:10" x14ac:dyDescent="0.25">
      <c r="A3674" t="s">
        <v>24</v>
      </c>
      <c r="B3674" t="s">
        <v>11</v>
      </c>
      <c r="C3674" t="s">
        <v>12</v>
      </c>
      <c r="D3674" t="s">
        <v>15</v>
      </c>
      <c r="E3674">
        <v>0</v>
      </c>
      <c r="F3674">
        <v>0.75</v>
      </c>
      <c r="G3674">
        <v>30.657155275344799</v>
      </c>
      <c r="H3674">
        <v>0</v>
      </c>
      <c r="I3674">
        <v>0</v>
      </c>
      <c r="J3674">
        <v>30</v>
      </c>
    </row>
    <row r="3675" spans="1:10" x14ac:dyDescent="0.25">
      <c r="A3675" t="s">
        <v>24</v>
      </c>
      <c r="B3675" t="s">
        <v>11</v>
      </c>
      <c r="C3675" t="s">
        <v>12</v>
      </c>
      <c r="D3675" t="s">
        <v>15</v>
      </c>
      <c r="E3675">
        <v>0</v>
      </c>
      <c r="F3675">
        <v>0.75</v>
      </c>
      <c r="G3675">
        <v>30.804935932159399</v>
      </c>
      <c r="H3675">
        <v>0</v>
      </c>
      <c r="I3675">
        <v>0</v>
      </c>
      <c r="J3675">
        <v>30</v>
      </c>
    </row>
    <row r="3676" spans="1:10" x14ac:dyDescent="0.25">
      <c r="A3676" t="s">
        <v>24</v>
      </c>
      <c r="B3676" t="s">
        <v>11</v>
      </c>
      <c r="C3676" t="s">
        <v>12</v>
      </c>
      <c r="D3676" t="s">
        <v>15</v>
      </c>
      <c r="E3676">
        <v>0</v>
      </c>
      <c r="F3676">
        <v>0.75</v>
      </c>
      <c r="G3676">
        <v>31.833519458770699</v>
      </c>
      <c r="H3676">
        <v>0</v>
      </c>
      <c r="I3676">
        <v>0</v>
      </c>
      <c r="J3676">
        <v>30</v>
      </c>
    </row>
    <row r="3677" spans="1:10" x14ac:dyDescent="0.25">
      <c r="A3677" t="s">
        <v>24</v>
      </c>
      <c r="B3677" t="s">
        <v>11</v>
      </c>
      <c r="C3677" t="s">
        <v>12</v>
      </c>
      <c r="D3677" t="s">
        <v>15</v>
      </c>
      <c r="E3677">
        <v>0</v>
      </c>
      <c r="F3677">
        <v>0.75</v>
      </c>
      <c r="G3677">
        <v>38.618955135345402</v>
      </c>
      <c r="H3677">
        <v>0</v>
      </c>
      <c r="I3677">
        <v>0</v>
      </c>
      <c r="J3677">
        <v>30</v>
      </c>
    </row>
    <row r="3678" spans="1:10" x14ac:dyDescent="0.25">
      <c r="A3678" t="s">
        <v>24</v>
      </c>
      <c r="B3678" t="s">
        <v>11</v>
      </c>
      <c r="C3678" t="s">
        <v>12</v>
      </c>
      <c r="D3678" t="s">
        <v>15</v>
      </c>
      <c r="E3678">
        <v>0</v>
      </c>
      <c r="F3678">
        <v>0.75</v>
      </c>
      <c r="G3678">
        <v>39.490032672882002</v>
      </c>
      <c r="H3678">
        <v>0</v>
      </c>
      <c r="I3678">
        <v>0</v>
      </c>
      <c r="J3678">
        <v>30</v>
      </c>
    </row>
    <row r="3679" spans="1:10" x14ac:dyDescent="0.25">
      <c r="A3679" t="s">
        <v>24</v>
      </c>
      <c r="B3679" t="s">
        <v>11</v>
      </c>
      <c r="C3679" t="s">
        <v>12</v>
      </c>
      <c r="D3679" t="s">
        <v>15</v>
      </c>
      <c r="E3679">
        <v>0</v>
      </c>
      <c r="F3679">
        <v>0.75</v>
      </c>
      <c r="G3679">
        <v>40.825453758239703</v>
      </c>
      <c r="H3679">
        <v>0</v>
      </c>
      <c r="I3679">
        <v>0</v>
      </c>
      <c r="J3679">
        <v>30</v>
      </c>
    </row>
    <row r="3680" spans="1:10" x14ac:dyDescent="0.25">
      <c r="A3680" t="s">
        <v>24</v>
      </c>
      <c r="B3680" t="s">
        <v>11</v>
      </c>
      <c r="C3680" t="s">
        <v>12</v>
      </c>
      <c r="D3680" t="s">
        <v>15</v>
      </c>
      <c r="E3680">
        <v>0</v>
      </c>
      <c r="F3680">
        <v>0.75</v>
      </c>
      <c r="G3680">
        <v>41.906480550765899</v>
      </c>
      <c r="H3680">
        <v>0</v>
      </c>
      <c r="I3680">
        <v>0</v>
      </c>
      <c r="J3680">
        <v>30</v>
      </c>
    </row>
    <row r="3681" spans="1:10" x14ac:dyDescent="0.25">
      <c r="A3681" t="s">
        <v>24</v>
      </c>
      <c r="B3681" t="s">
        <v>11</v>
      </c>
      <c r="C3681" t="s">
        <v>12</v>
      </c>
      <c r="D3681" t="s">
        <v>15</v>
      </c>
      <c r="E3681">
        <v>0</v>
      </c>
      <c r="F3681">
        <v>0.75</v>
      </c>
      <c r="G3681">
        <v>46.374562740325899</v>
      </c>
      <c r="H3681">
        <v>0</v>
      </c>
      <c r="I3681">
        <v>0</v>
      </c>
      <c r="J3681">
        <v>30</v>
      </c>
    </row>
    <row r="3682" spans="1:10" x14ac:dyDescent="0.25">
      <c r="A3682" t="s">
        <v>24</v>
      </c>
      <c r="B3682" t="s">
        <v>11</v>
      </c>
      <c r="C3682" t="s">
        <v>12</v>
      </c>
      <c r="D3682" t="s">
        <v>15</v>
      </c>
      <c r="E3682">
        <v>0</v>
      </c>
      <c r="F3682">
        <v>0.75</v>
      </c>
      <c r="G3682">
        <v>47.303756713867102</v>
      </c>
      <c r="H3682">
        <v>0</v>
      </c>
      <c r="I3682">
        <v>0</v>
      </c>
      <c r="J3682">
        <v>30</v>
      </c>
    </row>
    <row r="3683" spans="1:10" x14ac:dyDescent="0.25">
      <c r="A3683" t="s">
        <v>24</v>
      </c>
      <c r="B3683" t="s">
        <v>11</v>
      </c>
      <c r="C3683" t="s">
        <v>12</v>
      </c>
      <c r="D3683" t="s">
        <v>15</v>
      </c>
      <c r="E3683">
        <v>0</v>
      </c>
      <c r="F3683">
        <v>0.75</v>
      </c>
      <c r="G3683">
        <v>52.515549182891803</v>
      </c>
      <c r="H3683">
        <v>1</v>
      </c>
      <c r="I3683">
        <v>5</v>
      </c>
      <c r="J3683">
        <v>30</v>
      </c>
    </row>
    <row r="3684" spans="1:10" x14ac:dyDescent="0.25">
      <c r="A3684" t="s">
        <v>24</v>
      </c>
      <c r="B3684" t="s">
        <v>11</v>
      </c>
      <c r="C3684" t="s">
        <v>12</v>
      </c>
      <c r="D3684" t="s">
        <v>15</v>
      </c>
      <c r="E3684">
        <v>9.1575091575091499E-4</v>
      </c>
      <c r="F3684">
        <v>0.74994108665494497</v>
      </c>
      <c r="G3684">
        <v>56.0371286869049</v>
      </c>
      <c r="H3684">
        <v>5</v>
      </c>
      <c r="I3684">
        <v>13</v>
      </c>
      <c r="J3684">
        <v>30</v>
      </c>
    </row>
    <row r="3685" spans="1:10" x14ac:dyDescent="0.25">
      <c r="A3685" t="s">
        <v>24</v>
      </c>
      <c r="B3685" t="s">
        <v>11</v>
      </c>
      <c r="C3685" t="s">
        <v>12</v>
      </c>
      <c r="D3685" t="s">
        <v>15</v>
      </c>
      <c r="E3685">
        <v>0</v>
      </c>
      <c r="F3685">
        <v>0.74995192307692304</v>
      </c>
      <c r="G3685">
        <v>56.128795385360696</v>
      </c>
      <c r="H3685">
        <v>2</v>
      </c>
      <c r="I3685">
        <v>7</v>
      </c>
      <c r="J3685">
        <v>30</v>
      </c>
    </row>
    <row r="3686" spans="1:10" x14ac:dyDescent="0.25">
      <c r="A3686" t="s">
        <v>24</v>
      </c>
      <c r="B3686" t="s">
        <v>11</v>
      </c>
      <c r="C3686" t="s">
        <v>12</v>
      </c>
      <c r="D3686" t="s">
        <v>15</v>
      </c>
      <c r="E3686">
        <v>0</v>
      </c>
      <c r="F3686">
        <v>0.75</v>
      </c>
      <c r="G3686">
        <v>58.387564897537203</v>
      </c>
      <c r="H3686">
        <v>2</v>
      </c>
      <c r="I3686">
        <v>6</v>
      </c>
      <c r="J3686">
        <v>30</v>
      </c>
    </row>
    <row r="3687" spans="1:10" x14ac:dyDescent="0.25">
      <c r="A3687" t="s">
        <v>24</v>
      </c>
      <c r="B3687" t="s">
        <v>11</v>
      </c>
      <c r="C3687" t="s">
        <v>12</v>
      </c>
      <c r="D3687" t="s">
        <v>15</v>
      </c>
      <c r="E3687">
        <v>0</v>
      </c>
      <c r="F3687">
        <v>0.75</v>
      </c>
      <c r="G3687">
        <v>59.228127717971802</v>
      </c>
      <c r="H3687">
        <v>1</v>
      </c>
      <c r="I3687">
        <v>4</v>
      </c>
      <c r="J3687">
        <v>30</v>
      </c>
    </row>
    <row r="3688" spans="1:10" x14ac:dyDescent="0.25">
      <c r="A3688" t="s">
        <v>24</v>
      </c>
      <c r="B3688" t="s">
        <v>11</v>
      </c>
      <c r="C3688" t="s">
        <v>12</v>
      </c>
      <c r="D3688" t="s">
        <v>15</v>
      </c>
      <c r="E3688">
        <v>9.1575091575091499E-4</v>
      </c>
      <c r="F3688">
        <v>0.74991330580659299</v>
      </c>
      <c r="G3688">
        <v>59.686534404754603</v>
      </c>
      <c r="H3688">
        <v>2</v>
      </c>
      <c r="I3688">
        <v>7</v>
      </c>
      <c r="J3688">
        <v>30</v>
      </c>
    </row>
    <row r="3689" spans="1:10" x14ac:dyDescent="0.25">
      <c r="A3689" t="s">
        <v>24</v>
      </c>
      <c r="B3689" t="s">
        <v>11</v>
      </c>
      <c r="C3689" t="s">
        <v>12</v>
      </c>
      <c r="D3689" t="s">
        <v>15</v>
      </c>
      <c r="E3689">
        <v>9.1575091575091499E-4</v>
      </c>
      <c r="F3689">
        <v>0.74999542124542096</v>
      </c>
      <c r="G3689">
        <v>60.024255514144897</v>
      </c>
      <c r="H3689">
        <v>1</v>
      </c>
      <c r="I3689">
        <v>3</v>
      </c>
      <c r="J3689">
        <v>30</v>
      </c>
    </row>
    <row r="3690" spans="1:10" x14ac:dyDescent="0.25">
      <c r="A3690" t="s">
        <v>24</v>
      </c>
      <c r="B3690" t="s">
        <v>11</v>
      </c>
      <c r="C3690" t="s">
        <v>12</v>
      </c>
      <c r="D3690" t="s">
        <v>15</v>
      </c>
      <c r="E3690">
        <v>0</v>
      </c>
      <c r="F3690">
        <v>0.75</v>
      </c>
      <c r="G3690">
        <v>60.073850393295203</v>
      </c>
      <c r="H3690">
        <v>1</v>
      </c>
      <c r="I3690">
        <v>5</v>
      </c>
      <c r="J3690">
        <v>30</v>
      </c>
    </row>
    <row r="3691" spans="1:10" x14ac:dyDescent="0.25">
      <c r="A3691" t="s">
        <v>24</v>
      </c>
      <c r="B3691" t="s">
        <v>11</v>
      </c>
      <c r="C3691" t="s">
        <v>12</v>
      </c>
      <c r="D3691" t="s">
        <v>15</v>
      </c>
      <c r="E3691">
        <v>9.1575091575091499E-4</v>
      </c>
      <c r="F3691">
        <v>0.74999542124542096</v>
      </c>
      <c r="G3691">
        <v>63.301579713821397</v>
      </c>
      <c r="H3691">
        <v>4</v>
      </c>
      <c r="I3691">
        <v>14</v>
      </c>
      <c r="J3691">
        <v>30</v>
      </c>
    </row>
    <row r="3692" spans="1:10" x14ac:dyDescent="0.25">
      <c r="A3692" t="s">
        <v>24</v>
      </c>
      <c r="B3692" t="s">
        <v>11</v>
      </c>
      <c r="C3692" t="s">
        <v>12</v>
      </c>
      <c r="D3692" t="s">
        <v>16</v>
      </c>
      <c r="E3692">
        <v>0</v>
      </c>
      <c r="F3692">
        <v>0.75</v>
      </c>
      <c r="G3692">
        <v>0.63603544235229403</v>
      </c>
      <c r="H3692">
        <v>0</v>
      </c>
      <c r="I3692">
        <v>0</v>
      </c>
      <c r="J3692">
        <v>30</v>
      </c>
    </row>
    <row r="3693" spans="1:10" x14ac:dyDescent="0.25">
      <c r="A3693" t="s">
        <v>24</v>
      </c>
      <c r="B3693" t="s">
        <v>11</v>
      </c>
      <c r="C3693" t="s">
        <v>12</v>
      </c>
      <c r="D3693" t="s">
        <v>16</v>
      </c>
      <c r="E3693">
        <v>0</v>
      </c>
      <c r="F3693">
        <v>0.75</v>
      </c>
      <c r="G3693">
        <v>0.64628505706787098</v>
      </c>
      <c r="H3693">
        <v>0</v>
      </c>
      <c r="I3693">
        <v>0</v>
      </c>
      <c r="J3693">
        <v>30</v>
      </c>
    </row>
    <row r="3694" spans="1:10" x14ac:dyDescent="0.25">
      <c r="A3694" t="s">
        <v>24</v>
      </c>
      <c r="B3694" t="s">
        <v>11</v>
      </c>
      <c r="C3694" t="s">
        <v>12</v>
      </c>
      <c r="D3694" t="s">
        <v>16</v>
      </c>
      <c r="E3694">
        <v>0</v>
      </c>
      <c r="F3694">
        <v>0.75</v>
      </c>
      <c r="G3694">
        <v>0.64266252517700195</v>
      </c>
      <c r="H3694">
        <v>0</v>
      </c>
      <c r="I3694">
        <v>0</v>
      </c>
      <c r="J3694">
        <v>30</v>
      </c>
    </row>
    <row r="3695" spans="1:10" x14ac:dyDescent="0.25">
      <c r="A3695" t="s">
        <v>24</v>
      </c>
      <c r="B3695" t="s">
        <v>11</v>
      </c>
      <c r="C3695" t="s">
        <v>12</v>
      </c>
      <c r="D3695" t="s">
        <v>16</v>
      </c>
      <c r="E3695">
        <v>0</v>
      </c>
      <c r="F3695">
        <v>0.75</v>
      </c>
      <c r="G3695">
        <v>0.66660284996032704</v>
      </c>
      <c r="H3695">
        <v>0</v>
      </c>
      <c r="I3695">
        <v>0</v>
      </c>
      <c r="J3695">
        <v>30</v>
      </c>
    </row>
    <row r="3696" spans="1:10" x14ac:dyDescent="0.25">
      <c r="A3696" t="s">
        <v>24</v>
      </c>
      <c r="B3696" t="s">
        <v>11</v>
      </c>
      <c r="C3696" t="s">
        <v>12</v>
      </c>
      <c r="D3696" t="s">
        <v>16</v>
      </c>
      <c r="E3696">
        <v>0</v>
      </c>
      <c r="F3696">
        <v>0.75</v>
      </c>
      <c r="G3696">
        <v>0.66872262954711903</v>
      </c>
      <c r="H3696">
        <v>0</v>
      </c>
      <c r="I3696">
        <v>0</v>
      </c>
      <c r="J3696">
        <v>30</v>
      </c>
    </row>
    <row r="3697" spans="1:10" x14ac:dyDescent="0.25">
      <c r="A3697" t="s">
        <v>24</v>
      </c>
      <c r="B3697" t="s">
        <v>11</v>
      </c>
      <c r="C3697" t="s">
        <v>12</v>
      </c>
      <c r="D3697" t="s">
        <v>16</v>
      </c>
      <c r="E3697">
        <v>0</v>
      </c>
      <c r="F3697">
        <v>0.75</v>
      </c>
      <c r="G3697">
        <v>0.73190784454345703</v>
      </c>
      <c r="H3697">
        <v>0</v>
      </c>
      <c r="I3697">
        <v>0</v>
      </c>
      <c r="J3697">
        <v>30</v>
      </c>
    </row>
    <row r="3698" spans="1:10" x14ac:dyDescent="0.25">
      <c r="A3698" t="s">
        <v>24</v>
      </c>
      <c r="B3698" t="s">
        <v>11</v>
      </c>
      <c r="C3698" t="s">
        <v>12</v>
      </c>
      <c r="D3698" t="s">
        <v>16</v>
      </c>
      <c r="E3698">
        <v>0</v>
      </c>
      <c r="F3698">
        <v>0.75</v>
      </c>
      <c r="G3698">
        <v>0.79890418052673295</v>
      </c>
      <c r="H3698">
        <v>0</v>
      </c>
      <c r="I3698">
        <v>0</v>
      </c>
      <c r="J3698">
        <v>30</v>
      </c>
    </row>
    <row r="3699" spans="1:10" x14ac:dyDescent="0.25">
      <c r="A3699" t="s">
        <v>24</v>
      </c>
      <c r="B3699" t="s">
        <v>11</v>
      </c>
      <c r="C3699" t="s">
        <v>12</v>
      </c>
      <c r="D3699" t="s">
        <v>16</v>
      </c>
      <c r="E3699">
        <v>0</v>
      </c>
      <c r="F3699">
        <v>0.75</v>
      </c>
      <c r="G3699">
        <v>0.70818424224853505</v>
      </c>
      <c r="H3699">
        <v>0</v>
      </c>
      <c r="I3699">
        <v>0</v>
      </c>
      <c r="J3699">
        <v>30</v>
      </c>
    </row>
    <row r="3700" spans="1:10" x14ac:dyDescent="0.25">
      <c r="A3700" t="s">
        <v>24</v>
      </c>
      <c r="B3700" t="s">
        <v>11</v>
      </c>
      <c r="C3700" t="s">
        <v>12</v>
      </c>
      <c r="D3700" t="s">
        <v>16</v>
      </c>
      <c r="E3700">
        <v>0</v>
      </c>
      <c r="F3700">
        <v>0.75</v>
      </c>
      <c r="G3700">
        <v>0.80824041366577104</v>
      </c>
      <c r="H3700">
        <v>0</v>
      </c>
      <c r="I3700">
        <v>0</v>
      </c>
      <c r="J3700">
        <v>30</v>
      </c>
    </row>
    <row r="3701" spans="1:10" x14ac:dyDescent="0.25">
      <c r="A3701" t="s">
        <v>24</v>
      </c>
      <c r="B3701" t="s">
        <v>11</v>
      </c>
      <c r="C3701" t="s">
        <v>12</v>
      </c>
      <c r="D3701" t="s">
        <v>16</v>
      </c>
      <c r="E3701">
        <v>0</v>
      </c>
      <c r="F3701">
        <v>0.75</v>
      </c>
      <c r="G3701">
        <v>0.76965379714965798</v>
      </c>
      <c r="H3701">
        <v>0</v>
      </c>
      <c r="I3701">
        <v>0</v>
      </c>
      <c r="J3701">
        <v>30</v>
      </c>
    </row>
    <row r="3702" spans="1:10" x14ac:dyDescent="0.25">
      <c r="A3702" t="s">
        <v>24</v>
      </c>
      <c r="B3702" t="s">
        <v>11</v>
      </c>
      <c r="C3702" t="s">
        <v>12</v>
      </c>
      <c r="D3702" t="s">
        <v>16</v>
      </c>
      <c r="E3702">
        <v>0</v>
      </c>
      <c r="F3702">
        <v>0.75</v>
      </c>
      <c r="G3702">
        <v>0.72757101058959905</v>
      </c>
      <c r="H3702">
        <v>0</v>
      </c>
      <c r="I3702">
        <v>0</v>
      </c>
      <c r="J3702">
        <v>30</v>
      </c>
    </row>
    <row r="3703" spans="1:10" x14ac:dyDescent="0.25">
      <c r="A3703" t="s">
        <v>24</v>
      </c>
      <c r="B3703" t="s">
        <v>11</v>
      </c>
      <c r="C3703" t="s">
        <v>12</v>
      </c>
      <c r="D3703" t="s">
        <v>16</v>
      </c>
      <c r="E3703">
        <v>0</v>
      </c>
      <c r="F3703">
        <v>0.75</v>
      </c>
      <c r="G3703">
        <v>0.752507925033569</v>
      </c>
      <c r="H3703">
        <v>0</v>
      </c>
      <c r="I3703">
        <v>0</v>
      </c>
      <c r="J3703">
        <v>30</v>
      </c>
    </row>
    <row r="3704" spans="1:10" x14ac:dyDescent="0.25">
      <c r="A3704" t="s">
        <v>24</v>
      </c>
      <c r="B3704" t="s">
        <v>11</v>
      </c>
      <c r="C3704" t="s">
        <v>12</v>
      </c>
      <c r="D3704" t="s">
        <v>16</v>
      </c>
      <c r="E3704">
        <v>0</v>
      </c>
      <c r="F3704">
        <v>0.75</v>
      </c>
      <c r="G3704">
        <v>0.80519175529479903</v>
      </c>
      <c r="H3704">
        <v>0</v>
      </c>
      <c r="I3704">
        <v>0</v>
      </c>
      <c r="J3704">
        <v>30</v>
      </c>
    </row>
    <row r="3705" spans="1:10" x14ac:dyDescent="0.25">
      <c r="A3705" t="s">
        <v>24</v>
      </c>
      <c r="B3705" t="s">
        <v>11</v>
      </c>
      <c r="C3705" t="s">
        <v>12</v>
      </c>
      <c r="D3705" t="s">
        <v>16</v>
      </c>
      <c r="E3705">
        <v>0</v>
      </c>
      <c r="F3705">
        <v>0.75</v>
      </c>
      <c r="G3705">
        <v>0.82420539855956998</v>
      </c>
      <c r="H3705">
        <v>0</v>
      </c>
      <c r="I3705">
        <v>0</v>
      </c>
      <c r="J3705">
        <v>30</v>
      </c>
    </row>
    <row r="3706" spans="1:10" x14ac:dyDescent="0.25">
      <c r="A3706" t="s">
        <v>24</v>
      </c>
      <c r="B3706" t="s">
        <v>11</v>
      </c>
      <c r="C3706" t="s">
        <v>12</v>
      </c>
      <c r="D3706" t="s">
        <v>16</v>
      </c>
      <c r="E3706">
        <v>0</v>
      </c>
      <c r="F3706">
        <v>0.75</v>
      </c>
      <c r="G3706">
        <v>0.90604686737060502</v>
      </c>
      <c r="H3706">
        <v>0</v>
      </c>
      <c r="I3706">
        <v>0</v>
      </c>
      <c r="J3706">
        <v>30</v>
      </c>
    </row>
    <row r="3707" spans="1:10" x14ac:dyDescent="0.25">
      <c r="A3707" t="s">
        <v>24</v>
      </c>
      <c r="B3707" t="s">
        <v>11</v>
      </c>
      <c r="C3707" t="s">
        <v>12</v>
      </c>
      <c r="D3707" t="s">
        <v>16</v>
      </c>
      <c r="E3707">
        <v>0</v>
      </c>
      <c r="F3707">
        <v>0.75</v>
      </c>
      <c r="G3707">
        <v>0.83175015449523904</v>
      </c>
      <c r="H3707">
        <v>0</v>
      </c>
      <c r="I3707">
        <v>0</v>
      </c>
      <c r="J3707">
        <v>30</v>
      </c>
    </row>
    <row r="3708" spans="1:10" x14ac:dyDescent="0.25">
      <c r="A3708" t="s">
        <v>24</v>
      </c>
      <c r="B3708" t="s">
        <v>11</v>
      </c>
      <c r="C3708" t="s">
        <v>12</v>
      </c>
      <c r="D3708" t="s">
        <v>16</v>
      </c>
      <c r="E3708">
        <v>0</v>
      </c>
      <c r="F3708">
        <v>0.75</v>
      </c>
      <c r="G3708">
        <v>0.87088227272033603</v>
      </c>
      <c r="H3708">
        <v>0</v>
      </c>
      <c r="I3708">
        <v>0</v>
      </c>
      <c r="J3708">
        <v>30</v>
      </c>
    </row>
    <row r="3709" spans="1:10" x14ac:dyDescent="0.25">
      <c r="A3709" t="s">
        <v>24</v>
      </c>
      <c r="B3709" t="s">
        <v>11</v>
      </c>
      <c r="C3709" t="s">
        <v>12</v>
      </c>
      <c r="D3709" t="s">
        <v>16</v>
      </c>
      <c r="E3709">
        <v>0</v>
      </c>
      <c r="F3709">
        <v>0.75</v>
      </c>
      <c r="G3709">
        <v>0.82840967178344704</v>
      </c>
      <c r="H3709">
        <v>0</v>
      </c>
      <c r="I3709">
        <v>0</v>
      </c>
      <c r="J3709">
        <v>30</v>
      </c>
    </row>
    <row r="3710" spans="1:10" x14ac:dyDescent="0.25">
      <c r="A3710" t="s">
        <v>24</v>
      </c>
      <c r="B3710" t="s">
        <v>11</v>
      </c>
      <c r="C3710" t="s">
        <v>12</v>
      </c>
      <c r="D3710" t="s">
        <v>16</v>
      </c>
      <c r="E3710">
        <v>0</v>
      </c>
      <c r="F3710">
        <v>0.75</v>
      </c>
      <c r="G3710">
        <v>0.91835641860961903</v>
      </c>
      <c r="H3710">
        <v>0</v>
      </c>
      <c r="I3710">
        <v>0</v>
      </c>
      <c r="J3710">
        <v>30</v>
      </c>
    </row>
    <row r="3711" spans="1:10" x14ac:dyDescent="0.25">
      <c r="A3711" t="s">
        <v>24</v>
      </c>
      <c r="B3711" t="s">
        <v>11</v>
      </c>
      <c r="C3711" t="s">
        <v>12</v>
      </c>
      <c r="D3711" t="s">
        <v>16</v>
      </c>
      <c r="E3711">
        <v>0</v>
      </c>
      <c r="F3711">
        <v>0.75</v>
      </c>
      <c r="G3711">
        <v>0.92240262031555098</v>
      </c>
      <c r="H3711">
        <v>0</v>
      </c>
      <c r="I3711">
        <v>0</v>
      </c>
      <c r="J3711">
        <v>30</v>
      </c>
    </row>
    <row r="3712" spans="1:10" x14ac:dyDescent="0.25">
      <c r="A3712" t="s">
        <v>24</v>
      </c>
      <c r="B3712" t="s">
        <v>11</v>
      </c>
      <c r="C3712" t="s">
        <v>12</v>
      </c>
      <c r="D3712" t="s">
        <v>16</v>
      </c>
      <c r="E3712">
        <v>0</v>
      </c>
      <c r="F3712">
        <v>0.75</v>
      </c>
      <c r="G3712">
        <v>0.86272835731506303</v>
      </c>
      <c r="H3712">
        <v>0</v>
      </c>
      <c r="I3712">
        <v>0</v>
      </c>
      <c r="J3712">
        <v>30</v>
      </c>
    </row>
    <row r="3713" spans="1:10" x14ac:dyDescent="0.25">
      <c r="A3713" t="s">
        <v>24</v>
      </c>
      <c r="B3713" t="s">
        <v>11</v>
      </c>
      <c r="C3713" t="s">
        <v>12</v>
      </c>
      <c r="D3713" t="s">
        <v>16</v>
      </c>
      <c r="E3713">
        <v>0</v>
      </c>
      <c r="F3713">
        <v>0.75</v>
      </c>
      <c r="G3713">
        <v>0.85411238670349099</v>
      </c>
      <c r="H3713">
        <v>0</v>
      </c>
      <c r="I3713">
        <v>0</v>
      </c>
      <c r="J3713">
        <v>30</v>
      </c>
    </row>
    <row r="3714" spans="1:10" x14ac:dyDescent="0.25">
      <c r="A3714" t="s">
        <v>24</v>
      </c>
      <c r="B3714" t="s">
        <v>11</v>
      </c>
      <c r="C3714" t="s">
        <v>12</v>
      </c>
      <c r="D3714" t="s">
        <v>16</v>
      </c>
      <c r="E3714">
        <v>0</v>
      </c>
      <c r="F3714">
        <v>0.75</v>
      </c>
      <c r="G3714">
        <v>0.92235374450683505</v>
      </c>
      <c r="H3714">
        <v>0</v>
      </c>
      <c r="I3714">
        <v>0</v>
      </c>
      <c r="J3714">
        <v>30</v>
      </c>
    </row>
    <row r="3715" spans="1:10" x14ac:dyDescent="0.25">
      <c r="A3715" t="s">
        <v>24</v>
      </c>
      <c r="B3715" t="s">
        <v>11</v>
      </c>
      <c r="C3715" t="s">
        <v>12</v>
      </c>
      <c r="D3715" t="s">
        <v>16</v>
      </c>
      <c r="E3715">
        <v>0</v>
      </c>
      <c r="F3715">
        <v>0.75</v>
      </c>
      <c r="G3715">
        <v>0.86265754699706998</v>
      </c>
      <c r="H3715">
        <v>0</v>
      </c>
      <c r="I3715">
        <v>0</v>
      </c>
      <c r="J3715">
        <v>30</v>
      </c>
    </row>
    <row r="3716" spans="1:10" x14ac:dyDescent="0.25">
      <c r="A3716" t="s">
        <v>24</v>
      </c>
      <c r="B3716" t="s">
        <v>11</v>
      </c>
      <c r="C3716" t="s">
        <v>12</v>
      </c>
      <c r="D3716" t="s">
        <v>16</v>
      </c>
      <c r="E3716">
        <v>0</v>
      </c>
      <c r="F3716">
        <v>0.75</v>
      </c>
      <c r="G3716">
        <v>0.92638516426086404</v>
      </c>
      <c r="H3716">
        <v>0</v>
      </c>
      <c r="I3716">
        <v>0</v>
      </c>
      <c r="J3716">
        <v>30</v>
      </c>
    </row>
    <row r="3717" spans="1:10" x14ac:dyDescent="0.25">
      <c r="A3717" t="s">
        <v>24</v>
      </c>
      <c r="B3717" t="s">
        <v>11</v>
      </c>
      <c r="C3717" t="s">
        <v>12</v>
      </c>
      <c r="D3717" t="s">
        <v>16</v>
      </c>
      <c r="E3717">
        <v>0</v>
      </c>
      <c r="F3717">
        <v>0.75</v>
      </c>
      <c r="G3717">
        <v>0.87031006813049305</v>
      </c>
      <c r="H3717">
        <v>0</v>
      </c>
      <c r="I3717">
        <v>0</v>
      </c>
      <c r="J3717">
        <v>30</v>
      </c>
    </row>
    <row r="3718" spans="1:10" x14ac:dyDescent="0.25">
      <c r="A3718" t="s">
        <v>24</v>
      </c>
      <c r="B3718" t="s">
        <v>11</v>
      </c>
      <c r="C3718" t="s">
        <v>12</v>
      </c>
      <c r="D3718" t="s">
        <v>16</v>
      </c>
      <c r="E3718">
        <v>0</v>
      </c>
      <c r="F3718">
        <v>0.75</v>
      </c>
      <c r="G3718">
        <v>0.86510634422302202</v>
      </c>
      <c r="H3718">
        <v>0</v>
      </c>
      <c r="I3718">
        <v>0</v>
      </c>
      <c r="J3718">
        <v>30</v>
      </c>
    </row>
    <row r="3719" spans="1:10" x14ac:dyDescent="0.25">
      <c r="A3719" t="s">
        <v>24</v>
      </c>
      <c r="B3719" t="s">
        <v>11</v>
      </c>
      <c r="C3719" t="s">
        <v>12</v>
      </c>
      <c r="D3719" t="s">
        <v>16</v>
      </c>
      <c r="E3719">
        <v>0</v>
      </c>
      <c r="F3719">
        <v>0.75</v>
      </c>
      <c r="G3719">
        <v>0.92179632186889604</v>
      </c>
      <c r="H3719">
        <v>0</v>
      </c>
      <c r="I3719">
        <v>0</v>
      </c>
      <c r="J3719">
        <v>30</v>
      </c>
    </row>
    <row r="3720" spans="1:10" x14ac:dyDescent="0.25">
      <c r="A3720" t="s">
        <v>24</v>
      </c>
      <c r="B3720" t="s">
        <v>11</v>
      </c>
      <c r="C3720" t="s">
        <v>12</v>
      </c>
      <c r="D3720" t="s">
        <v>16</v>
      </c>
      <c r="E3720">
        <v>0</v>
      </c>
      <c r="F3720">
        <v>0.75</v>
      </c>
      <c r="G3720">
        <v>0.83934879302978505</v>
      </c>
      <c r="H3720">
        <v>0</v>
      </c>
      <c r="I3720">
        <v>0</v>
      </c>
      <c r="J3720">
        <v>30</v>
      </c>
    </row>
    <row r="3721" spans="1:10" x14ac:dyDescent="0.25">
      <c r="A3721" t="s">
        <v>24</v>
      </c>
      <c r="B3721" t="s">
        <v>11</v>
      </c>
      <c r="C3721" t="s">
        <v>12</v>
      </c>
      <c r="D3721" t="s">
        <v>16</v>
      </c>
      <c r="E3721">
        <v>0</v>
      </c>
      <c r="F3721">
        <v>0.75</v>
      </c>
      <c r="G3721">
        <v>0.92627120018005304</v>
      </c>
      <c r="H3721">
        <v>0</v>
      </c>
      <c r="I3721">
        <v>0</v>
      </c>
      <c r="J3721">
        <v>30</v>
      </c>
    </row>
    <row r="3722" spans="1:10" x14ac:dyDescent="0.25">
      <c r="A3722" t="s">
        <v>24</v>
      </c>
      <c r="B3722" t="s">
        <v>11</v>
      </c>
      <c r="C3722" t="s">
        <v>12</v>
      </c>
      <c r="D3722" t="s">
        <v>17</v>
      </c>
      <c r="E3722">
        <v>0.34981684981684902</v>
      </c>
      <c r="F3722">
        <v>0.81951494352829601</v>
      </c>
      <c r="G3722">
        <v>744.28231811523403</v>
      </c>
      <c r="H3722">
        <v>341</v>
      </c>
      <c r="I3722">
        <v>390</v>
      </c>
      <c r="J3722">
        <v>30</v>
      </c>
    </row>
    <row r="3723" spans="1:10" x14ac:dyDescent="0.25">
      <c r="A3723" t="s">
        <v>24</v>
      </c>
      <c r="B3723" t="s">
        <v>11</v>
      </c>
      <c r="C3723" t="s">
        <v>12</v>
      </c>
      <c r="D3723" t="s">
        <v>17</v>
      </c>
      <c r="E3723">
        <v>0.33699633699633702</v>
      </c>
      <c r="F3723">
        <v>0.81949607049248996</v>
      </c>
      <c r="G3723">
        <v>756.29753613471905</v>
      </c>
      <c r="H3723">
        <v>321</v>
      </c>
      <c r="I3723">
        <v>333</v>
      </c>
      <c r="J3723">
        <v>30</v>
      </c>
    </row>
    <row r="3724" spans="1:10" x14ac:dyDescent="0.25">
      <c r="A3724" t="s">
        <v>24</v>
      </c>
      <c r="B3724" t="s">
        <v>11</v>
      </c>
      <c r="C3724" t="s">
        <v>12</v>
      </c>
      <c r="D3724" t="s">
        <v>17</v>
      </c>
      <c r="E3724">
        <v>0.36355311355311298</v>
      </c>
      <c r="F3724">
        <v>0.82373148851749001</v>
      </c>
      <c r="G3724">
        <v>765.67220878600995</v>
      </c>
      <c r="H3724">
        <v>325</v>
      </c>
      <c r="I3724">
        <v>349</v>
      </c>
      <c r="J3724">
        <v>30</v>
      </c>
    </row>
    <row r="3725" spans="1:10" x14ac:dyDescent="0.25">
      <c r="A3725" t="s">
        <v>24</v>
      </c>
      <c r="B3725" t="s">
        <v>11</v>
      </c>
      <c r="C3725" t="s">
        <v>12</v>
      </c>
      <c r="D3725" t="s">
        <v>17</v>
      </c>
      <c r="E3725">
        <v>0.38461538461538403</v>
      </c>
      <c r="F3725">
        <v>0.82634129504569498</v>
      </c>
      <c r="G3725">
        <v>793.75949883460999</v>
      </c>
      <c r="H3725">
        <v>352</v>
      </c>
      <c r="I3725">
        <v>408</v>
      </c>
      <c r="J3725">
        <v>30</v>
      </c>
    </row>
    <row r="3726" spans="1:10" x14ac:dyDescent="0.25">
      <c r="A3726" t="s">
        <v>24</v>
      </c>
      <c r="B3726" t="s">
        <v>11</v>
      </c>
      <c r="C3726" t="s">
        <v>12</v>
      </c>
      <c r="D3726" t="s">
        <v>17</v>
      </c>
      <c r="E3726">
        <v>0.36446886446886401</v>
      </c>
      <c r="F3726">
        <v>0.82273809272179499</v>
      </c>
      <c r="G3726">
        <v>794.96017456054597</v>
      </c>
      <c r="H3726">
        <v>333</v>
      </c>
      <c r="I3726">
        <v>375</v>
      </c>
      <c r="J3726">
        <v>30</v>
      </c>
    </row>
    <row r="3727" spans="1:10" x14ac:dyDescent="0.25">
      <c r="A3727" t="s">
        <v>24</v>
      </c>
      <c r="B3727" t="s">
        <v>11</v>
      </c>
      <c r="C3727" t="s">
        <v>12</v>
      </c>
      <c r="D3727" t="s">
        <v>17</v>
      </c>
      <c r="E3727">
        <v>0.35164835164835101</v>
      </c>
      <c r="F3727">
        <v>0.82040690637921199</v>
      </c>
      <c r="G3727">
        <v>797.17531871795597</v>
      </c>
      <c r="H3727">
        <v>325</v>
      </c>
      <c r="I3727">
        <v>366</v>
      </c>
      <c r="J3727">
        <v>30</v>
      </c>
    </row>
    <row r="3728" spans="1:10" x14ac:dyDescent="0.25">
      <c r="A3728" t="s">
        <v>24</v>
      </c>
      <c r="B3728" t="s">
        <v>11</v>
      </c>
      <c r="C3728" t="s">
        <v>12</v>
      </c>
      <c r="D3728" t="s">
        <v>17</v>
      </c>
      <c r="E3728">
        <v>0.38644688644688602</v>
      </c>
      <c r="F3728">
        <v>0.82811804296071401</v>
      </c>
      <c r="G3728">
        <v>814.30611014366104</v>
      </c>
      <c r="H3728">
        <v>338</v>
      </c>
      <c r="I3728">
        <v>374</v>
      </c>
      <c r="J3728">
        <v>30</v>
      </c>
    </row>
    <row r="3729" spans="1:10" x14ac:dyDescent="0.25">
      <c r="A3729" t="s">
        <v>24</v>
      </c>
      <c r="B3729" t="s">
        <v>11</v>
      </c>
      <c r="C3729" t="s">
        <v>12</v>
      </c>
      <c r="D3729" t="s">
        <v>17</v>
      </c>
      <c r="E3729">
        <v>0.31868131868131799</v>
      </c>
      <c r="F3729">
        <v>0.80712450398818603</v>
      </c>
      <c r="G3729">
        <v>818.28343367576599</v>
      </c>
      <c r="H3729">
        <v>332</v>
      </c>
      <c r="I3729">
        <v>366</v>
      </c>
      <c r="J3729">
        <v>30</v>
      </c>
    </row>
    <row r="3730" spans="1:10" x14ac:dyDescent="0.25">
      <c r="A3730" t="s">
        <v>24</v>
      </c>
      <c r="B3730" t="s">
        <v>11</v>
      </c>
      <c r="C3730" t="s">
        <v>12</v>
      </c>
      <c r="D3730" t="s">
        <v>17</v>
      </c>
      <c r="E3730">
        <v>0.36263736263736202</v>
      </c>
      <c r="F3730">
        <v>0.82103974895979803</v>
      </c>
      <c r="G3730">
        <v>823.72286128997803</v>
      </c>
      <c r="H3730">
        <v>325</v>
      </c>
      <c r="I3730">
        <v>353</v>
      </c>
      <c r="J3730">
        <v>30</v>
      </c>
    </row>
    <row r="3731" spans="1:10" x14ac:dyDescent="0.25">
      <c r="A3731" t="s">
        <v>24</v>
      </c>
      <c r="B3731" t="s">
        <v>11</v>
      </c>
      <c r="C3731" t="s">
        <v>12</v>
      </c>
      <c r="D3731" t="s">
        <v>17</v>
      </c>
      <c r="E3731">
        <v>0.36355311355311298</v>
      </c>
      <c r="F3731">
        <v>0.82369000993891905</v>
      </c>
      <c r="G3731">
        <v>824.161578416824</v>
      </c>
      <c r="H3731">
        <v>341</v>
      </c>
      <c r="I3731">
        <v>396</v>
      </c>
      <c r="J3731">
        <v>30</v>
      </c>
    </row>
    <row r="3732" spans="1:10" x14ac:dyDescent="0.25">
      <c r="A3732" t="s">
        <v>24</v>
      </c>
      <c r="B3732" t="s">
        <v>11</v>
      </c>
      <c r="C3732" t="s">
        <v>12</v>
      </c>
      <c r="D3732" t="s">
        <v>17</v>
      </c>
      <c r="E3732">
        <v>0.39377289377289298</v>
      </c>
      <c r="F3732">
        <v>0.83464780313168496</v>
      </c>
      <c r="G3732">
        <v>845.94302725791897</v>
      </c>
      <c r="H3732">
        <v>352</v>
      </c>
      <c r="I3732">
        <v>367</v>
      </c>
      <c r="J3732">
        <v>30</v>
      </c>
    </row>
    <row r="3733" spans="1:10" x14ac:dyDescent="0.25">
      <c r="A3733" t="s">
        <v>24</v>
      </c>
      <c r="B3733" t="s">
        <v>11</v>
      </c>
      <c r="C3733" t="s">
        <v>12</v>
      </c>
      <c r="D3733" t="s">
        <v>17</v>
      </c>
      <c r="E3733">
        <v>0.353479853479853</v>
      </c>
      <c r="F3733">
        <v>0.82294710492774703</v>
      </c>
      <c r="G3733">
        <v>894.90939331054597</v>
      </c>
      <c r="H3733">
        <v>351</v>
      </c>
      <c r="I3733">
        <v>413</v>
      </c>
      <c r="J3733">
        <v>30</v>
      </c>
    </row>
    <row r="3734" spans="1:10" x14ac:dyDescent="0.25">
      <c r="A3734" t="s">
        <v>24</v>
      </c>
      <c r="B3734" t="s">
        <v>11</v>
      </c>
      <c r="C3734" t="s">
        <v>12</v>
      </c>
      <c r="D3734" t="s">
        <v>17</v>
      </c>
      <c r="E3734">
        <v>0.36813186813186799</v>
      </c>
      <c r="F3734">
        <v>0.826208544521429</v>
      </c>
      <c r="G3734">
        <v>898.84311723709095</v>
      </c>
      <c r="H3734">
        <v>360</v>
      </c>
      <c r="I3734">
        <v>415</v>
      </c>
      <c r="J3734">
        <v>30</v>
      </c>
    </row>
    <row r="3735" spans="1:10" x14ac:dyDescent="0.25">
      <c r="A3735" t="s">
        <v>24</v>
      </c>
      <c r="B3735" t="s">
        <v>11</v>
      </c>
      <c r="C3735" t="s">
        <v>12</v>
      </c>
      <c r="D3735" t="s">
        <v>17</v>
      </c>
      <c r="E3735">
        <v>0.439560439560439</v>
      </c>
      <c r="F3735">
        <v>0.83726319419670203</v>
      </c>
      <c r="G3735">
        <v>969.05171942710797</v>
      </c>
      <c r="H3735">
        <v>401</v>
      </c>
      <c r="I3735">
        <v>457</v>
      </c>
      <c r="J3735">
        <v>30</v>
      </c>
    </row>
    <row r="3736" spans="1:10" x14ac:dyDescent="0.25">
      <c r="A3736" t="s">
        <v>24</v>
      </c>
      <c r="B3736" t="s">
        <v>11</v>
      </c>
      <c r="C3736" t="s">
        <v>12</v>
      </c>
      <c r="D3736" t="s">
        <v>17</v>
      </c>
      <c r="E3736">
        <v>0.42948717948717902</v>
      </c>
      <c r="F3736">
        <v>0.83610912117371705</v>
      </c>
      <c r="G3736">
        <v>1042.1279683113</v>
      </c>
      <c r="H3736">
        <v>437</v>
      </c>
      <c r="I3736">
        <v>489</v>
      </c>
      <c r="J3736">
        <v>30</v>
      </c>
    </row>
    <row r="3737" spans="1:10" x14ac:dyDescent="0.25">
      <c r="A3737" t="s">
        <v>24</v>
      </c>
      <c r="B3737" t="s">
        <v>11</v>
      </c>
      <c r="C3737" t="s">
        <v>12</v>
      </c>
      <c r="D3737" t="s">
        <v>17</v>
      </c>
      <c r="E3737">
        <v>0.47893772893772801</v>
      </c>
      <c r="F3737">
        <v>0.84740102986098798</v>
      </c>
      <c r="G3737">
        <v>1098.2483682632401</v>
      </c>
      <c r="H3737">
        <v>454</v>
      </c>
      <c r="I3737">
        <v>519</v>
      </c>
      <c r="J3737">
        <v>30</v>
      </c>
    </row>
    <row r="3738" spans="1:10" x14ac:dyDescent="0.25">
      <c r="A3738" t="s">
        <v>24</v>
      </c>
      <c r="B3738" t="s">
        <v>11</v>
      </c>
      <c r="C3738" t="s">
        <v>12</v>
      </c>
      <c r="D3738" t="s">
        <v>17</v>
      </c>
      <c r="E3738">
        <v>0.46703296703296698</v>
      </c>
      <c r="F3738">
        <v>0.83459217730466995</v>
      </c>
      <c r="G3738">
        <v>1101.6851432323399</v>
      </c>
      <c r="H3738">
        <v>465</v>
      </c>
      <c r="I3738">
        <v>515</v>
      </c>
      <c r="J3738">
        <v>30</v>
      </c>
    </row>
    <row r="3739" spans="1:10" x14ac:dyDescent="0.25">
      <c r="A3739" t="s">
        <v>24</v>
      </c>
      <c r="B3739" t="s">
        <v>11</v>
      </c>
      <c r="C3739" t="s">
        <v>12</v>
      </c>
      <c r="D3739" t="s">
        <v>17</v>
      </c>
      <c r="E3739">
        <v>0.41758241758241699</v>
      </c>
      <c r="F3739">
        <v>0.82731528453104397</v>
      </c>
      <c r="G3739">
        <v>1110.0573260784099</v>
      </c>
      <c r="H3739">
        <v>432</v>
      </c>
      <c r="I3739">
        <v>499</v>
      </c>
      <c r="J3739">
        <v>30</v>
      </c>
    </row>
    <row r="3740" spans="1:10" x14ac:dyDescent="0.25">
      <c r="A3740" t="s">
        <v>24</v>
      </c>
      <c r="B3740" t="s">
        <v>11</v>
      </c>
      <c r="C3740" t="s">
        <v>12</v>
      </c>
      <c r="D3740" t="s">
        <v>17</v>
      </c>
      <c r="E3740">
        <v>0.476190476190476</v>
      </c>
      <c r="F3740">
        <v>0.84025677274203203</v>
      </c>
      <c r="G3740">
        <v>1163.5305821895599</v>
      </c>
      <c r="H3740">
        <v>474</v>
      </c>
      <c r="I3740">
        <v>535</v>
      </c>
      <c r="J3740">
        <v>30</v>
      </c>
    </row>
    <row r="3741" spans="1:10" x14ac:dyDescent="0.25">
      <c r="A3741" t="s">
        <v>24</v>
      </c>
      <c r="B3741" t="s">
        <v>11</v>
      </c>
      <c r="C3741" t="s">
        <v>12</v>
      </c>
      <c r="D3741" t="s">
        <v>17</v>
      </c>
      <c r="E3741">
        <v>0.48626373626373598</v>
      </c>
      <c r="F3741">
        <v>0.83856755505018299</v>
      </c>
      <c r="G3741">
        <v>1195.60738205909</v>
      </c>
      <c r="H3741">
        <v>511</v>
      </c>
      <c r="I3741">
        <v>574</v>
      </c>
      <c r="J3741">
        <v>30</v>
      </c>
    </row>
    <row r="3742" spans="1:10" x14ac:dyDescent="0.25">
      <c r="A3742" t="s">
        <v>24</v>
      </c>
      <c r="B3742" t="s">
        <v>11</v>
      </c>
      <c r="C3742" t="s">
        <v>12</v>
      </c>
      <c r="D3742" t="s">
        <v>17</v>
      </c>
      <c r="E3742">
        <v>0.48534798534798501</v>
      </c>
      <c r="F3742">
        <v>0.84956069844075</v>
      </c>
      <c r="G3742">
        <v>1210.5827329158701</v>
      </c>
      <c r="H3742">
        <v>525</v>
      </c>
      <c r="I3742">
        <v>582</v>
      </c>
      <c r="J3742">
        <v>30</v>
      </c>
    </row>
    <row r="3743" spans="1:10" x14ac:dyDescent="0.25">
      <c r="A3743" t="s">
        <v>24</v>
      </c>
      <c r="B3743" t="s">
        <v>11</v>
      </c>
      <c r="C3743" t="s">
        <v>12</v>
      </c>
      <c r="D3743" t="s">
        <v>17</v>
      </c>
      <c r="E3743">
        <v>0.50641025641025605</v>
      </c>
      <c r="F3743">
        <v>0.83521412354890101</v>
      </c>
      <c r="G3743">
        <v>1229.13115167617</v>
      </c>
      <c r="H3743">
        <v>507</v>
      </c>
      <c r="I3743">
        <v>588</v>
      </c>
      <c r="J3743">
        <v>30</v>
      </c>
    </row>
    <row r="3744" spans="1:10" x14ac:dyDescent="0.25">
      <c r="A3744" t="s">
        <v>24</v>
      </c>
      <c r="B3744" t="s">
        <v>11</v>
      </c>
      <c r="C3744" t="s">
        <v>12</v>
      </c>
      <c r="D3744" t="s">
        <v>17</v>
      </c>
      <c r="E3744">
        <v>0.50732600732600697</v>
      </c>
      <c r="F3744">
        <v>0.84231590504294895</v>
      </c>
      <c r="G3744">
        <v>1236.14635109901</v>
      </c>
      <c r="H3744">
        <v>566</v>
      </c>
      <c r="I3744">
        <v>634</v>
      </c>
      <c r="J3744">
        <v>30</v>
      </c>
    </row>
    <row r="3745" spans="1:10" x14ac:dyDescent="0.25">
      <c r="A3745" t="s">
        <v>24</v>
      </c>
      <c r="B3745" t="s">
        <v>11</v>
      </c>
      <c r="C3745" t="s">
        <v>12</v>
      </c>
      <c r="D3745" t="s">
        <v>17</v>
      </c>
      <c r="E3745">
        <v>0.50274725274725196</v>
      </c>
      <c r="F3745">
        <v>0.85106557301400998</v>
      </c>
      <c r="G3745">
        <v>1244.0607471466001</v>
      </c>
      <c r="H3745">
        <v>534</v>
      </c>
      <c r="I3745">
        <v>635</v>
      </c>
      <c r="J3745">
        <v>30</v>
      </c>
    </row>
    <row r="3746" spans="1:10" x14ac:dyDescent="0.25">
      <c r="A3746" t="s">
        <v>24</v>
      </c>
      <c r="B3746" t="s">
        <v>11</v>
      </c>
      <c r="C3746" t="s">
        <v>12</v>
      </c>
      <c r="D3746" t="s">
        <v>17</v>
      </c>
      <c r="E3746">
        <v>0.48992673992673902</v>
      </c>
      <c r="F3746">
        <v>0.85238304652976105</v>
      </c>
      <c r="G3746">
        <v>1258.0032150745301</v>
      </c>
      <c r="H3746">
        <v>539</v>
      </c>
      <c r="I3746">
        <v>617</v>
      </c>
      <c r="J3746">
        <v>30</v>
      </c>
    </row>
    <row r="3747" spans="1:10" x14ac:dyDescent="0.25">
      <c r="A3747" t="s">
        <v>24</v>
      </c>
      <c r="B3747" t="s">
        <v>11</v>
      </c>
      <c r="C3747" t="s">
        <v>12</v>
      </c>
      <c r="D3747" t="s">
        <v>17</v>
      </c>
      <c r="E3747">
        <v>0.517399267399267</v>
      </c>
      <c r="F3747">
        <v>0.84774542272582398</v>
      </c>
      <c r="G3747">
        <v>1264.2686951160399</v>
      </c>
      <c r="H3747">
        <v>526</v>
      </c>
      <c r="I3747">
        <v>620</v>
      </c>
      <c r="J3747">
        <v>30</v>
      </c>
    </row>
    <row r="3748" spans="1:10" x14ac:dyDescent="0.25">
      <c r="A3748" t="s">
        <v>24</v>
      </c>
      <c r="B3748" t="s">
        <v>11</v>
      </c>
      <c r="C3748" t="s">
        <v>12</v>
      </c>
      <c r="D3748" t="s">
        <v>17</v>
      </c>
      <c r="E3748">
        <v>0.52289377289377204</v>
      </c>
      <c r="F3748">
        <v>0.85592774714661102</v>
      </c>
      <c r="G3748">
        <v>1294.2020010948099</v>
      </c>
      <c r="H3748">
        <v>564</v>
      </c>
      <c r="I3748">
        <v>663</v>
      </c>
      <c r="J3748">
        <v>30</v>
      </c>
    </row>
    <row r="3749" spans="1:10" x14ac:dyDescent="0.25">
      <c r="A3749" t="s">
        <v>24</v>
      </c>
      <c r="B3749" t="s">
        <v>11</v>
      </c>
      <c r="C3749" t="s">
        <v>12</v>
      </c>
      <c r="D3749" t="s">
        <v>17</v>
      </c>
      <c r="E3749">
        <v>0.56868131868131799</v>
      </c>
      <c r="F3749">
        <v>0.85894424566730698</v>
      </c>
      <c r="G3749">
        <v>1294.7115235328599</v>
      </c>
      <c r="H3749">
        <v>555</v>
      </c>
      <c r="I3749">
        <v>654</v>
      </c>
      <c r="J3749">
        <v>30</v>
      </c>
    </row>
    <row r="3750" spans="1:10" x14ac:dyDescent="0.25">
      <c r="A3750" t="s">
        <v>24</v>
      </c>
      <c r="B3750" t="s">
        <v>11</v>
      </c>
      <c r="C3750" t="s">
        <v>12</v>
      </c>
      <c r="D3750" t="s">
        <v>17</v>
      </c>
      <c r="E3750">
        <v>0.55769230769230704</v>
      </c>
      <c r="F3750">
        <v>0.84812563173351596</v>
      </c>
      <c r="G3750">
        <v>1295.5357413291899</v>
      </c>
      <c r="H3750">
        <v>591</v>
      </c>
      <c r="I3750">
        <v>661</v>
      </c>
      <c r="J3750">
        <v>30</v>
      </c>
    </row>
    <row r="3751" spans="1:10" x14ac:dyDescent="0.25">
      <c r="A3751" t="s">
        <v>24</v>
      </c>
      <c r="B3751" t="s">
        <v>11</v>
      </c>
      <c r="C3751" t="s">
        <v>12</v>
      </c>
      <c r="D3751" t="s">
        <v>17</v>
      </c>
      <c r="E3751">
        <v>0.54761904761904701</v>
      </c>
      <c r="F3751">
        <v>0.841894115301831</v>
      </c>
      <c r="G3751">
        <v>1300.87790036201</v>
      </c>
      <c r="H3751">
        <v>638</v>
      </c>
      <c r="I3751">
        <v>737</v>
      </c>
      <c r="J3751">
        <v>30</v>
      </c>
    </row>
    <row r="3752" spans="1:10" x14ac:dyDescent="0.25">
      <c r="A3752" t="s">
        <v>24</v>
      </c>
      <c r="B3752" t="s">
        <v>11</v>
      </c>
      <c r="C3752" t="s">
        <v>18</v>
      </c>
      <c r="D3752" t="s">
        <v>13</v>
      </c>
      <c r="E3752">
        <v>0.98626373626373598</v>
      </c>
      <c r="F3752">
        <v>0.98652534828754501</v>
      </c>
      <c r="G3752">
        <v>127.227611303329</v>
      </c>
      <c r="H3752">
        <v>14</v>
      </c>
      <c r="I3752">
        <v>16</v>
      </c>
      <c r="J3752">
        <v>30</v>
      </c>
    </row>
    <row r="3753" spans="1:10" x14ac:dyDescent="0.25">
      <c r="A3753" t="s">
        <v>24</v>
      </c>
      <c r="B3753" t="s">
        <v>11</v>
      </c>
      <c r="C3753" t="s">
        <v>18</v>
      </c>
      <c r="D3753" t="s">
        <v>13</v>
      </c>
      <c r="E3753">
        <v>0.97893772893772801</v>
      </c>
      <c r="F3753">
        <v>0.97919837602097004</v>
      </c>
      <c r="G3753">
        <v>155.17341995239201</v>
      </c>
      <c r="H3753">
        <v>19</v>
      </c>
      <c r="I3753">
        <v>23</v>
      </c>
      <c r="J3753">
        <v>30</v>
      </c>
    </row>
    <row r="3754" spans="1:10" x14ac:dyDescent="0.25">
      <c r="A3754" t="s">
        <v>24</v>
      </c>
      <c r="B3754" t="s">
        <v>11</v>
      </c>
      <c r="C3754" t="s">
        <v>18</v>
      </c>
      <c r="D3754" t="s">
        <v>13</v>
      </c>
      <c r="E3754">
        <v>0.98168498168498097</v>
      </c>
      <c r="F3754">
        <v>0.98258619491098897</v>
      </c>
      <c r="G3754">
        <v>165.68838310241699</v>
      </c>
      <c r="H3754">
        <v>20</v>
      </c>
      <c r="I3754">
        <v>25</v>
      </c>
      <c r="J3754">
        <v>30</v>
      </c>
    </row>
    <row r="3755" spans="1:10" x14ac:dyDescent="0.25">
      <c r="A3755" t="s">
        <v>24</v>
      </c>
      <c r="B3755" t="s">
        <v>11</v>
      </c>
      <c r="C3755" t="s">
        <v>18</v>
      </c>
      <c r="D3755" t="s">
        <v>13</v>
      </c>
      <c r="E3755">
        <v>0.96886446886446798</v>
      </c>
      <c r="F3755">
        <v>0.97008369219670298</v>
      </c>
      <c r="G3755">
        <v>168.35623908042899</v>
      </c>
      <c r="H3755">
        <v>18</v>
      </c>
      <c r="I3755">
        <v>22</v>
      </c>
      <c r="J3755">
        <v>30</v>
      </c>
    </row>
    <row r="3756" spans="1:10" x14ac:dyDescent="0.25">
      <c r="A3756" t="s">
        <v>24</v>
      </c>
      <c r="B3756" t="s">
        <v>11</v>
      </c>
      <c r="C3756" t="s">
        <v>18</v>
      </c>
      <c r="D3756" t="s">
        <v>13</v>
      </c>
      <c r="E3756">
        <v>0.97893772893772801</v>
      </c>
      <c r="F3756">
        <v>0.98040160880732596</v>
      </c>
      <c r="G3756">
        <v>169.246431112289</v>
      </c>
      <c r="H3756">
        <v>19</v>
      </c>
      <c r="I3756">
        <v>22</v>
      </c>
      <c r="J3756">
        <v>30</v>
      </c>
    </row>
    <row r="3757" spans="1:10" x14ac:dyDescent="0.25">
      <c r="A3757" t="s">
        <v>24</v>
      </c>
      <c r="B3757" t="s">
        <v>11</v>
      </c>
      <c r="C3757" t="s">
        <v>18</v>
      </c>
      <c r="D3757" t="s">
        <v>13</v>
      </c>
      <c r="E3757">
        <v>0.98901098901098905</v>
      </c>
      <c r="F3757">
        <v>0.98883453982280201</v>
      </c>
      <c r="G3757">
        <v>176.76867580413801</v>
      </c>
      <c r="H3757">
        <v>19</v>
      </c>
      <c r="I3757">
        <v>25</v>
      </c>
      <c r="J3757">
        <v>30</v>
      </c>
    </row>
    <row r="3758" spans="1:10" x14ac:dyDescent="0.25">
      <c r="A3758" t="s">
        <v>24</v>
      </c>
      <c r="B3758" t="s">
        <v>11</v>
      </c>
      <c r="C3758" t="s">
        <v>18</v>
      </c>
      <c r="D3758" t="s">
        <v>13</v>
      </c>
      <c r="E3758">
        <v>0.97161172161172105</v>
      </c>
      <c r="F3758">
        <v>0.97195185571071396</v>
      </c>
      <c r="G3758">
        <v>179.92753767967201</v>
      </c>
      <c r="H3758">
        <v>17</v>
      </c>
      <c r="I3758">
        <v>21</v>
      </c>
      <c r="J3758">
        <v>30</v>
      </c>
    </row>
    <row r="3759" spans="1:10" x14ac:dyDescent="0.25">
      <c r="A3759" t="s">
        <v>24</v>
      </c>
      <c r="B3759" t="s">
        <v>11</v>
      </c>
      <c r="C3759" t="s">
        <v>18</v>
      </c>
      <c r="D3759" t="s">
        <v>13</v>
      </c>
      <c r="E3759">
        <v>0.982600732600732</v>
      </c>
      <c r="F3759">
        <v>0.98417844569844304</v>
      </c>
      <c r="G3759">
        <v>180.21886587142899</v>
      </c>
      <c r="H3759">
        <v>18</v>
      </c>
      <c r="I3759">
        <v>21</v>
      </c>
      <c r="J3759">
        <v>30</v>
      </c>
    </row>
    <row r="3760" spans="1:10" x14ac:dyDescent="0.25">
      <c r="A3760" t="s">
        <v>24</v>
      </c>
      <c r="B3760" t="s">
        <v>11</v>
      </c>
      <c r="C3760" t="s">
        <v>18</v>
      </c>
      <c r="D3760" t="s">
        <v>13</v>
      </c>
      <c r="E3760">
        <v>0.97527472527472503</v>
      </c>
      <c r="F3760">
        <v>0.97543947555604404</v>
      </c>
      <c r="G3760">
        <v>182.25851869583099</v>
      </c>
      <c r="H3760">
        <v>18</v>
      </c>
      <c r="I3760">
        <v>22</v>
      </c>
      <c r="J3760">
        <v>30</v>
      </c>
    </row>
    <row r="3761" spans="1:10" x14ac:dyDescent="0.25">
      <c r="A3761" t="s">
        <v>24</v>
      </c>
      <c r="B3761" t="s">
        <v>11</v>
      </c>
      <c r="C3761" t="s">
        <v>18</v>
      </c>
      <c r="D3761" t="s">
        <v>13</v>
      </c>
      <c r="E3761">
        <v>0.98626373626373598</v>
      </c>
      <c r="F3761">
        <v>0.98610512306336995</v>
      </c>
      <c r="G3761">
        <v>183.785259246826</v>
      </c>
      <c r="H3761">
        <v>22</v>
      </c>
      <c r="I3761">
        <v>25</v>
      </c>
      <c r="J3761">
        <v>30</v>
      </c>
    </row>
    <row r="3762" spans="1:10" x14ac:dyDescent="0.25">
      <c r="A3762" t="s">
        <v>24</v>
      </c>
      <c r="B3762" t="s">
        <v>11</v>
      </c>
      <c r="C3762" t="s">
        <v>18</v>
      </c>
      <c r="D3762" t="s">
        <v>13</v>
      </c>
      <c r="E3762">
        <v>0.97619047619047605</v>
      </c>
      <c r="F3762">
        <v>0.97701099604313102</v>
      </c>
      <c r="G3762">
        <v>183.72321939468301</v>
      </c>
      <c r="H3762">
        <v>19</v>
      </c>
      <c r="I3762">
        <v>23</v>
      </c>
      <c r="J3762">
        <v>30</v>
      </c>
    </row>
    <row r="3763" spans="1:10" x14ac:dyDescent="0.25">
      <c r="A3763" t="s">
        <v>24</v>
      </c>
      <c r="B3763" t="s">
        <v>11</v>
      </c>
      <c r="C3763" t="s">
        <v>18</v>
      </c>
      <c r="D3763" t="s">
        <v>13</v>
      </c>
      <c r="E3763">
        <v>0.98809523809523803</v>
      </c>
      <c r="F3763">
        <v>0.98863617322582398</v>
      </c>
      <c r="G3763">
        <v>185.359849929809</v>
      </c>
      <c r="H3763">
        <v>20</v>
      </c>
      <c r="I3763">
        <v>25</v>
      </c>
      <c r="J3763">
        <v>30</v>
      </c>
    </row>
    <row r="3764" spans="1:10" x14ac:dyDescent="0.25">
      <c r="A3764" t="s">
        <v>24</v>
      </c>
      <c r="B3764" t="s">
        <v>11</v>
      </c>
      <c r="C3764" t="s">
        <v>18</v>
      </c>
      <c r="D3764" t="s">
        <v>13</v>
      </c>
      <c r="E3764">
        <v>0.97710622710622697</v>
      </c>
      <c r="F3764">
        <v>0.97870183121410204</v>
      </c>
      <c r="G3764">
        <v>185.53924465179401</v>
      </c>
      <c r="H3764">
        <v>19</v>
      </c>
      <c r="I3764">
        <v>22</v>
      </c>
      <c r="J3764">
        <v>30</v>
      </c>
    </row>
    <row r="3765" spans="1:10" x14ac:dyDescent="0.25">
      <c r="A3765" t="s">
        <v>24</v>
      </c>
      <c r="B3765" t="s">
        <v>11</v>
      </c>
      <c r="C3765" t="s">
        <v>18</v>
      </c>
      <c r="D3765" t="s">
        <v>13</v>
      </c>
      <c r="E3765">
        <v>0.95604395604395598</v>
      </c>
      <c r="F3765">
        <v>0.95952098743250902</v>
      </c>
      <c r="G3765">
        <v>186.63990712165801</v>
      </c>
      <c r="H3765">
        <v>17</v>
      </c>
      <c r="I3765">
        <v>23</v>
      </c>
      <c r="J3765">
        <v>30</v>
      </c>
    </row>
    <row r="3766" spans="1:10" x14ac:dyDescent="0.25">
      <c r="A3766" t="s">
        <v>24</v>
      </c>
      <c r="B3766" t="s">
        <v>11</v>
      </c>
      <c r="C3766" t="s">
        <v>18</v>
      </c>
      <c r="D3766" t="s">
        <v>13</v>
      </c>
      <c r="E3766">
        <v>0.97435897435897401</v>
      </c>
      <c r="F3766">
        <v>0.97571860371703301</v>
      </c>
      <c r="G3766">
        <v>187.82355928421001</v>
      </c>
      <c r="H3766">
        <v>20</v>
      </c>
      <c r="I3766">
        <v>25</v>
      </c>
      <c r="J3766">
        <v>30</v>
      </c>
    </row>
    <row r="3767" spans="1:10" x14ac:dyDescent="0.25">
      <c r="A3767" t="s">
        <v>24</v>
      </c>
      <c r="B3767" t="s">
        <v>11</v>
      </c>
      <c r="C3767" t="s">
        <v>18</v>
      </c>
      <c r="D3767" t="s">
        <v>13</v>
      </c>
      <c r="E3767">
        <v>0.96886446886446798</v>
      </c>
      <c r="F3767">
        <v>0.97094712848864395</v>
      </c>
      <c r="G3767">
        <v>187.81855750083901</v>
      </c>
      <c r="H3767">
        <v>18</v>
      </c>
      <c r="I3767">
        <v>21</v>
      </c>
      <c r="J3767">
        <v>30</v>
      </c>
    </row>
    <row r="3768" spans="1:10" x14ac:dyDescent="0.25">
      <c r="A3768" t="s">
        <v>24</v>
      </c>
      <c r="B3768" t="s">
        <v>11</v>
      </c>
      <c r="C3768" t="s">
        <v>18</v>
      </c>
      <c r="D3768" t="s">
        <v>13</v>
      </c>
      <c r="E3768">
        <v>0.97069597069597002</v>
      </c>
      <c r="F3768">
        <v>0.97216351378800303</v>
      </c>
      <c r="G3768">
        <v>188.115458726882</v>
      </c>
      <c r="H3768">
        <v>20</v>
      </c>
      <c r="I3768">
        <v>23</v>
      </c>
      <c r="J3768">
        <v>30</v>
      </c>
    </row>
    <row r="3769" spans="1:10" x14ac:dyDescent="0.25">
      <c r="A3769" t="s">
        <v>24</v>
      </c>
      <c r="B3769" t="s">
        <v>11</v>
      </c>
      <c r="C3769" t="s">
        <v>18</v>
      </c>
      <c r="D3769" t="s">
        <v>13</v>
      </c>
      <c r="E3769">
        <v>0.982600732600732</v>
      </c>
      <c r="F3769">
        <v>0.98310996642738002</v>
      </c>
      <c r="G3769">
        <v>189.30679750442499</v>
      </c>
      <c r="H3769">
        <v>20</v>
      </c>
      <c r="I3769">
        <v>25</v>
      </c>
      <c r="J3769">
        <v>30</v>
      </c>
    </row>
    <row r="3770" spans="1:10" x14ac:dyDescent="0.25">
      <c r="A3770" t="s">
        <v>24</v>
      </c>
      <c r="B3770" t="s">
        <v>11</v>
      </c>
      <c r="C3770" t="s">
        <v>18</v>
      </c>
      <c r="D3770" t="s">
        <v>13</v>
      </c>
      <c r="E3770">
        <v>0.98168498168498097</v>
      </c>
      <c r="F3770">
        <v>0.98226830885192296</v>
      </c>
      <c r="G3770">
        <v>191.27795028686501</v>
      </c>
      <c r="H3770">
        <v>20</v>
      </c>
      <c r="I3770">
        <v>27</v>
      </c>
      <c r="J3770">
        <v>30</v>
      </c>
    </row>
    <row r="3771" spans="1:10" x14ac:dyDescent="0.25">
      <c r="A3771" t="s">
        <v>24</v>
      </c>
      <c r="B3771" t="s">
        <v>11</v>
      </c>
      <c r="C3771" t="s">
        <v>18</v>
      </c>
      <c r="D3771" t="s">
        <v>13</v>
      </c>
      <c r="E3771">
        <v>0.97527472527472503</v>
      </c>
      <c r="F3771">
        <v>0.97607248279816705</v>
      </c>
      <c r="G3771">
        <v>192.55472993850699</v>
      </c>
      <c r="H3771">
        <v>18</v>
      </c>
      <c r="I3771">
        <v>22</v>
      </c>
      <c r="J3771">
        <v>30</v>
      </c>
    </row>
    <row r="3772" spans="1:10" x14ac:dyDescent="0.25">
      <c r="A3772" t="s">
        <v>24</v>
      </c>
      <c r="B3772" t="s">
        <v>11</v>
      </c>
      <c r="C3772" t="s">
        <v>18</v>
      </c>
      <c r="D3772" t="s">
        <v>13</v>
      </c>
      <c r="E3772">
        <v>0.97802197802197799</v>
      </c>
      <c r="F3772">
        <v>0.97881617309020097</v>
      </c>
      <c r="G3772">
        <v>192.60069704055701</v>
      </c>
      <c r="H3772">
        <v>21</v>
      </c>
      <c r="I3772">
        <v>25</v>
      </c>
      <c r="J3772">
        <v>30</v>
      </c>
    </row>
    <row r="3773" spans="1:10" x14ac:dyDescent="0.25">
      <c r="A3773" t="s">
        <v>24</v>
      </c>
      <c r="B3773" t="s">
        <v>11</v>
      </c>
      <c r="C3773" t="s">
        <v>18</v>
      </c>
      <c r="D3773" t="s">
        <v>13</v>
      </c>
      <c r="E3773">
        <v>0.982600732600732</v>
      </c>
      <c r="F3773">
        <v>0.98336457267774702</v>
      </c>
      <c r="G3773">
        <v>193.88780117034901</v>
      </c>
      <c r="H3773">
        <v>21</v>
      </c>
      <c r="I3773">
        <v>27</v>
      </c>
      <c r="J3773">
        <v>30</v>
      </c>
    </row>
    <row r="3774" spans="1:10" x14ac:dyDescent="0.25">
      <c r="A3774" t="s">
        <v>24</v>
      </c>
      <c r="B3774" t="s">
        <v>11</v>
      </c>
      <c r="C3774" t="s">
        <v>18</v>
      </c>
      <c r="D3774" t="s">
        <v>13</v>
      </c>
      <c r="E3774">
        <v>0.97985347985347904</v>
      </c>
      <c r="F3774">
        <v>0.98083940708388195</v>
      </c>
      <c r="G3774">
        <v>194.32202458381599</v>
      </c>
      <c r="H3774">
        <v>19</v>
      </c>
      <c r="I3774">
        <v>26</v>
      </c>
      <c r="J3774">
        <v>30</v>
      </c>
    </row>
    <row r="3775" spans="1:10" x14ac:dyDescent="0.25">
      <c r="A3775" t="s">
        <v>24</v>
      </c>
      <c r="B3775" t="s">
        <v>11</v>
      </c>
      <c r="C3775" t="s">
        <v>18</v>
      </c>
      <c r="D3775" t="s">
        <v>13</v>
      </c>
      <c r="E3775">
        <v>0.97161172161172105</v>
      </c>
      <c r="F3775">
        <v>0.97247794170824198</v>
      </c>
      <c r="G3775">
        <v>195.14177870750399</v>
      </c>
      <c r="H3775">
        <v>18</v>
      </c>
      <c r="I3775">
        <v>22</v>
      </c>
      <c r="J3775">
        <v>30</v>
      </c>
    </row>
    <row r="3776" spans="1:10" x14ac:dyDescent="0.25">
      <c r="A3776" t="s">
        <v>24</v>
      </c>
      <c r="B3776" t="s">
        <v>11</v>
      </c>
      <c r="C3776" t="s">
        <v>18</v>
      </c>
      <c r="D3776" t="s">
        <v>13</v>
      </c>
      <c r="E3776">
        <v>0.97619047619047605</v>
      </c>
      <c r="F3776">
        <v>0.976927466360622</v>
      </c>
      <c r="G3776">
        <v>195.97262382507299</v>
      </c>
      <c r="H3776">
        <v>18</v>
      </c>
      <c r="I3776">
        <v>23</v>
      </c>
      <c r="J3776">
        <v>30</v>
      </c>
    </row>
    <row r="3777" spans="1:10" x14ac:dyDescent="0.25">
      <c r="A3777" t="s">
        <v>24</v>
      </c>
      <c r="B3777" t="s">
        <v>11</v>
      </c>
      <c r="C3777" t="s">
        <v>18</v>
      </c>
      <c r="D3777" t="s">
        <v>13</v>
      </c>
      <c r="E3777">
        <v>0.97985347985347904</v>
      </c>
      <c r="F3777">
        <v>0.98021537535970604</v>
      </c>
      <c r="G3777">
        <v>197.19195365905699</v>
      </c>
      <c r="H3777">
        <v>21</v>
      </c>
      <c r="I3777">
        <v>26</v>
      </c>
      <c r="J3777">
        <v>30</v>
      </c>
    </row>
    <row r="3778" spans="1:10" x14ac:dyDescent="0.25">
      <c r="A3778" t="s">
        <v>24</v>
      </c>
      <c r="B3778" t="s">
        <v>11</v>
      </c>
      <c r="C3778" t="s">
        <v>18</v>
      </c>
      <c r="D3778" t="s">
        <v>13</v>
      </c>
      <c r="E3778">
        <v>0.97802197802197799</v>
      </c>
      <c r="F3778">
        <v>0.97908036250714303</v>
      </c>
      <c r="G3778">
        <v>197.221649646759</v>
      </c>
      <c r="H3778">
        <v>21</v>
      </c>
      <c r="I3778">
        <v>24</v>
      </c>
      <c r="J3778">
        <v>30</v>
      </c>
    </row>
    <row r="3779" spans="1:10" x14ac:dyDescent="0.25">
      <c r="A3779" t="s">
        <v>24</v>
      </c>
      <c r="B3779" t="s">
        <v>11</v>
      </c>
      <c r="C3779" t="s">
        <v>18</v>
      </c>
      <c r="D3779" t="s">
        <v>13</v>
      </c>
      <c r="E3779">
        <v>0.956959706959707</v>
      </c>
      <c r="F3779">
        <v>0.96016179032033</v>
      </c>
      <c r="G3779">
        <v>198.008899927139</v>
      </c>
      <c r="H3779">
        <v>18</v>
      </c>
      <c r="I3779">
        <v>20</v>
      </c>
      <c r="J3779">
        <v>30</v>
      </c>
    </row>
    <row r="3780" spans="1:10" x14ac:dyDescent="0.25">
      <c r="A3780" t="s">
        <v>24</v>
      </c>
      <c r="B3780" t="s">
        <v>11</v>
      </c>
      <c r="C3780" t="s">
        <v>18</v>
      </c>
      <c r="D3780" t="s">
        <v>13</v>
      </c>
      <c r="E3780">
        <v>0.97985347985347904</v>
      </c>
      <c r="F3780">
        <v>0.98063876985705101</v>
      </c>
      <c r="G3780">
        <v>198.21837329864499</v>
      </c>
      <c r="H3780">
        <v>18</v>
      </c>
      <c r="I3780">
        <v>21</v>
      </c>
      <c r="J3780">
        <v>30</v>
      </c>
    </row>
    <row r="3781" spans="1:10" x14ac:dyDescent="0.25">
      <c r="A3781" t="s">
        <v>24</v>
      </c>
      <c r="B3781" t="s">
        <v>11</v>
      </c>
      <c r="C3781" t="s">
        <v>18</v>
      </c>
      <c r="D3781" t="s">
        <v>13</v>
      </c>
      <c r="E3781">
        <v>0.97527472527472503</v>
      </c>
      <c r="F3781">
        <v>0.976918806834706</v>
      </c>
      <c r="G3781">
        <v>198.289087295532</v>
      </c>
      <c r="H3781">
        <v>21</v>
      </c>
      <c r="I3781">
        <v>26</v>
      </c>
      <c r="J3781">
        <v>30</v>
      </c>
    </row>
    <row r="3782" spans="1:10" x14ac:dyDescent="0.25">
      <c r="A3782" t="s">
        <v>24</v>
      </c>
      <c r="B3782" t="s">
        <v>11</v>
      </c>
      <c r="C3782" t="s">
        <v>18</v>
      </c>
      <c r="D3782" t="s">
        <v>14</v>
      </c>
      <c r="E3782">
        <v>3.66300366300366E-3</v>
      </c>
      <c r="F3782">
        <v>0.75028731684981598</v>
      </c>
      <c r="G3782">
        <v>1.3484485149383501</v>
      </c>
      <c r="H3782">
        <v>3</v>
      </c>
      <c r="I3782">
        <v>3</v>
      </c>
      <c r="J3782">
        <v>30</v>
      </c>
    </row>
    <row r="3783" spans="1:10" x14ac:dyDescent="0.25">
      <c r="A3783" t="s">
        <v>24</v>
      </c>
      <c r="B3783" t="s">
        <v>11</v>
      </c>
      <c r="C3783" t="s">
        <v>18</v>
      </c>
      <c r="D3783" t="s">
        <v>14</v>
      </c>
      <c r="E3783">
        <v>9.1575091575091499E-4</v>
      </c>
      <c r="F3783">
        <v>0.75010016025641002</v>
      </c>
      <c r="G3783">
        <v>1.39560270309448</v>
      </c>
      <c r="H3783">
        <v>3</v>
      </c>
      <c r="I3783">
        <v>3</v>
      </c>
      <c r="J3783">
        <v>30</v>
      </c>
    </row>
    <row r="3784" spans="1:10" x14ac:dyDescent="0.25">
      <c r="A3784" t="s">
        <v>24</v>
      </c>
      <c r="B3784" t="s">
        <v>11</v>
      </c>
      <c r="C3784" t="s">
        <v>18</v>
      </c>
      <c r="D3784" t="s">
        <v>14</v>
      </c>
      <c r="E3784">
        <v>9.1575091575091499E-4</v>
      </c>
      <c r="F3784">
        <v>0.75007568257500001</v>
      </c>
      <c r="G3784">
        <v>1.4410820007324201</v>
      </c>
      <c r="H3784">
        <v>3</v>
      </c>
      <c r="I3784">
        <v>3</v>
      </c>
      <c r="J3784">
        <v>30</v>
      </c>
    </row>
    <row r="3785" spans="1:10" x14ac:dyDescent="0.25">
      <c r="A3785" t="s">
        <v>24</v>
      </c>
      <c r="B3785" t="s">
        <v>11</v>
      </c>
      <c r="C3785" t="s">
        <v>18</v>
      </c>
      <c r="D3785" t="s">
        <v>14</v>
      </c>
      <c r="E3785">
        <v>3.66300366300366E-3</v>
      </c>
      <c r="F3785">
        <v>0.75030273030000005</v>
      </c>
      <c r="G3785">
        <v>1.52753281593322</v>
      </c>
      <c r="H3785">
        <v>3</v>
      </c>
      <c r="I3785">
        <v>3</v>
      </c>
      <c r="J3785">
        <v>30</v>
      </c>
    </row>
    <row r="3786" spans="1:10" x14ac:dyDescent="0.25">
      <c r="A3786" t="s">
        <v>24</v>
      </c>
      <c r="B3786" t="s">
        <v>11</v>
      </c>
      <c r="C3786" t="s">
        <v>18</v>
      </c>
      <c r="D3786" t="s">
        <v>14</v>
      </c>
      <c r="E3786">
        <v>9.1575091575091499E-4</v>
      </c>
      <c r="F3786">
        <v>0.75011921261675796</v>
      </c>
      <c r="G3786">
        <v>1.5049126148223799</v>
      </c>
      <c r="H3786">
        <v>3</v>
      </c>
      <c r="I3786">
        <v>3</v>
      </c>
      <c r="J3786">
        <v>30</v>
      </c>
    </row>
    <row r="3787" spans="1:10" x14ac:dyDescent="0.25">
      <c r="A3787" t="s">
        <v>24</v>
      </c>
      <c r="B3787" t="s">
        <v>11</v>
      </c>
      <c r="C3787" t="s">
        <v>18</v>
      </c>
      <c r="D3787" t="s">
        <v>14</v>
      </c>
      <c r="E3787">
        <v>1.83150183150183E-3</v>
      </c>
      <c r="F3787">
        <v>0.75008699633699605</v>
      </c>
      <c r="G3787">
        <v>1.57678771018981</v>
      </c>
      <c r="H3787">
        <v>4</v>
      </c>
      <c r="I3787">
        <v>4</v>
      </c>
      <c r="J3787">
        <v>30</v>
      </c>
    </row>
    <row r="3788" spans="1:10" x14ac:dyDescent="0.25">
      <c r="A3788" t="s">
        <v>24</v>
      </c>
      <c r="B3788" t="s">
        <v>11</v>
      </c>
      <c r="C3788" t="s">
        <v>18</v>
      </c>
      <c r="D3788" t="s">
        <v>14</v>
      </c>
      <c r="E3788">
        <v>9.1575091575091499E-4</v>
      </c>
      <c r="F3788">
        <v>0.75011921261675796</v>
      </c>
      <c r="G3788">
        <v>1.6963598728179901</v>
      </c>
      <c r="H3788">
        <v>4</v>
      </c>
      <c r="I3788">
        <v>4</v>
      </c>
      <c r="J3788">
        <v>30</v>
      </c>
    </row>
    <row r="3789" spans="1:10" x14ac:dyDescent="0.25">
      <c r="A3789" t="s">
        <v>24</v>
      </c>
      <c r="B3789" t="s">
        <v>11</v>
      </c>
      <c r="C3789" t="s">
        <v>18</v>
      </c>
      <c r="D3789" t="s">
        <v>14</v>
      </c>
      <c r="E3789">
        <v>3.66300366300366E-3</v>
      </c>
      <c r="F3789">
        <v>0.75021278948324099</v>
      </c>
      <c r="G3789">
        <v>1.6526460647582999</v>
      </c>
      <c r="H3789">
        <v>4</v>
      </c>
      <c r="I3789">
        <v>4</v>
      </c>
      <c r="J3789">
        <v>30</v>
      </c>
    </row>
    <row r="3790" spans="1:10" x14ac:dyDescent="0.25">
      <c r="A3790" t="s">
        <v>24</v>
      </c>
      <c r="B3790" t="s">
        <v>11</v>
      </c>
      <c r="C3790" t="s">
        <v>18</v>
      </c>
      <c r="D3790" t="s">
        <v>14</v>
      </c>
      <c r="E3790">
        <v>9.1575091575091499E-4</v>
      </c>
      <c r="F3790">
        <v>0.74956723352481602</v>
      </c>
      <c r="G3790">
        <v>1.61745333671569</v>
      </c>
      <c r="H3790">
        <v>4</v>
      </c>
      <c r="I3790">
        <v>4</v>
      </c>
      <c r="J3790">
        <v>30</v>
      </c>
    </row>
    <row r="3791" spans="1:10" x14ac:dyDescent="0.25">
      <c r="A3791" t="s">
        <v>24</v>
      </c>
      <c r="B3791" t="s">
        <v>11</v>
      </c>
      <c r="C3791" t="s">
        <v>18</v>
      </c>
      <c r="D3791" t="s">
        <v>14</v>
      </c>
      <c r="E3791">
        <v>2.7472527472527401E-3</v>
      </c>
      <c r="F3791">
        <v>0.75014722561529301</v>
      </c>
      <c r="G3791">
        <v>1.7161958217620801</v>
      </c>
      <c r="H3791">
        <v>4</v>
      </c>
      <c r="I3791">
        <v>4</v>
      </c>
      <c r="J3791">
        <v>30</v>
      </c>
    </row>
    <row r="3792" spans="1:10" x14ac:dyDescent="0.25">
      <c r="A3792" t="s">
        <v>24</v>
      </c>
      <c r="B3792" t="s">
        <v>11</v>
      </c>
      <c r="C3792" t="s">
        <v>18</v>
      </c>
      <c r="D3792" t="s">
        <v>14</v>
      </c>
      <c r="E3792">
        <v>0</v>
      </c>
      <c r="F3792">
        <v>0.75</v>
      </c>
      <c r="G3792">
        <v>1.77896928787231</v>
      </c>
      <c r="H3792">
        <v>4</v>
      </c>
      <c r="I3792">
        <v>4</v>
      </c>
      <c r="J3792">
        <v>30</v>
      </c>
    </row>
    <row r="3793" spans="1:10" x14ac:dyDescent="0.25">
      <c r="A3793" t="s">
        <v>24</v>
      </c>
      <c r="B3793" t="s">
        <v>11</v>
      </c>
      <c r="C3793" t="s">
        <v>18</v>
      </c>
      <c r="D3793" t="s">
        <v>14</v>
      </c>
      <c r="E3793">
        <v>0</v>
      </c>
      <c r="F3793">
        <v>0.75</v>
      </c>
      <c r="G3793">
        <v>1.73830389976501</v>
      </c>
      <c r="H3793">
        <v>4</v>
      </c>
      <c r="I3793">
        <v>4</v>
      </c>
      <c r="J3793">
        <v>30</v>
      </c>
    </row>
    <row r="3794" spans="1:10" x14ac:dyDescent="0.25">
      <c r="A3794" t="s">
        <v>24</v>
      </c>
      <c r="B3794" t="s">
        <v>11</v>
      </c>
      <c r="C3794" t="s">
        <v>18</v>
      </c>
      <c r="D3794" t="s">
        <v>14</v>
      </c>
      <c r="E3794">
        <v>9.1575091575091499E-4</v>
      </c>
      <c r="F3794">
        <v>0.75011921261675796</v>
      </c>
      <c r="G3794">
        <v>1.7708759307861299</v>
      </c>
      <c r="H3794">
        <v>4</v>
      </c>
      <c r="I3794">
        <v>4</v>
      </c>
      <c r="J3794">
        <v>30</v>
      </c>
    </row>
    <row r="3795" spans="1:10" x14ac:dyDescent="0.25">
      <c r="A3795" t="s">
        <v>24</v>
      </c>
      <c r="B3795" t="s">
        <v>11</v>
      </c>
      <c r="C3795" t="s">
        <v>18</v>
      </c>
      <c r="D3795" t="s">
        <v>14</v>
      </c>
      <c r="E3795">
        <v>0</v>
      </c>
      <c r="F3795">
        <v>0.74981836148699599</v>
      </c>
      <c r="G3795">
        <v>1.67213129997253</v>
      </c>
      <c r="H3795">
        <v>4</v>
      </c>
      <c r="I3795">
        <v>4</v>
      </c>
      <c r="J3795">
        <v>30</v>
      </c>
    </row>
    <row r="3796" spans="1:10" x14ac:dyDescent="0.25">
      <c r="A3796" t="s">
        <v>24</v>
      </c>
      <c r="B3796" t="s">
        <v>11</v>
      </c>
      <c r="C3796" t="s">
        <v>18</v>
      </c>
      <c r="D3796" t="s">
        <v>14</v>
      </c>
      <c r="E3796">
        <v>9.1575091575091499E-4</v>
      </c>
      <c r="F3796">
        <v>0.75007568257500001</v>
      </c>
      <c r="G3796">
        <v>1.7892837524414</v>
      </c>
      <c r="H3796">
        <v>4</v>
      </c>
      <c r="I3796">
        <v>4</v>
      </c>
      <c r="J3796">
        <v>30</v>
      </c>
    </row>
    <row r="3797" spans="1:10" x14ac:dyDescent="0.25">
      <c r="A3797" t="s">
        <v>24</v>
      </c>
      <c r="B3797" t="s">
        <v>11</v>
      </c>
      <c r="C3797" t="s">
        <v>18</v>
      </c>
      <c r="D3797" t="s">
        <v>14</v>
      </c>
      <c r="E3797">
        <v>1.83150183150183E-3</v>
      </c>
      <c r="F3797">
        <v>0.75011463386217903</v>
      </c>
      <c r="G3797">
        <v>1.7070684432983301</v>
      </c>
      <c r="H3797">
        <v>4</v>
      </c>
      <c r="I3797">
        <v>4</v>
      </c>
      <c r="J3797">
        <v>30</v>
      </c>
    </row>
    <row r="3798" spans="1:10" x14ac:dyDescent="0.25">
      <c r="A3798" t="s">
        <v>24</v>
      </c>
      <c r="B3798" t="s">
        <v>11</v>
      </c>
      <c r="C3798" t="s">
        <v>18</v>
      </c>
      <c r="D3798" t="s">
        <v>14</v>
      </c>
      <c r="E3798">
        <v>0</v>
      </c>
      <c r="F3798">
        <v>0.74980727358525601</v>
      </c>
      <c r="G3798">
        <v>1.78233170509338</v>
      </c>
      <c r="H3798">
        <v>4</v>
      </c>
      <c r="I3798">
        <v>4</v>
      </c>
      <c r="J3798">
        <v>30</v>
      </c>
    </row>
    <row r="3799" spans="1:10" x14ac:dyDescent="0.25">
      <c r="A3799" t="s">
        <v>24</v>
      </c>
      <c r="B3799" t="s">
        <v>11</v>
      </c>
      <c r="C3799" t="s">
        <v>18</v>
      </c>
      <c r="D3799" t="s">
        <v>14</v>
      </c>
      <c r="E3799">
        <v>2.7472527472527401E-3</v>
      </c>
      <c r="F3799">
        <v>0.75018518383131805</v>
      </c>
      <c r="G3799">
        <v>1.7273316383361801</v>
      </c>
      <c r="H3799">
        <v>4</v>
      </c>
      <c r="I3799">
        <v>4</v>
      </c>
      <c r="J3799">
        <v>30</v>
      </c>
    </row>
    <row r="3800" spans="1:10" x14ac:dyDescent="0.25">
      <c r="A3800" t="s">
        <v>24</v>
      </c>
      <c r="B3800" t="s">
        <v>11</v>
      </c>
      <c r="C3800" t="s">
        <v>18</v>
      </c>
      <c r="D3800" t="s">
        <v>14</v>
      </c>
      <c r="E3800">
        <v>9.1575091575091499E-4</v>
      </c>
      <c r="F3800">
        <v>0.75007568257500001</v>
      </c>
      <c r="G3800">
        <v>1.7116680145263601</v>
      </c>
      <c r="H3800">
        <v>4</v>
      </c>
      <c r="I3800">
        <v>4</v>
      </c>
      <c r="J3800">
        <v>30</v>
      </c>
    </row>
    <row r="3801" spans="1:10" x14ac:dyDescent="0.25">
      <c r="A3801" t="s">
        <v>24</v>
      </c>
      <c r="B3801" t="s">
        <v>11</v>
      </c>
      <c r="C3801" t="s">
        <v>18</v>
      </c>
      <c r="D3801" t="s">
        <v>14</v>
      </c>
      <c r="E3801">
        <v>9.1575091575091499E-4</v>
      </c>
      <c r="F3801">
        <v>0.75010016025641002</v>
      </c>
      <c r="G3801">
        <v>1.7386107444763099</v>
      </c>
      <c r="H3801">
        <v>4</v>
      </c>
      <c r="I3801">
        <v>4</v>
      </c>
      <c r="J3801">
        <v>30</v>
      </c>
    </row>
    <row r="3802" spans="1:10" x14ac:dyDescent="0.25">
      <c r="A3802" t="s">
        <v>24</v>
      </c>
      <c r="B3802" t="s">
        <v>11</v>
      </c>
      <c r="C3802" t="s">
        <v>18</v>
      </c>
      <c r="D3802" t="s">
        <v>14</v>
      </c>
      <c r="E3802">
        <v>9.1575091575091499E-4</v>
      </c>
      <c r="F3802">
        <v>0.74988295616025602</v>
      </c>
      <c r="G3802">
        <v>1.7198016643524101</v>
      </c>
      <c r="H3802">
        <v>4</v>
      </c>
      <c r="I3802">
        <v>4</v>
      </c>
      <c r="J3802">
        <v>30</v>
      </c>
    </row>
    <row r="3803" spans="1:10" x14ac:dyDescent="0.25">
      <c r="A3803" t="s">
        <v>24</v>
      </c>
      <c r="B3803" t="s">
        <v>11</v>
      </c>
      <c r="C3803" t="s">
        <v>18</v>
      </c>
      <c r="D3803" t="s">
        <v>14</v>
      </c>
      <c r="E3803">
        <v>9.1575091575091499E-4</v>
      </c>
      <c r="F3803">
        <v>0.74979408473672104</v>
      </c>
      <c r="G3803">
        <v>1.78275299072265</v>
      </c>
      <c r="H3803">
        <v>4</v>
      </c>
      <c r="I3803">
        <v>4</v>
      </c>
      <c r="J3803">
        <v>30</v>
      </c>
    </row>
    <row r="3804" spans="1:10" x14ac:dyDescent="0.25">
      <c r="A3804" t="s">
        <v>24</v>
      </c>
      <c r="B3804" t="s">
        <v>11</v>
      </c>
      <c r="C3804" t="s">
        <v>18</v>
      </c>
      <c r="D3804" t="s">
        <v>14</v>
      </c>
      <c r="E3804">
        <v>1.83150183150183E-3</v>
      </c>
      <c r="F3804">
        <v>0.74999617708049404</v>
      </c>
      <c r="G3804">
        <v>1.8203253746032699</v>
      </c>
      <c r="H3804">
        <v>4</v>
      </c>
      <c r="I3804">
        <v>4</v>
      </c>
      <c r="J3804">
        <v>30</v>
      </c>
    </row>
    <row r="3805" spans="1:10" x14ac:dyDescent="0.25">
      <c r="A3805" t="s">
        <v>24</v>
      </c>
      <c r="B3805" t="s">
        <v>11</v>
      </c>
      <c r="C3805" t="s">
        <v>18</v>
      </c>
      <c r="D3805" t="s">
        <v>14</v>
      </c>
      <c r="E3805">
        <v>9.1575091575091499E-4</v>
      </c>
      <c r="F3805">
        <v>0.75007568257500001</v>
      </c>
      <c r="G3805">
        <v>1.818293094635</v>
      </c>
      <c r="H3805">
        <v>4</v>
      </c>
      <c r="I3805">
        <v>4</v>
      </c>
      <c r="J3805">
        <v>30</v>
      </c>
    </row>
    <row r="3806" spans="1:10" x14ac:dyDescent="0.25">
      <c r="A3806" t="s">
        <v>24</v>
      </c>
      <c r="B3806" t="s">
        <v>11</v>
      </c>
      <c r="C3806" t="s">
        <v>18</v>
      </c>
      <c r="D3806" t="s">
        <v>14</v>
      </c>
      <c r="E3806">
        <v>3.66300366300366E-3</v>
      </c>
      <c r="F3806">
        <v>0.75026643823205097</v>
      </c>
      <c r="G3806">
        <v>1.8166539669036801</v>
      </c>
      <c r="H3806">
        <v>4</v>
      </c>
      <c r="I3806">
        <v>4</v>
      </c>
      <c r="J3806">
        <v>30</v>
      </c>
    </row>
    <row r="3807" spans="1:10" x14ac:dyDescent="0.25">
      <c r="A3807" t="s">
        <v>24</v>
      </c>
      <c r="B3807" t="s">
        <v>11</v>
      </c>
      <c r="C3807" t="s">
        <v>18</v>
      </c>
      <c r="D3807" t="s">
        <v>14</v>
      </c>
      <c r="E3807">
        <v>9.1575091575091499E-4</v>
      </c>
      <c r="F3807">
        <v>0.74988295616025602</v>
      </c>
      <c r="G3807">
        <v>1.8049676418304399</v>
      </c>
      <c r="H3807">
        <v>4</v>
      </c>
      <c r="I3807">
        <v>4</v>
      </c>
      <c r="J3807">
        <v>30</v>
      </c>
    </row>
    <row r="3808" spans="1:10" x14ac:dyDescent="0.25">
      <c r="A3808" t="s">
        <v>24</v>
      </c>
      <c r="B3808" t="s">
        <v>11</v>
      </c>
      <c r="C3808" t="s">
        <v>18</v>
      </c>
      <c r="D3808" t="s">
        <v>14</v>
      </c>
      <c r="E3808">
        <v>9.1575091575091499E-4</v>
      </c>
      <c r="F3808">
        <v>0.74998486331849801</v>
      </c>
      <c r="G3808">
        <v>1.87222599983215</v>
      </c>
      <c r="H3808">
        <v>5</v>
      </c>
      <c r="I3808">
        <v>5</v>
      </c>
      <c r="J3808">
        <v>30</v>
      </c>
    </row>
    <row r="3809" spans="1:10" x14ac:dyDescent="0.25">
      <c r="A3809" t="s">
        <v>24</v>
      </c>
      <c r="B3809" t="s">
        <v>11</v>
      </c>
      <c r="C3809" t="s">
        <v>18</v>
      </c>
      <c r="D3809" t="s">
        <v>14</v>
      </c>
      <c r="E3809">
        <v>9.1575091575091499E-4</v>
      </c>
      <c r="F3809">
        <v>0.74998486331849801</v>
      </c>
      <c r="G3809">
        <v>1.4506297111511199</v>
      </c>
      <c r="H3809">
        <v>4</v>
      </c>
      <c r="I3809">
        <v>4</v>
      </c>
      <c r="J3809">
        <v>30</v>
      </c>
    </row>
    <row r="3810" spans="1:10" x14ac:dyDescent="0.25">
      <c r="A3810" t="s">
        <v>24</v>
      </c>
      <c r="B3810" t="s">
        <v>11</v>
      </c>
      <c r="C3810" t="s">
        <v>18</v>
      </c>
      <c r="D3810" t="s">
        <v>14</v>
      </c>
      <c r="E3810">
        <v>1.83150183150183E-3</v>
      </c>
      <c r="F3810">
        <v>0.75020032051282004</v>
      </c>
      <c r="G3810">
        <v>1.4580092430114699</v>
      </c>
      <c r="H3810">
        <v>4</v>
      </c>
      <c r="I3810">
        <v>4</v>
      </c>
      <c r="J3810">
        <v>30</v>
      </c>
    </row>
    <row r="3811" spans="1:10" x14ac:dyDescent="0.25">
      <c r="A3811" t="s">
        <v>24</v>
      </c>
      <c r="B3811" t="s">
        <v>11</v>
      </c>
      <c r="C3811" t="s">
        <v>18</v>
      </c>
      <c r="D3811" t="s">
        <v>14</v>
      </c>
      <c r="E3811">
        <v>0.92399267399267404</v>
      </c>
      <c r="F3811">
        <v>0.93463846568296605</v>
      </c>
      <c r="G3811">
        <v>3.67579817771911</v>
      </c>
      <c r="H3811">
        <v>10</v>
      </c>
      <c r="I3811">
        <v>10</v>
      </c>
      <c r="J3811">
        <v>30</v>
      </c>
    </row>
    <row r="3812" spans="1:10" x14ac:dyDescent="0.25">
      <c r="A3812" t="s">
        <v>24</v>
      </c>
      <c r="B3812" t="s">
        <v>11</v>
      </c>
      <c r="C3812" t="s">
        <v>18</v>
      </c>
      <c r="D3812" t="s">
        <v>15</v>
      </c>
      <c r="E3812">
        <v>0</v>
      </c>
      <c r="F3812">
        <v>0.75</v>
      </c>
      <c r="G3812">
        <v>15.5601956844329</v>
      </c>
      <c r="H3812">
        <v>0</v>
      </c>
      <c r="I3812">
        <v>0</v>
      </c>
      <c r="J3812">
        <v>30</v>
      </c>
    </row>
    <row r="3813" spans="1:10" x14ac:dyDescent="0.25">
      <c r="A3813" t="s">
        <v>24</v>
      </c>
      <c r="B3813" t="s">
        <v>11</v>
      </c>
      <c r="C3813" t="s">
        <v>18</v>
      </c>
      <c r="D3813" t="s">
        <v>15</v>
      </c>
      <c r="E3813">
        <v>0</v>
      </c>
      <c r="F3813">
        <v>0.75</v>
      </c>
      <c r="G3813">
        <v>16.479559183120699</v>
      </c>
      <c r="H3813">
        <v>0</v>
      </c>
      <c r="I3813">
        <v>0</v>
      </c>
      <c r="J3813">
        <v>30</v>
      </c>
    </row>
    <row r="3814" spans="1:10" x14ac:dyDescent="0.25">
      <c r="A3814" t="s">
        <v>24</v>
      </c>
      <c r="B3814" t="s">
        <v>11</v>
      </c>
      <c r="C3814" t="s">
        <v>18</v>
      </c>
      <c r="D3814" t="s">
        <v>15</v>
      </c>
      <c r="E3814">
        <v>0</v>
      </c>
      <c r="F3814">
        <v>0.75</v>
      </c>
      <c r="G3814">
        <v>16.867789506912199</v>
      </c>
      <c r="H3814">
        <v>0</v>
      </c>
      <c r="I3814">
        <v>0</v>
      </c>
      <c r="J3814">
        <v>30</v>
      </c>
    </row>
    <row r="3815" spans="1:10" x14ac:dyDescent="0.25">
      <c r="A3815" t="s">
        <v>24</v>
      </c>
      <c r="B3815" t="s">
        <v>11</v>
      </c>
      <c r="C3815" t="s">
        <v>18</v>
      </c>
      <c r="D3815" t="s">
        <v>15</v>
      </c>
      <c r="E3815">
        <v>0</v>
      </c>
      <c r="F3815">
        <v>0.75</v>
      </c>
      <c r="G3815">
        <v>16.858620643615701</v>
      </c>
      <c r="H3815">
        <v>0</v>
      </c>
      <c r="I3815">
        <v>0</v>
      </c>
      <c r="J3815">
        <v>30</v>
      </c>
    </row>
    <row r="3816" spans="1:10" x14ac:dyDescent="0.25">
      <c r="A3816" t="s">
        <v>24</v>
      </c>
      <c r="B3816" t="s">
        <v>11</v>
      </c>
      <c r="C3816" t="s">
        <v>18</v>
      </c>
      <c r="D3816" t="s">
        <v>15</v>
      </c>
      <c r="E3816">
        <v>0</v>
      </c>
      <c r="F3816">
        <v>0.75</v>
      </c>
      <c r="G3816">
        <v>17.286078929901102</v>
      </c>
      <c r="H3816">
        <v>0</v>
      </c>
      <c r="I3816">
        <v>0</v>
      </c>
      <c r="J3816">
        <v>30</v>
      </c>
    </row>
    <row r="3817" spans="1:10" x14ac:dyDescent="0.25">
      <c r="A3817" t="s">
        <v>24</v>
      </c>
      <c r="B3817" t="s">
        <v>11</v>
      </c>
      <c r="C3817" t="s">
        <v>18</v>
      </c>
      <c r="D3817" t="s">
        <v>15</v>
      </c>
      <c r="E3817">
        <v>0</v>
      </c>
      <c r="F3817">
        <v>0.75</v>
      </c>
      <c r="G3817">
        <v>17.753116607666001</v>
      </c>
      <c r="H3817">
        <v>0</v>
      </c>
      <c r="I3817">
        <v>0</v>
      </c>
      <c r="J3817">
        <v>30</v>
      </c>
    </row>
    <row r="3818" spans="1:10" x14ac:dyDescent="0.25">
      <c r="A3818" t="s">
        <v>24</v>
      </c>
      <c r="B3818" t="s">
        <v>11</v>
      </c>
      <c r="C3818" t="s">
        <v>18</v>
      </c>
      <c r="D3818" t="s">
        <v>15</v>
      </c>
      <c r="E3818">
        <v>0</v>
      </c>
      <c r="F3818">
        <v>0.75</v>
      </c>
      <c r="G3818">
        <v>18.609227657318101</v>
      </c>
      <c r="H3818">
        <v>0</v>
      </c>
      <c r="I3818">
        <v>0</v>
      </c>
      <c r="J3818">
        <v>30</v>
      </c>
    </row>
    <row r="3819" spans="1:10" x14ac:dyDescent="0.25">
      <c r="A3819" t="s">
        <v>24</v>
      </c>
      <c r="B3819" t="s">
        <v>11</v>
      </c>
      <c r="C3819" t="s">
        <v>18</v>
      </c>
      <c r="D3819" t="s">
        <v>15</v>
      </c>
      <c r="E3819">
        <v>0</v>
      </c>
      <c r="F3819">
        <v>0.75</v>
      </c>
      <c r="G3819">
        <v>18.793984889984099</v>
      </c>
      <c r="H3819">
        <v>0</v>
      </c>
      <c r="I3819">
        <v>0</v>
      </c>
      <c r="J3819">
        <v>30</v>
      </c>
    </row>
    <row r="3820" spans="1:10" x14ac:dyDescent="0.25">
      <c r="A3820" t="s">
        <v>24</v>
      </c>
      <c r="B3820" t="s">
        <v>11</v>
      </c>
      <c r="C3820" t="s">
        <v>18</v>
      </c>
      <c r="D3820" t="s">
        <v>15</v>
      </c>
      <c r="E3820">
        <v>0</v>
      </c>
      <c r="F3820">
        <v>0.75</v>
      </c>
      <c r="G3820">
        <v>19.5745849609375</v>
      </c>
      <c r="H3820">
        <v>0</v>
      </c>
      <c r="I3820">
        <v>0</v>
      </c>
      <c r="J3820">
        <v>30</v>
      </c>
    </row>
    <row r="3821" spans="1:10" x14ac:dyDescent="0.25">
      <c r="A3821" t="s">
        <v>24</v>
      </c>
      <c r="B3821" t="s">
        <v>11</v>
      </c>
      <c r="C3821" t="s">
        <v>18</v>
      </c>
      <c r="D3821" t="s">
        <v>15</v>
      </c>
      <c r="E3821">
        <v>0</v>
      </c>
      <c r="F3821">
        <v>0.75</v>
      </c>
      <c r="G3821">
        <v>19.923379421234099</v>
      </c>
      <c r="H3821">
        <v>0</v>
      </c>
      <c r="I3821">
        <v>0</v>
      </c>
      <c r="J3821">
        <v>30</v>
      </c>
    </row>
    <row r="3822" spans="1:10" x14ac:dyDescent="0.25">
      <c r="A3822" t="s">
        <v>24</v>
      </c>
      <c r="B3822" t="s">
        <v>11</v>
      </c>
      <c r="C3822" t="s">
        <v>18</v>
      </c>
      <c r="D3822" t="s">
        <v>15</v>
      </c>
      <c r="E3822">
        <v>0</v>
      </c>
      <c r="F3822">
        <v>0.75</v>
      </c>
      <c r="G3822">
        <v>20.694580554962101</v>
      </c>
      <c r="H3822">
        <v>0</v>
      </c>
      <c r="I3822">
        <v>0</v>
      </c>
      <c r="J3822">
        <v>30</v>
      </c>
    </row>
    <row r="3823" spans="1:10" x14ac:dyDescent="0.25">
      <c r="A3823" t="s">
        <v>24</v>
      </c>
      <c r="B3823" t="s">
        <v>11</v>
      </c>
      <c r="C3823" t="s">
        <v>18</v>
      </c>
      <c r="D3823" t="s">
        <v>15</v>
      </c>
      <c r="E3823">
        <v>0</v>
      </c>
      <c r="F3823">
        <v>0.75</v>
      </c>
      <c r="G3823">
        <v>29.4831173419952</v>
      </c>
      <c r="H3823">
        <v>0</v>
      </c>
      <c r="I3823">
        <v>0</v>
      </c>
      <c r="J3823">
        <v>30</v>
      </c>
    </row>
    <row r="3824" spans="1:10" x14ac:dyDescent="0.25">
      <c r="A3824" t="s">
        <v>24</v>
      </c>
      <c r="B3824" t="s">
        <v>11</v>
      </c>
      <c r="C3824" t="s">
        <v>18</v>
      </c>
      <c r="D3824" t="s">
        <v>15</v>
      </c>
      <c r="E3824">
        <v>0</v>
      </c>
      <c r="F3824">
        <v>0.75</v>
      </c>
      <c r="G3824">
        <v>31.622597455978301</v>
      </c>
      <c r="H3824">
        <v>0</v>
      </c>
      <c r="I3824">
        <v>0</v>
      </c>
      <c r="J3824">
        <v>30</v>
      </c>
    </row>
    <row r="3825" spans="1:10" x14ac:dyDescent="0.25">
      <c r="A3825" t="s">
        <v>24</v>
      </c>
      <c r="B3825" t="s">
        <v>11</v>
      </c>
      <c r="C3825" t="s">
        <v>18</v>
      </c>
      <c r="D3825" t="s">
        <v>15</v>
      </c>
      <c r="E3825">
        <v>0</v>
      </c>
      <c r="F3825">
        <v>0.75</v>
      </c>
      <c r="G3825">
        <v>33.479041337966898</v>
      </c>
      <c r="H3825">
        <v>0</v>
      </c>
      <c r="I3825">
        <v>0</v>
      </c>
      <c r="J3825">
        <v>30</v>
      </c>
    </row>
    <row r="3826" spans="1:10" x14ac:dyDescent="0.25">
      <c r="A3826" t="s">
        <v>24</v>
      </c>
      <c r="B3826" t="s">
        <v>11</v>
      </c>
      <c r="C3826" t="s">
        <v>18</v>
      </c>
      <c r="D3826" t="s">
        <v>15</v>
      </c>
      <c r="E3826">
        <v>0</v>
      </c>
      <c r="F3826">
        <v>0.75</v>
      </c>
      <c r="G3826">
        <v>40.223779439926098</v>
      </c>
      <c r="H3826">
        <v>0</v>
      </c>
      <c r="I3826">
        <v>0</v>
      </c>
      <c r="J3826">
        <v>30</v>
      </c>
    </row>
    <row r="3827" spans="1:10" x14ac:dyDescent="0.25">
      <c r="A3827" t="s">
        <v>24</v>
      </c>
      <c r="B3827" t="s">
        <v>11</v>
      </c>
      <c r="C3827" t="s">
        <v>18</v>
      </c>
      <c r="D3827" t="s">
        <v>15</v>
      </c>
      <c r="E3827">
        <v>0</v>
      </c>
      <c r="F3827">
        <v>0.75</v>
      </c>
      <c r="G3827">
        <v>41.313765048980699</v>
      </c>
      <c r="H3827">
        <v>0</v>
      </c>
      <c r="I3827">
        <v>0</v>
      </c>
      <c r="J3827">
        <v>30</v>
      </c>
    </row>
    <row r="3828" spans="1:10" x14ac:dyDescent="0.25">
      <c r="A3828" t="s">
        <v>24</v>
      </c>
      <c r="B3828" t="s">
        <v>11</v>
      </c>
      <c r="C3828" t="s">
        <v>18</v>
      </c>
      <c r="D3828" t="s">
        <v>15</v>
      </c>
      <c r="E3828">
        <v>0</v>
      </c>
      <c r="F3828">
        <v>0.75</v>
      </c>
      <c r="G3828">
        <v>42.034019231796201</v>
      </c>
      <c r="H3828">
        <v>0</v>
      </c>
      <c r="I3828">
        <v>0</v>
      </c>
      <c r="J3828">
        <v>30</v>
      </c>
    </row>
    <row r="3829" spans="1:10" x14ac:dyDescent="0.25">
      <c r="A3829" t="s">
        <v>24</v>
      </c>
      <c r="B3829" t="s">
        <v>11</v>
      </c>
      <c r="C3829" t="s">
        <v>18</v>
      </c>
      <c r="D3829" t="s">
        <v>15</v>
      </c>
      <c r="E3829">
        <v>0</v>
      </c>
      <c r="F3829">
        <v>0.75</v>
      </c>
      <c r="G3829">
        <v>43.469811916351297</v>
      </c>
      <c r="H3829">
        <v>0</v>
      </c>
      <c r="I3829">
        <v>0</v>
      </c>
      <c r="J3829">
        <v>30</v>
      </c>
    </row>
    <row r="3830" spans="1:10" x14ac:dyDescent="0.25">
      <c r="A3830" t="s">
        <v>24</v>
      </c>
      <c r="B3830" t="s">
        <v>11</v>
      </c>
      <c r="C3830" t="s">
        <v>18</v>
      </c>
      <c r="D3830" t="s">
        <v>15</v>
      </c>
      <c r="E3830">
        <v>0</v>
      </c>
      <c r="F3830">
        <v>0.75</v>
      </c>
      <c r="G3830">
        <v>43.883405447006197</v>
      </c>
      <c r="H3830">
        <v>0</v>
      </c>
      <c r="I3830">
        <v>0</v>
      </c>
      <c r="J3830">
        <v>30</v>
      </c>
    </row>
    <row r="3831" spans="1:10" x14ac:dyDescent="0.25">
      <c r="A3831" t="s">
        <v>24</v>
      </c>
      <c r="B3831" t="s">
        <v>11</v>
      </c>
      <c r="C3831" t="s">
        <v>18</v>
      </c>
      <c r="D3831" t="s">
        <v>15</v>
      </c>
      <c r="E3831">
        <v>0</v>
      </c>
      <c r="F3831">
        <v>0.75</v>
      </c>
      <c r="G3831">
        <v>44.098967790603602</v>
      </c>
      <c r="H3831">
        <v>1</v>
      </c>
      <c r="I3831">
        <v>3</v>
      </c>
      <c r="J3831">
        <v>30</v>
      </c>
    </row>
    <row r="3832" spans="1:10" x14ac:dyDescent="0.25">
      <c r="A3832" t="s">
        <v>24</v>
      </c>
      <c r="B3832" t="s">
        <v>11</v>
      </c>
      <c r="C3832" t="s">
        <v>18</v>
      </c>
      <c r="D3832" t="s">
        <v>15</v>
      </c>
      <c r="E3832">
        <v>0</v>
      </c>
      <c r="F3832">
        <v>0.75</v>
      </c>
      <c r="G3832">
        <v>44.6638216972351</v>
      </c>
      <c r="H3832">
        <v>3</v>
      </c>
      <c r="I3832">
        <v>7</v>
      </c>
      <c r="J3832">
        <v>30</v>
      </c>
    </row>
    <row r="3833" spans="1:10" x14ac:dyDescent="0.25">
      <c r="A3833" t="s">
        <v>24</v>
      </c>
      <c r="B3833" t="s">
        <v>11</v>
      </c>
      <c r="C3833" t="s">
        <v>18</v>
      </c>
      <c r="D3833" t="s">
        <v>15</v>
      </c>
      <c r="E3833">
        <v>0</v>
      </c>
      <c r="F3833">
        <v>0.75</v>
      </c>
      <c r="G3833">
        <v>57.003117322921703</v>
      </c>
      <c r="H3833">
        <v>1</v>
      </c>
      <c r="I3833">
        <v>4</v>
      </c>
      <c r="J3833">
        <v>30</v>
      </c>
    </row>
    <row r="3834" spans="1:10" x14ac:dyDescent="0.25">
      <c r="A3834" t="s">
        <v>24</v>
      </c>
      <c r="B3834" t="s">
        <v>11</v>
      </c>
      <c r="C3834" t="s">
        <v>18</v>
      </c>
      <c r="D3834" t="s">
        <v>15</v>
      </c>
      <c r="E3834">
        <v>0</v>
      </c>
      <c r="F3834">
        <v>0.75</v>
      </c>
      <c r="G3834">
        <v>59.3224163055419</v>
      </c>
      <c r="H3834">
        <v>1</v>
      </c>
      <c r="I3834">
        <v>4</v>
      </c>
      <c r="J3834">
        <v>30</v>
      </c>
    </row>
    <row r="3835" spans="1:10" x14ac:dyDescent="0.25">
      <c r="A3835" t="s">
        <v>24</v>
      </c>
      <c r="B3835" t="s">
        <v>11</v>
      </c>
      <c r="C3835" t="s">
        <v>18</v>
      </c>
      <c r="D3835" t="s">
        <v>15</v>
      </c>
      <c r="E3835">
        <v>1.83150183150183E-3</v>
      </c>
      <c r="F3835">
        <v>0.75003891941391898</v>
      </c>
      <c r="G3835">
        <v>60.429452180862398</v>
      </c>
      <c r="H3835">
        <v>3</v>
      </c>
      <c r="I3835">
        <v>7</v>
      </c>
      <c r="J3835">
        <v>30</v>
      </c>
    </row>
    <row r="3836" spans="1:10" x14ac:dyDescent="0.25">
      <c r="A3836" t="s">
        <v>24</v>
      </c>
      <c r="B3836" t="s">
        <v>11</v>
      </c>
      <c r="C3836" t="s">
        <v>18</v>
      </c>
      <c r="D3836" t="s">
        <v>15</v>
      </c>
      <c r="E3836">
        <v>0</v>
      </c>
      <c r="F3836">
        <v>0.74995192307692304</v>
      </c>
      <c r="G3836">
        <v>63.868247985839801</v>
      </c>
      <c r="H3836">
        <v>2</v>
      </c>
      <c r="I3836">
        <v>8</v>
      </c>
      <c r="J3836">
        <v>30</v>
      </c>
    </row>
    <row r="3837" spans="1:10" x14ac:dyDescent="0.25">
      <c r="A3837" t="s">
        <v>24</v>
      </c>
      <c r="B3837" t="s">
        <v>11</v>
      </c>
      <c r="C3837" t="s">
        <v>18</v>
      </c>
      <c r="D3837" t="s">
        <v>15</v>
      </c>
      <c r="E3837">
        <v>0</v>
      </c>
      <c r="F3837">
        <v>0.75</v>
      </c>
      <c r="G3837">
        <v>64.150672197341905</v>
      </c>
      <c r="H3837">
        <v>1</v>
      </c>
      <c r="I3837">
        <v>4</v>
      </c>
      <c r="J3837">
        <v>30</v>
      </c>
    </row>
    <row r="3838" spans="1:10" x14ac:dyDescent="0.25">
      <c r="A3838" t="s">
        <v>24</v>
      </c>
      <c r="B3838" t="s">
        <v>11</v>
      </c>
      <c r="C3838" t="s">
        <v>18</v>
      </c>
      <c r="D3838" t="s">
        <v>15</v>
      </c>
      <c r="E3838">
        <v>9.1575091575091499E-4</v>
      </c>
      <c r="F3838">
        <v>0.75004349816849802</v>
      </c>
      <c r="G3838">
        <v>67.847570180892902</v>
      </c>
      <c r="H3838">
        <v>2</v>
      </c>
      <c r="I3838">
        <v>7</v>
      </c>
      <c r="J3838">
        <v>30</v>
      </c>
    </row>
    <row r="3839" spans="1:10" x14ac:dyDescent="0.25">
      <c r="A3839" t="s">
        <v>24</v>
      </c>
      <c r="B3839" t="s">
        <v>11</v>
      </c>
      <c r="C3839" t="s">
        <v>18</v>
      </c>
      <c r="D3839" t="s">
        <v>15</v>
      </c>
      <c r="E3839">
        <v>0</v>
      </c>
      <c r="F3839">
        <v>0.74995192307692304</v>
      </c>
      <c r="G3839">
        <v>68.096415281295705</v>
      </c>
      <c r="H3839">
        <v>2</v>
      </c>
      <c r="I3839">
        <v>5</v>
      </c>
      <c r="J3839">
        <v>30</v>
      </c>
    </row>
    <row r="3840" spans="1:10" x14ac:dyDescent="0.25">
      <c r="A3840" t="s">
        <v>24</v>
      </c>
      <c r="B3840" t="s">
        <v>11</v>
      </c>
      <c r="C3840" t="s">
        <v>18</v>
      </c>
      <c r="D3840" t="s">
        <v>15</v>
      </c>
      <c r="E3840">
        <v>9.1575091575091499E-4</v>
      </c>
      <c r="F3840">
        <v>0.74999542124542096</v>
      </c>
      <c r="G3840">
        <v>70.536883115768404</v>
      </c>
      <c r="H3840">
        <v>5</v>
      </c>
      <c r="I3840">
        <v>16</v>
      </c>
      <c r="J3840">
        <v>30</v>
      </c>
    </row>
    <row r="3841" spans="1:10" x14ac:dyDescent="0.25">
      <c r="A3841" t="s">
        <v>24</v>
      </c>
      <c r="B3841" t="s">
        <v>11</v>
      </c>
      <c r="C3841" t="s">
        <v>18</v>
      </c>
      <c r="D3841" t="s">
        <v>15</v>
      </c>
      <c r="E3841">
        <v>0</v>
      </c>
      <c r="F3841">
        <v>0.75</v>
      </c>
      <c r="G3841">
        <v>72.232985973358097</v>
      </c>
      <c r="H3841">
        <v>4</v>
      </c>
      <c r="I3841">
        <v>12</v>
      </c>
      <c r="J3841">
        <v>30</v>
      </c>
    </row>
    <row r="3842" spans="1:10" x14ac:dyDescent="0.25">
      <c r="A3842" t="s">
        <v>24</v>
      </c>
      <c r="B3842" t="s">
        <v>11</v>
      </c>
      <c r="C3842" t="s">
        <v>18</v>
      </c>
      <c r="D3842" t="s">
        <v>16</v>
      </c>
      <c r="E3842">
        <v>0</v>
      </c>
      <c r="F3842">
        <v>0.75</v>
      </c>
      <c r="G3842">
        <v>0.48205757141113198</v>
      </c>
      <c r="H3842">
        <v>0</v>
      </c>
      <c r="I3842">
        <v>0</v>
      </c>
      <c r="J3842">
        <v>30</v>
      </c>
    </row>
    <row r="3843" spans="1:10" x14ac:dyDescent="0.25">
      <c r="A3843" t="s">
        <v>24</v>
      </c>
      <c r="B3843" t="s">
        <v>11</v>
      </c>
      <c r="C3843" t="s">
        <v>18</v>
      </c>
      <c r="D3843" t="s">
        <v>16</v>
      </c>
      <c r="E3843">
        <v>0</v>
      </c>
      <c r="F3843">
        <v>0.75</v>
      </c>
      <c r="G3843">
        <v>0.56486678123474099</v>
      </c>
      <c r="H3843">
        <v>0</v>
      </c>
      <c r="I3843">
        <v>0</v>
      </c>
      <c r="J3843">
        <v>30</v>
      </c>
    </row>
    <row r="3844" spans="1:10" x14ac:dyDescent="0.25">
      <c r="A3844" t="s">
        <v>24</v>
      </c>
      <c r="B3844" t="s">
        <v>11</v>
      </c>
      <c r="C3844" t="s">
        <v>18</v>
      </c>
      <c r="D3844" t="s">
        <v>16</v>
      </c>
      <c r="E3844">
        <v>0</v>
      </c>
      <c r="F3844">
        <v>0.75</v>
      </c>
      <c r="G3844">
        <v>0.61053466796875</v>
      </c>
      <c r="H3844">
        <v>0</v>
      </c>
      <c r="I3844">
        <v>0</v>
      </c>
      <c r="J3844">
        <v>30</v>
      </c>
    </row>
    <row r="3845" spans="1:10" x14ac:dyDescent="0.25">
      <c r="A3845" t="s">
        <v>24</v>
      </c>
      <c r="B3845" t="s">
        <v>11</v>
      </c>
      <c r="C3845" t="s">
        <v>18</v>
      </c>
      <c r="D3845" t="s">
        <v>16</v>
      </c>
      <c r="E3845">
        <v>0</v>
      </c>
      <c r="F3845">
        <v>0.75</v>
      </c>
      <c r="G3845">
        <v>0.62109231948852495</v>
      </c>
      <c r="H3845">
        <v>0</v>
      </c>
      <c r="I3845">
        <v>0</v>
      </c>
      <c r="J3845">
        <v>30</v>
      </c>
    </row>
    <row r="3846" spans="1:10" x14ac:dyDescent="0.25">
      <c r="A3846" t="s">
        <v>24</v>
      </c>
      <c r="B3846" t="s">
        <v>11</v>
      </c>
      <c r="C3846" t="s">
        <v>18</v>
      </c>
      <c r="D3846" t="s">
        <v>16</v>
      </c>
      <c r="E3846">
        <v>0</v>
      </c>
      <c r="F3846">
        <v>0.75</v>
      </c>
      <c r="G3846">
        <v>0.73282957077026301</v>
      </c>
      <c r="H3846">
        <v>0</v>
      </c>
      <c r="I3846">
        <v>0</v>
      </c>
      <c r="J3846">
        <v>30</v>
      </c>
    </row>
    <row r="3847" spans="1:10" x14ac:dyDescent="0.25">
      <c r="A3847" t="s">
        <v>24</v>
      </c>
      <c r="B3847" t="s">
        <v>11</v>
      </c>
      <c r="C3847" t="s">
        <v>18</v>
      </c>
      <c r="D3847" t="s">
        <v>16</v>
      </c>
      <c r="E3847">
        <v>0</v>
      </c>
      <c r="F3847">
        <v>0.75</v>
      </c>
      <c r="G3847">
        <v>0.76324319839477495</v>
      </c>
      <c r="H3847">
        <v>0</v>
      </c>
      <c r="I3847">
        <v>0</v>
      </c>
      <c r="J3847">
        <v>30</v>
      </c>
    </row>
    <row r="3848" spans="1:10" x14ac:dyDescent="0.25">
      <c r="A3848" t="s">
        <v>24</v>
      </c>
      <c r="B3848" t="s">
        <v>11</v>
      </c>
      <c r="C3848" t="s">
        <v>18</v>
      </c>
      <c r="D3848" t="s">
        <v>16</v>
      </c>
      <c r="E3848">
        <v>0</v>
      </c>
      <c r="F3848">
        <v>0.75</v>
      </c>
      <c r="G3848">
        <v>0.79858469963073697</v>
      </c>
      <c r="H3848">
        <v>0</v>
      </c>
      <c r="I3848">
        <v>0</v>
      </c>
      <c r="J3848">
        <v>30</v>
      </c>
    </row>
    <row r="3849" spans="1:10" x14ac:dyDescent="0.25">
      <c r="A3849" t="s">
        <v>24</v>
      </c>
      <c r="B3849" t="s">
        <v>11</v>
      </c>
      <c r="C3849" t="s">
        <v>18</v>
      </c>
      <c r="D3849" t="s">
        <v>16</v>
      </c>
      <c r="E3849">
        <v>0</v>
      </c>
      <c r="F3849">
        <v>0.75</v>
      </c>
      <c r="G3849">
        <v>0.78986263275146396</v>
      </c>
      <c r="H3849">
        <v>0</v>
      </c>
      <c r="I3849">
        <v>0</v>
      </c>
      <c r="J3849">
        <v>30</v>
      </c>
    </row>
    <row r="3850" spans="1:10" x14ac:dyDescent="0.25">
      <c r="A3850" t="s">
        <v>24</v>
      </c>
      <c r="B3850" t="s">
        <v>11</v>
      </c>
      <c r="C3850" t="s">
        <v>18</v>
      </c>
      <c r="D3850" t="s">
        <v>16</v>
      </c>
      <c r="E3850">
        <v>0</v>
      </c>
      <c r="F3850">
        <v>0.75</v>
      </c>
      <c r="G3850">
        <v>0.82991337776184004</v>
      </c>
      <c r="H3850">
        <v>0</v>
      </c>
      <c r="I3850">
        <v>0</v>
      </c>
      <c r="J3850">
        <v>30</v>
      </c>
    </row>
    <row r="3851" spans="1:10" x14ac:dyDescent="0.25">
      <c r="A3851" t="s">
        <v>24</v>
      </c>
      <c r="B3851" t="s">
        <v>11</v>
      </c>
      <c r="C3851" t="s">
        <v>18</v>
      </c>
      <c r="D3851" t="s">
        <v>16</v>
      </c>
      <c r="E3851">
        <v>0</v>
      </c>
      <c r="F3851">
        <v>0.75</v>
      </c>
      <c r="G3851">
        <v>0.81348919868469205</v>
      </c>
      <c r="H3851">
        <v>0</v>
      </c>
      <c r="I3851">
        <v>0</v>
      </c>
      <c r="J3851">
        <v>30</v>
      </c>
    </row>
    <row r="3852" spans="1:10" x14ac:dyDescent="0.25">
      <c r="A3852" t="s">
        <v>24</v>
      </c>
      <c r="B3852" t="s">
        <v>11</v>
      </c>
      <c r="C3852" t="s">
        <v>18</v>
      </c>
      <c r="D3852" t="s">
        <v>16</v>
      </c>
      <c r="E3852">
        <v>0</v>
      </c>
      <c r="F3852">
        <v>0.75</v>
      </c>
      <c r="G3852">
        <v>0.90731549263000399</v>
      </c>
      <c r="H3852">
        <v>0</v>
      </c>
      <c r="I3852">
        <v>0</v>
      </c>
      <c r="J3852">
        <v>30</v>
      </c>
    </row>
    <row r="3853" spans="1:10" x14ac:dyDescent="0.25">
      <c r="A3853" t="s">
        <v>24</v>
      </c>
      <c r="B3853" t="s">
        <v>11</v>
      </c>
      <c r="C3853" t="s">
        <v>18</v>
      </c>
      <c r="D3853" t="s">
        <v>16</v>
      </c>
      <c r="E3853">
        <v>0</v>
      </c>
      <c r="F3853">
        <v>0.75</v>
      </c>
      <c r="G3853">
        <v>0.75070095062255804</v>
      </c>
      <c r="H3853">
        <v>0</v>
      </c>
      <c r="I3853">
        <v>0</v>
      </c>
      <c r="J3853">
        <v>30</v>
      </c>
    </row>
    <row r="3854" spans="1:10" x14ac:dyDescent="0.25">
      <c r="A3854" t="s">
        <v>24</v>
      </c>
      <c r="B3854" t="s">
        <v>11</v>
      </c>
      <c r="C3854" t="s">
        <v>18</v>
      </c>
      <c r="D3854" t="s">
        <v>16</v>
      </c>
      <c r="E3854">
        <v>0</v>
      </c>
      <c r="F3854">
        <v>0.75</v>
      </c>
      <c r="G3854">
        <v>0.80467224121093694</v>
      </c>
      <c r="H3854">
        <v>0</v>
      </c>
      <c r="I3854">
        <v>0</v>
      </c>
      <c r="J3854">
        <v>30</v>
      </c>
    </row>
    <row r="3855" spans="1:10" x14ac:dyDescent="0.25">
      <c r="A3855" t="s">
        <v>24</v>
      </c>
      <c r="B3855" t="s">
        <v>11</v>
      </c>
      <c r="C3855" t="s">
        <v>18</v>
      </c>
      <c r="D3855" t="s">
        <v>16</v>
      </c>
      <c r="E3855">
        <v>0</v>
      </c>
      <c r="F3855">
        <v>0.75</v>
      </c>
      <c r="G3855">
        <v>0.83674049377441395</v>
      </c>
      <c r="H3855">
        <v>0</v>
      </c>
      <c r="I3855">
        <v>0</v>
      </c>
      <c r="J3855">
        <v>30</v>
      </c>
    </row>
    <row r="3856" spans="1:10" x14ac:dyDescent="0.25">
      <c r="A3856" t="s">
        <v>24</v>
      </c>
      <c r="B3856" t="s">
        <v>11</v>
      </c>
      <c r="C3856" t="s">
        <v>18</v>
      </c>
      <c r="D3856" t="s">
        <v>16</v>
      </c>
      <c r="E3856">
        <v>0</v>
      </c>
      <c r="F3856">
        <v>0.75</v>
      </c>
      <c r="G3856">
        <v>0.84586024284362704</v>
      </c>
      <c r="H3856">
        <v>0</v>
      </c>
      <c r="I3856">
        <v>0</v>
      </c>
      <c r="J3856">
        <v>30</v>
      </c>
    </row>
    <row r="3857" spans="1:10" x14ac:dyDescent="0.25">
      <c r="A3857" t="s">
        <v>24</v>
      </c>
      <c r="B3857" t="s">
        <v>11</v>
      </c>
      <c r="C3857" t="s">
        <v>18</v>
      </c>
      <c r="D3857" t="s">
        <v>16</v>
      </c>
      <c r="E3857">
        <v>0</v>
      </c>
      <c r="F3857">
        <v>0.75</v>
      </c>
      <c r="G3857">
        <v>0.76129794120788497</v>
      </c>
      <c r="H3857">
        <v>0</v>
      </c>
      <c r="I3857">
        <v>0</v>
      </c>
      <c r="J3857">
        <v>30</v>
      </c>
    </row>
    <row r="3858" spans="1:10" x14ac:dyDescent="0.25">
      <c r="A3858" t="s">
        <v>24</v>
      </c>
      <c r="B3858" t="s">
        <v>11</v>
      </c>
      <c r="C3858" t="s">
        <v>18</v>
      </c>
      <c r="D3858" t="s">
        <v>16</v>
      </c>
      <c r="E3858">
        <v>0</v>
      </c>
      <c r="F3858">
        <v>0.75</v>
      </c>
      <c r="G3858">
        <v>0.86772656440734797</v>
      </c>
      <c r="H3858">
        <v>0</v>
      </c>
      <c r="I3858">
        <v>0</v>
      </c>
      <c r="J3858">
        <v>30</v>
      </c>
    </row>
    <row r="3859" spans="1:10" x14ac:dyDescent="0.25">
      <c r="A3859" t="s">
        <v>24</v>
      </c>
      <c r="B3859" t="s">
        <v>11</v>
      </c>
      <c r="C3859" t="s">
        <v>18</v>
      </c>
      <c r="D3859" t="s">
        <v>16</v>
      </c>
      <c r="E3859">
        <v>0</v>
      </c>
      <c r="F3859">
        <v>0.75</v>
      </c>
      <c r="G3859">
        <v>0.83611893653869596</v>
      </c>
      <c r="H3859">
        <v>0</v>
      </c>
      <c r="I3859">
        <v>0</v>
      </c>
      <c r="J3859">
        <v>30</v>
      </c>
    </row>
    <row r="3860" spans="1:10" x14ac:dyDescent="0.25">
      <c r="A3860" t="s">
        <v>24</v>
      </c>
      <c r="B3860" t="s">
        <v>11</v>
      </c>
      <c r="C3860" t="s">
        <v>18</v>
      </c>
      <c r="D3860" t="s">
        <v>16</v>
      </c>
      <c r="E3860">
        <v>0</v>
      </c>
      <c r="F3860">
        <v>0.75</v>
      </c>
      <c r="G3860">
        <v>0.86729073524475098</v>
      </c>
      <c r="H3860">
        <v>0</v>
      </c>
      <c r="I3860">
        <v>0</v>
      </c>
      <c r="J3860">
        <v>30</v>
      </c>
    </row>
    <row r="3861" spans="1:10" x14ac:dyDescent="0.25">
      <c r="A3861" t="s">
        <v>24</v>
      </c>
      <c r="B3861" t="s">
        <v>11</v>
      </c>
      <c r="C3861" t="s">
        <v>18</v>
      </c>
      <c r="D3861" t="s">
        <v>16</v>
      </c>
      <c r="E3861">
        <v>0</v>
      </c>
      <c r="F3861">
        <v>0.75</v>
      </c>
      <c r="G3861">
        <v>0.93244743347167902</v>
      </c>
      <c r="H3861">
        <v>0</v>
      </c>
      <c r="I3861">
        <v>0</v>
      </c>
      <c r="J3861">
        <v>30</v>
      </c>
    </row>
    <row r="3862" spans="1:10" x14ac:dyDescent="0.25">
      <c r="A3862" t="s">
        <v>24</v>
      </c>
      <c r="B3862" t="s">
        <v>11</v>
      </c>
      <c r="C3862" t="s">
        <v>18</v>
      </c>
      <c r="D3862" t="s">
        <v>16</v>
      </c>
      <c r="E3862">
        <v>0</v>
      </c>
      <c r="F3862">
        <v>0.75</v>
      </c>
      <c r="G3862">
        <v>0.93255782127380304</v>
      </c>
      <c r="H3862">
        <v>0</v>
      </c>
      <c r="I3862">
        <v>0</v>
      </c>
      <c r="J3862">
        <v>30</v>
      </c>
    </row>
    <row r="3863" spans="1:10" x14ac:dyDescent="0.25">
      <c r="A3863" t="s">
        <v>24</v>
      </c>
      <c r="B3863" t="s">
        <v>11</v>
      </c>
      <c r="C3863" t="s">
        <v>18</v>
      </c>
      <c r="D3863" t="s">
        <v>16</v>
      </c>
      <c r="E3863">
        <v>0</v>
      </c>
      <c r="F3863">
        <v>0.75</v>
      </c>
      <c r="G3863">
        <v>0.80319142341613703</v>
      </c>
      <c r="H3863">
        <v>0</v>
      </c>
      <c r="I3863">
        <v>0</v>
      </c>
      <c r="J3863">
        <v>30</v>
      </c>
    </row>
    <row r="3864" spans="1:10" x14ac:dyDescent="0.25">
      <c r="A3864" t="s">
        <v>24</v>
      </c>
      <c r="B3864" t="s">
        <v>11</v>
      </c>
      <c r="C3864" t="s">
        <v>18</v>
      </c>
      <c r="D3864" t="s">
        <v>16</v>
      </c>
      <c r="E3864">
        <v>0</v>
      </c>
      <c r="F3864">
        <v>0.75</v>
      </c>
      <c r="G3864">
        <v>0.943994760513305</v>
      </c>
      <c r="H3864">
        <v>0</v>
      </c>
      <c r="I3864">
        <v>0</v>
      </c>
      <c r="J3864">
        <v>30</v>
      </c>
    </row>
    <row r="3865" spans="1:10" x14ac:dyDescent="0.25">
      <c r="A3865" t="s">
        <v>24</v>
      </c>
      <c r="B3865" t="s">
        <v>11</v>
      </c>
      <c r="C3865" t="s">
        <v>18</v>
      </c>
      <c r="D3865" t="s">
        <v>16</v>
      </c>
      <c r="E3865">
        <v>0</v>
      </c>
      <c r="F3865">
        <v>0.75</v>
      </c>
      <c r="G3865">
        <v>0.87295103073120095</v>
      </c>
      <c r="H3865">
        <v>0</v>
      </c>
      <c r="I3865">
        <v>0</v>
      </c>
      <c r="J3865">
        <v>30</v>
      </c>
    </row>
    <row r="3866" spans="1:10" x14ac:dyDescent="0.25">
      <c r="A3866" t="s">
        <v>24</v>
      </c>
      <c r="B3866" t="s">
        <v>11</v>
      </c>
      <c r="C3866" t="s">
        <v>18</v>
      </c>
      <c r="D3866" t="s">
        <v>16</v>
      </c>
      <c r="E3866">
        <v>0</v>
      </c>
      <c r="F3866">
        <v>0.75</v>
      </c>
      <c r="G3866">
        <v>0.84029650688171298</v>
      </c>
      <c r="H3866">
        <v>0</v>
      </c>
      <c r="I3866">
        <v>0</v>
      </c>
      <c r="J3866">
        <v>30</v>
      </c>
    </row>
    <row r="3867" spans="1:10" x14ac:dyDescent="0.25">
      <c r="A3867" t="s">
        <v>24</v>
      </c>
      <c r="B3867" t="s">
        <v>11</v>
      </c>
      <c r="C3867" t="s">
        <v>18</v>
      </c>
      <c r="D3867" t="s">
        <v>16</v>
      </c>
      <c r="E3867">
        <v>0</v>
      </c>
      <c r="F3867">
        <v>0.75</v>
      </c>
      <c r="G3867">
        <v>0.85620212554931596</v>
      </c>
      <c r="H3867">
        <v>0</v>
      </c>
      <c r="I3867">
        <v>0</v>
      </c>
      <c r="J3867">
        <v>30</v>
      </c>
    </row>
    <row r="3868" spans="1:10" x14ac:dyDescent="0.25">
      <c r="A3868" t="s">
        <v>24</v>
      </c>
      <c r="B3868" t="s">
        <v>11</v>
      </c>
      <c r="C3868" t="s">
        <v>18</v>
      </c>
      <c r="D3868" t="s">
        <v>16</v>
      </c>
      <c r="E3868">
        <v>0</v>
      </c>
      <c r="F3868">
        <v>0.75</v>
      </c>
      <c r="G3868">
        <v>0.85620212554931596</v>
      </c>
      <c r="H3868">
        <v>0</v>
      </c>
      <c r="I3868">
        <v>0</v>
      </c>
      <c r="J3868">
        <v>30</v>
      </c>
    </row>
    <row r="3869" spans="1:10" x14ac:dyDescent="0.25">
      <c r="A3869" t="s">
        <v>24</v>
      </c>
      <c r="B3869" t="s">
        <v>11</v>
      </c>
      <c r="C3869" t="s">
        <v>18</v>
      </c>
      <c r="D3869" t="s">
        <v>16</v>
      </c>
      <c r="E3869">
        <v>0</v>
      </c>
      <c r="F3869">
        <v>0.75</v>
      </c>
      <c r="G3869">
        <v>0.84675765037536599</v>
      </c>
      <c r="H3869">
        <v>0</v>
      </c>
      <c r="I3869">
        <v>0</v>
      </c>
      <c r="J3869">
        <v>30</v>
      </c>
    </row>
    <row r="3870" spans="1:10" x14ac:dyDescent="0.25">
      <c r="A3870" t="s">
        <v>24</v>
      </c>
      <c r="B3870" t="s">
        <v>11</v>
      </c>
      <c r="C3870" t="s">
        <v>18</v>
      </c>
      <c r="D3870" t="s">
        <v>16</v>
      </c>
      <c r="E3870">
        <v>0</v>
      </c>
      <c r="F3870">
        <v>0.75</v>
      </c>
      <c r="G3870">
        <v>0.89334273338317804</v>
      </c>
      <c r="H3870">
        <v>0</v>
      </c>
      <c r="I3870">
        <v>0</v>
      </c>
      <c r="J3870">
        <v>30</v>
      </c>
    </row>
    <row r="3871" spans="1:10" x14ac:dyDescent="0.25">
      <c r="A3871" t="s">
        <v>24</v>
      </c>
      <c r="B3871" t="s">
        <v>11</v>
      </c>
      <c r="C3871" t="s">
        <v>18</v>
      </c>
      <c r="D3871" t="s">
        <v>16</v>
      </c>
      <c r="E3871">
        <v>0</v>
      </c>
      <c r="F3871">
        <v>0.75</v>
      </c>
      <c r="G3871">
        <v>0.79273486137390103</v>
      </c>
      <c r="H3871">
        <v>0</v>
      </c>
      <c r="I3871">
        <v>0</v>
      </c>
      <c r="J3871">
        <v>30</v>
      </c>
    </row>
    <row r="3872" spans="1:10" x14ac:dyDescent="0.25">
      <c r="A3872" t="s">
        <v>24</v>
      </c>
      <c r="B3872" t="s">
        <v>11</v>
      </c>
      <c r="C3872" t="s">
        <v>18</v>
      </c>
      <c r="D3872" t="s">
        <v>17</v>
      </c>
      <c r="E3872">
        <v>0.41025641025641002</v>
      </c>
      <c r="F3872">
        <v>0.83074348132582398</v>
      </c>
      <c r="G3872">
        <v>780.10715079307499</v>
      </c>
      <c r="H3872">
        <v>106</v>
      </c>
      <c r="I3872">
        <v>120</v>
      </c>
      <c r="J3872">
        <v>30</v>
      </c>
    </row>
    <row r="3873" spans="1:10" x14ac:dyDescent="0.25">
      <c r="A3873" t="s">
        <v>24</v>
      </c>
      <c r="B3873" t="s">
        <v>11</v>
      </c>
      <c r="C3873" t="s">
        <v>18</v>
      </c>
      <c r="D3873" t="s">
        <v>17</v>
      </c>
      <c r="E3873">
        <v>0.38186813186813101</v>
      </c>
      <c r="F3873">
        <v>0.816891491108516</v>
      </c>
      <c r="G3873">
        <v>809.08459687232903</v>
      </c>
      <c r="H3873">
        <v>134</v>
      </c>
      <c r="I3873">
        <v>149</v>
      </c>
      <c r="J3873">
        <v>30</v>
      </c>
    </row>
    <row r="3874" spans="1:10" x14ac:dyDescent="0.25">
      <c r="A3874" t="s">
        <v>24</v>
      </c>
      <c r="B3874" t="s">
        <v>11</v>
      </c>
      <c r="C3874" t="s">
        <v>18</v>
      </c>
      <c r="D3874" t="s">
        <v>17</v>
      </c>
      <c r="E3874">
        <v>0.35622710622710602</v>
      </c>
      <c r="F3874">
        <v>0.81422386307280203</v>
      </c>
      <c r="G3874">
        <v>821.89351558685303</v>
      </c>
      <c r="H3874">
        <v>108</v>
      </c>
      <c r="I3874">
        <v>116</v>
      </c>
      <c r="J3874">
        <v>30</v>
      </c>
    </row>
    <row r="3875" spans="1:10" x14ac:dyDescent="0.25">
      <c r="A3875" t="s">
        <v>24</v>
      </c>
      <c r="B3875" t="s">
        <v>11</v>
      </c>
      <c r="C3875" t="s">
        <v>18</v>
      </c>
      <c r="D3875" t="s">
        <v>17</v>
      </c>
      <c r="E3875">
        <v>0.41025641025641002</v>
      </c>
      <c r="F3875">
        <v>0.82724150592673895</v>
      </c>
      <c r="G3875">
        <v>829.06333088874806</v>
      </c>
      <c r="H3875">
        <v>124</v>
      </c>
      <c r="I3875">
        <v>143</v>
      </c>
      <c r="J3875">
        <v>30</v>
      </c>
    </row>
    <row r="3876" spans="1:10" x14ac:dyDescent="0.25">
      <c r="A3876" t="s">
        <v>24</v>
      </c>
      <c r="B3876" t="s">
        <v>11</v>
      </c>
      <c r="C3876" t="s">
        <v>18</v>
      </c>
      <c r="D3876" t="s">
        <v>17</v>
      </c>
      <c r="E3876">
        <v>0.36355311355311298</v>
      </c>
      <c r="F3876">
        <v>0.81846780443919398</v>
      </c>
      <c r="G3876">
        <v>841.12538552284195</v>
      </c>
      <c r="H3876">
        <v>119</v>
      </c>
      <c r="I3876">
        <v>134</v>
      </c>
      <c r="J3876">
        <v>30</v>
      </c>
    </row>
    <row r="3877" spans="1:10" x14ac:dyDescent="0.25">
      <c r="A3877" t="s">
        <v>24</v>
      </c>
      <c r="B3877" t="s">
        <v>11</v>
      </c>
      <c r="C3877" t="s">
        <v>18</v>
      </c>
      <c r="D3877" t="s">
        <v>17</v>
      </c>
      <c r="E3877">
        <v>0.41208791208791201</v>
      </c>
      <c r="F3877">
        <v>0.82895678895549396</v>
      </c>
      <c r="G3877">
        <v>843.17644095420803</v>
      </c>
      <c r="H3877">
        <v>134</v>
      </c>
      <c r="I3877">
        <v>157</v>
      </c>
      <c r="J3877">
        <v>30</v>
      </c>
    </row>
    <row r="3878" spans="1:10" x14ac:dyDescent="0.25">
      <c r="A3878" t="s">
        <v>24</v>
      </c>
      <c r="B3878" t="s">
        <v>11</v>
      </c>
      <c r="C3878" t="s">
        <v>18</v>
      </c>
      <c r="D3878" t="s">
        <v>17</v>
      </c>
      <c r="E3878">
        <v>0.379120879120879</v>
      </c>
      <c r="F3878">
        <v>0.821996928613003</v>
      </c>
      <c r="G3878">
        <v>851.97466874122597</v>
      </c>
      <c r="H3878">
        <v>91</v>
      </c>
      <c r="I3878">
        <v>108</v>
      </c>
      <c r="J3878">
        <v>30</v>
      </c>
    </row>
    <row r="3879" spans="1:10" x14ac:dyDescent="0.25">
      <c r="A3879" t="s">
        <v>24</v>
      </c>
      <c r="B3879" t="s">
        <v>11</v>
      </c>
      <c r="C3879" t="s">
        <v>18</v>
      </c>
      <c r="D3879" t="s">
        <v>17</v>
      </c>
      <c r="E3879">
        <v>0.35256410256410198</v>
      </c>
      <c r="F3879">
        <v>0.82349442835833297</v>
      </c>
      <c r="G3879">
        <v>867.61396765708901</v>
      </c>
      <c r="H3879">
        <v>93</v>
      </c>
      <c r="I3879">
        <v>108</v>
      </c>
      <c r="J3879">
        <v>30</v>
      </c>
    </row>
    <row r="3880" spans="1:10" x14ac:dyDescent="0.25">
      <c r="A3880" t="s">
        <v>24</v>
      </c>
      <c r="B3880" t="s">
        <v>11</v>
      </c>
      <c r="C3880" t="s">
        <v>18</v>
      </c>
      <c r="D3880" t="s">
        <v>17</v>
      </c>
      <c r="E3880">
        <v>0.38095238095237999</v>
      </c>
      <c r="F3880">
        <v>0.81903049030036601</v>
      </c>
      <c r="G3880">
        <v>887.48716044425896</v>
      </c>
      <c r="H3880">
        <v>126</v>
      </c>
      <c r="I3880">
        <v>140</v>
      </c>
      <c r="J3880">
        <v>30</v>
      </c>
    </row>
    <row r="3881" spans="1:10" x14ac:dyDescent="0.25">
      <c r="A3881" t="s">
        <v>24</v>
      </c>
      <c r="B3881" t="s">
        <v>11</v>
      </c>
      <c r="C3881" t="s">
        <v>18</v>
      </c>
      <c r="D3881" t="s">
        <v>17</v>
      </c>
      <c r="E3881">
        <v>0.383699633699633</v>
      </c>
      <c r="F3881">
        <v>0.83048500779963297</v>
      </c>
      <c r="G3881">
        <v>903.72123408317498</v>
      </c>
      <c r="H3881">
        <v>106</v>
      </c>
      <c r="I3881">
        <v>128</v>
      </c>
      <c r="J3881">
        <v>30</v>
      </c>
    </row>
    <row r="3882" spans="1:10" x14ac:dyDescent="0.25">
      <c r="A3882" t="s">
        <v>24</v>
      </c>
      <c r="B3882" t="s">
        <v>11</v>
      </c>
      <c r="C3882" t="s">
        <v>18</v>
      </c>
      <c r="D3882" t="s">
        <v>17</v>
      </c>
      <c r="E3882">
        <v>0.39010989010989</v>
      </c>
      <c r="F3882">
        <v>0.82010359627664797</v>
      </c>
      <c r="G3882">
        <v>915.27438330650295</v>
      </c>
      <c r="H3882">
        <v>138</v>
      </c>
      <c r="I3882">
        <v>165</v>
      </c>
      <c r="J3882">
        <v>30</v>
      </c>
    </row>
    <row r="3883" spans="1:10" x14ac:dyDescent="0.25">
      <c r="A3883" t="s">
        <v>24</v>
      </c>
      <c r="B3883" t="s">
        <v>11</v>
      </c>
      <c r="C3883" t="s">
        <v>18</v>
      </c>
      <c r="D3883" t="s">
        <v>17</v>
      </c>
      <c r="E3883">
        <v>0.38553113553113499</v>
      </c>
      <c r="F3883">
        <v>0.82118013730531103</v>
      </c>
      <c r="G3883">
        <v>923.85159444808903</v>
      </c>
      <c r="H3883">
        <v>125</v>
      </c>
      <c r="I3883">
        <v>149</v>
      </c>
      <c r="J3883">
        <v>30</v>
      </c>
    </row>
    <row r="3884" spans="1:10" x14ac:dyDescent="0.25">
      <c r="A3884" t="s">
        <v>24</v>
      </c>
      <c r="B3884" t="s">
        <v>11</v>
      </c>
      <c r="C3884" t="s">
        <v>18</v>
      </c>
      <c r="D3884" t="s">
        <v>17</v>
      </c>
      <c r="E3884">
        <v>0.38553113553113499</v>
      </c>
      <c r="F3884">
        <v>0.81432343225659298</v>
      </c>
      <c r="G3884">
        <v>944.13752675056401</v>
      </c>
      <c r="H3884">
        <v>151</v>
      </c>
      <c r="I3884">
        <v>169</v>
      </c>
      <c r="J3884">
        <v>30</v>
      </c>
    </row>
    <row r="3885" spans="1:10" x14ac:dyDescent="0.25">
      <c r="A3885" t="s">
        <v>24</v>
      </c>
      <c r="B3885" t="s">
        <v>11</v>
      </c>
      <c r="C3885" t="s">
        <v>18</v>
      </c>
      <c r="D3885" t="s">
        <v>17</v>
      </c>
      <c r="E3885">
        <v>0.40750915750915701</v>
      </c>
      <c r="F3885">
        <v>0.82463506120283803</v>
      </c>
      <c r="G3885">
        <v>979.73310065269402</v>
      </c>
      <c r="H3885">
        <v>140</v>
      </c>
      <c r="I3885">
        <v>163</v>
      </c>
      <c r="J3885">
        <v>30</v>
      </c>
    </row>
    <row r="3886" spans="1:10" x14ac:dyDescent="0.25">
      <c r="A3886" t="s">
        <v>24</v>
      </c>
      <c r="B3886" t="s">
        <v>11</v>
      </c>
      <c r="C3886" t="s">
        <v>18</v>
      </c>
      <c r="D3886" t="s">
        <v>17</v>
      </c>
      <c r="E3886">
        <v>0.43040293040292998</v>
      </c>
      <c r="F3886">
        <v>0.82857107246913797</v>
      </c>
      <c r="G3886">
        <v>1003.01327085495</v>
      </c>
      <c r="H3886">
        <v>164</v>
      </c>
      <c r="I3886">
        <v>203</v>
      </c>
      <c r="J3886">
        <v>30</v>
      </c>
    </row>
    <row r="3887" spans="1:10" x14ac:dyDescent="0.25">
      <c r="A3887" t="s">
        <v>24</v>
      </c>
      <c r="B3887" t="s">
        <v>11</v>
      </c>
      <c r="C3887" t="s">
        <v>18</v>
      </c>
      <c r="D3887" t="s">
        <v>17</v>
      </c>
      <c r="E3887">
        <v>0.45329670329670302</v>
      </c>
      <c r="F3887">
        <v>0.836915869520513</v>
      </c>
      <c r="G3887">
        <v>1032.6663389205901</v>
      </c>
      <c r="H3887">
        <v>139</v>
      </c>
      <c r="I3887">
        <v>181</v>
      </c>
      <c r="J3887">
        <v>30</v>
      </c>
    </row>
    <row r="3888" spans="1:10" x14ac:dyDescent="0.25">
      <c r="A3888" t="s">
        <v>24</v>
      </c>
      <c r="B3888" t="s">
        <v>11</v>
      </c>
      <c r="C3888" t="s">
        <v>18</v>
      </c>
      <c r="D3888" t="s">
        <v>17</v>
      </c>
      <c r="E3888">
        <v>0.41666666666666602</v>
      </c>
      <c r="F3888">
        <v>0.82194313779807704</v>
      </c>
      <c r="G3888">
        <v>1040.07997798919</v>
      </c>
      <c r="H3888">
        <v>173</v>
      </c>
      <c r="I3888">
        <v>206</v>
      </c>
      <c r="J3888">
        <v>30</v>
      </c>
    </row>
    <row r="3889" spans="1:10" x14ac:dyDescent="0.25">
      <c r="A3889" t="s">
        <v>24</v>
      </c>
      <c r="B3889" t="s">
        <v>11</v>
      </c>
      <c r="C3889" t="s">
        <v>18</v>
      </c>
      <c r="D3889" t="s">
        <v>17</v>
      </c>
      <c r="E3889">
        <v>0.49175824175824101</v>
      </c>
      <c r="F3889">
        <v>0.84065772198672095</v>
      </c>
      <c r="G3889">
        <v>1096.1534142494199</v>
      </c>
      <c r="H3889">
        <v>152</v>
      </c>
      <c r="I3889">
        <v>184</v>
      </c>
      <c r="J3889">
        <v>30</v>
      </c>
    </row>
    <row r="3890" spans="1:10" x14ac:dyDescent="0.25">
      <c r="A3890" t="s">
        <v>24</v>
      </c>
      <c r="B3890" t="s">
        <v>11</v>
      </c>
      <c r="C3890" t="s">
        <v>18</v>
      </c>
      <c r="D3890" t="s">
        <v>17</v>
      </c>
      <c r="E3890">
        <v>0.46703296703296698</v>
      </c>
      <c r="F3890">
        <v>0.83316009513571299</v>
      </c>
      <c r="G3890">
        <v>1139.3649384975399</v>
      </c>
      <c r="H3890">
        <v>180</v>
      </c>
      <c r="I3890">
        <v>221</v>
      </c>
      <c r="J3890">
        <v>30</v>
      </c>
    </row>
    <row r="3891" spans="1:10" x14ac:dyDescent="0.25">
      <c r="A3891" t="s">
        <v>24</v>
      </c>
      <c r="B3891" t="s">
        <v>11</v>
      </c>
      <c r="C3891" t="s">
        <v>18</v>
      </c>
      <c r="D3891" t="s">
        <v>17</v>
      </c>
      <c r="E3891">
        <v>0.51373626373626302</v>
      </c>
      <c r="F3891">
        <v>0.83419314360476104</v>
      </c>
      <c r="G3891">
        <v>1208.89687061309</v>
      </c>
      <c r="H3891">
        <v>239</v>
      </c>
      <c r="I3891">
        <v>296</v>
      </c>
      <c r="J3891">
        <v>30</v>
      </c>
    </row>
    <row r="3892" spans="1:10" x14ac:dyDescent="0.25">
      <c r="A3892" t="s">
        <v>24</v>
      </c>
      <c r="B3892" t="s">
        <v>11</v>
      </c>
      <c r="C3892" t="s">
        <v>18</v>
      </c>
      <c r="D3892" t="s">
        <v>17</v>
      </c>
      <c r="E3892">
        <v>0.50366300366300298</v>
      </c>
      <c r="F3892">
        <v>0.838735260079852</v>
      </c>
      <c r="G3892">
        <v>1212.4597165584501</v>
      </c>
      <c r="H3892">
        <v>199</v>
      </c>
      <c r="I3892">
        <v>242</v>
      </c>
      <c r="J3892">
        <v>30</v>
      </c>
    </row>
    <row r="3893" spans="1:10" x14ac:dyDescent="0.25">
      <c r="A3893" t="s">
        <v>24</v>
      </c>
      <c r="B3893" t="s">
        <v>11</v>
      </c>
      <c r="C3893" t="s">
        <v>18</v>
      </c>
      <c r="D3893" t="s">
        <v>17</v>
      </c>
      <c r="E3893">
        <v>0.482600732600732</v>
      </c>
      <c r="F3893">
        <v>0.83175392171721596</v>
      </c>
      <c r="G3893">
        <v>1215.9389302730499</v>
      </c>
      <c r="H3893">
        <v>205</v>
      </c>
      <c r="I3893">
        <v>259</v>
      </c>
      <c r="J3893">
        <v>30</v>
      </c>
    </row>
    <row r="3894" spans="1:10" x14ac:dyDescent="0.25">
      <c r="A3894" t="s">
        <v>24</v>
      </c>
      <c r="B3894" t="s">
        <v>11</v>
      </c>
      <c r="C3894" t="s">
        <v>18</v>
      </c>
      <c r="D3894" t="s">
        <v>17</v>
      </c>
      <c r="E3894">
        <v>0.53113553113553102</v>
      </c>
      <c r="F3894">
        <v>0.84814003603791099</v>
      </c>
      <c r="G3894">
        <v>1225.2477283477699</v>
      </c>
      <c r="H3894">
        <v>188</v>
      </c>
      <c r="I3894">
        <v>241</v>
      </c>
      <c r="J3894">
        <v>30</v>
      </c>
    </row>
    <row r="3895" spans="1:10" x14ac:dyDescent="0.25">
      <c r="A3895" t="s">
        <v>24</v>
      </c>
      <c r="B3895" t="s">
        <v>11</v>
      </c>
      <c r="C3895" t="s">
        <v>18</v>
      </c>
      <c r="D3895" t="s">
        <v>17</v>
      </c>
      <c r="E3895">
        <v>0.53937728937728902</v>
      </c>
      <c r="F3895">
        <v>0.84696817431685001</v>
      </c>
      <c r="G3895">
        <v>1252.9811353683399</v>
      </c>
      <c r="H3895">
        <v>261</v>
      </c>
      <c r="I3895">
        <v>324</v>
      </c>
      <c r="J3895">
        <v>30</v>
      </c>
    </row>
    <row r="3896" spans="1:10" x14ac:dyDescent="0.25">
      <c r="A3896" t="s">
        <v>24</v>
      </c>
      <c r="B3896" t="s">
        <v>11</v>
      </c>
      <c r="C3896" t="s">
        <v>18</v>
      </c>
      <c r="D3896" t="s">
        <v>17</v>
      </c>
      <c r="E3896">
        <v>0.58241758241758201</v>
      </c>
      <c r="F3896">
        <v>0.85168837345695902</v>
      </c>
      <c r="G3896">
        <v>1259.2863111495899</v>
      </c>
      <c r="H3896">
        <v>308</v>
      </c>
      <c r="I3896">
        <v>370</v>
      </c>
      <c r="J3896">
        <v>30</v>
      </c>
    </row>
    <row r="3897" spans="1:10" x14ac:dyDescent="0.25">
      <c r="A3897" t="s">
        <v>24</v>
      </c>
      <c r="B3897" t="s">
        <v>11</v>
      </c>
      <c r="C3897" t="s">
        <v>18</v>
      </c>
      <c r="D3897" t="s">
        <v>17</v>
      </c>
      <c r="E3897">
        <v>0.53754578754578697</v>
      </c>
      <c r="F3897">
        <v>0.84954605380375403</v>
      </c>
      <c r="G3897">
        <v>1270.47672724723</v>
      </c>
      <c r="H3897">
        <v>280</v>
      </c>
      <c r="I3897">
        <v>333</v>
      </c>
      <c r="J3897">
        <v>30</v>
      </c>
    </row>
    <row r="3898" spans="1:10" x14ac:dyDescent="0.25">
      <c r="A3898" t="s">
        <v>24</v>
      </c>
      <c r="B3898" t="s">
        <v>11</v>
      </c>
      <c r="C3898" t="s">
        <v>18</v>
      </c>
      <c r="D3898" t="s">
        <v>17</v>
      </c>
      <c r="E3898">
        <v>0.53846153846153799</v>
      </c>
      <c r="F3898">
        <v>0.84419941685558597</v>
      </c>
      <c r="G3898">
        <v>1280.97449183464</v>
      </c>
      <c r="H3898">
        <v>269</v>
      </c>
      <c r="I3898">
        <v>335</v>
      </c>
      <c r="J3898">
        <v>30</v>
      </c>
    </row>
    <row r="3899" spans="1:10" x14ac:dyDescent="0.25">
      <c r="A3899" t="s">
        <v>24</v>
      </c>
      <c r="B3899" t="s">
        <v>11</v>
      </c>
      <c r="C3899" t="s">
        <v>18</v>
      </c>
      <c r="D3899" t="s">
        <v>17</v>
      </c>
      <c r="E3899">
        <v>0.55860805860805796</v>
      </c>
      <c r="F3899">
        <v>0.84601209526309495</v>
      </c>
      <c r="G3899">
        <v>1284.4499809741901</v>
      </c>
      <c r="H3899">
        <v>286</v>
      </c>
      <c r="I3899">
        <v>362</v>
      </c>
      <c r="J3899">
        <v>30</v>
      </c>
    </row>
    <row r="3900" spans="1:10" x14ac:dyDescent="0.25">
      <c r="A3900" t="s">
        <v>24</v>
      </c>
      <c r="B3900" t="s">
        <v>11</v>
      </c>
      <c r="C3900" t="s">
        <v>18</v>
      </c>
      <c r="D3900" t="s">
        <v>17</v>
      </c>
      <c r="E3900">
        <v>0.64926739926739896</v>
      </c>
      <c r="F3900">
        <v>0.85846509848415697</v>
      </c>
      <c r="G3900">
        <v>1315.78070306777</v>
      </c>
      <c r="H3900">
        <v>438</v>
      </c>
      <c r="I3900">
        <v>520</v>
      </c>
      <c r="J3900">
        <v>30</v>
      </c>
    </row>
    <row r="3901" spans="1:10" x14ac:dyDescent="0.25">
      <c r="A3901" t="s">
        <v>24</v>
      </c>
      <c r="B3901" t="s">
        <v>11</v>
      </c>
      <c r="C3901" t="s">
        <v>18</v>
      </c>
      <c r="D3901" t="s">
        <v>17</v>
      </c>
      <c r="E3901">
        <v>0.694139194139194</v>
      </c>
      <c r="F3901">
        <v>0.86436844762481602</v>
      </c>
      <c r="G3901">
        <v>1330.7689583301501</v>
      </c>
      <c r="H3901">
        <v>537</v>
      </c>
      <c r="I3901">
        <v>639</v>
      </c>
      <c r="J3901">
        <v>30</v>
      </c>
    </row>
    <row r="3902" spans="1:10" x14ac:dyDescent="0.25">
      <c r="A3902" t="s">
        <v>24</v>
      </c>
      <c r="B3902" t="s">
        <v>19</v>
      </c>
      <c r="C3902" t="s">
        <v>12</v>
      </c>
      <c r="D3902" t="s">
        <v>13</v>
      </c>
      <c r="E3902">
        <v>0.99450549450549397</v>
      </c>
      <c r="F3902">
        <v>0.99434485124001804</v>
      </c>
      <c r="G3902">
        <v>147.21727395057599</v>
      </c>
      <c r="H3902">
        <v>27</v>
      </c>
      <c r="I3902">
        <v>35</v>
      </c>
      <c r="J3902">
        <v>30</v>
      </c>
    </row>
    <row r="3903" spans="1:10" x14ac:dyDescent="0.25">
      <c r="A3903" t="s">
        <v>24</v>
      </c>
      <c r="B3903" t="s">
        <v>19</v>
      </c>
      <c r="C3903" t="s">
        <v>12</v>
      </c>
      <c r="D3903" t="s">
        <v>13</v>
      </c>
      <c r="E3903">
        <v>0.99542124542124499</v>
      </c>
      <c r="F3903">
        <v>0.994999730440293</v>
      </c>
      <c r="G3903">
        <v>151.783091068267</v>
      </c>
      <c r="H3903">
        <v>27</v>
      </c>
      <c r="I3903">
        <v>39</v>
      </c>
      <c r="J3903">
        <v>30</v>
      </c>
    </row>
    <row r="3904" spans="1:10" x14ac:dyDescent="0.25">
      <c r="A3904" t="s">
        <v>24</v>
      </c>
      <c r="B3904" t="s">
        <v>19</v>
      </c>
      <c r="C3904" t="s">
        <v>12</v>
      </c>
      <c r="D3904" t="s">
        <v>13</v>
      </c>
      <c r="E3904">
        <v>0.98809523809523803</v>
      </c>
      <c r="F3904">
        <v>0.98854930744249003</v>
      </c>
      <c r="G3904">
        <v>152.77180433273301</v>
      </c>
      <c r="H3904">
        <v>28</v>
      </c>
      <c r="I3904">
        <v>40</v>
      </c>
      <c r="J3904">
        <v>30</v>
      </c>
    </row>
    <row r="3905" spans="1:10" x14ac:dyDescent="0.25">
      <c r="A3905" t="s">
        <v>24</v>
      </c>
      <c r="B3905" t="s">
        <v>19</v>
      </c>
      <c r="C3905" t="s">
        <v>12</v>
      </c>
      <c r="D3905" t="s">
        <v>13</v>
      </c>
      <c r="E3905">
        <v>0.99175824175824101</v>
      </c>
      <c r="F3905">
        <v>0.99206967423388204</v>
      </c>
      <c r="G3905">
        <v>157.71090960502599</v>
      </c>
      <c r="H3905">
        <v>30</v>
      </c>
      <c r="I3905">
        <v>41</v>
      </c>
      <c r="J3905">
        <v>30</v>
      </c>
    </row>
    <row r="3906" spans="1:10" x14ac:dyDescent="0.25">
      <c r="A3906" t="s">
        <v>24</v>
      </c>
      <c r="B3906" t="s">
        <v>19</v>
      </c>
      <c r="C3906" t="s">
        <v>12</v>
      </c>
      <c r="D3906" t="s">
        <v>13</v>
      </c>
      <c r="E3906">
        <v>0.99267399267399203</v>
      </c>
      <c r="F3906">
        <v>0.99314632765796695</v>
      </c>
      <c r="G3906">
        <v>158.794849872589</v>
      </c>
      <c r="H3906">
        <v>28</v>
      </c>
      <c r="I3906">
        <v>42</v>
      </c>
      <c r="J3906">
        <v>30</v>
      </c>
    </row>
    <row r="3907" spans="1:10" x14ac:dyDescent="0.25">
      <c r="A3907" t="s">
        <v>24</v>
      </c>
      <c r="B3907" t="s">
        <v>19</v>
      </c>
      <c r="C3907" t="s">
        <v>12</v>
      </c>
      <c r="D3907" t="s">
        <v>13</v>
      </c>
      <c r="E3907">
        <v>0.99542124542124499</v>
      </c>
      <c r="F3907">
        <v>0.99520819143653805</v>
      </c>
      <c r="G3907">
        <v>160.531187057495</v>
      </c>
      <c r="H3907">
        <v>28</v>
      </c>
      <c r="I3907">
        <v>40</v>
      </c>
      <c r="J3907">
        <v>30</v>
      </c>
    </row>
    <row r="3908" spans="1:10" x14ac:dyDescent="0.25">
      <c r="A3908" t="s">
        <v>24</v>
      </c>
      <c r="B3908" t="s">
        <v>19</v>
      </c>
      <c r="C3908" t="s">
        <v>12</v>
      </c>
      <c r="D3908" t="s">
        <v>13</v>
      </c>
      <c r="E3908">
        <v>0.98443223443223404</v>
      </c>
      <c r="F3908">
        <v>0.986669772534981</v>
      </c>
      <c r="G3908">
        <v>162.365285634994</v>
      </c>
      <c r="H3908">
        <v>29</v>
      </c>
      <c r="I3908">
        <v>41</v>
      </c>
      <c r="J3908">
        <v>30</v>
      </c>
    </row>
    <row r="3909" spans="1:10" x14ac:dyDescent="0.25">
      <c r="A3909" t="s">
        <v>24</v>
      </c>
      <c r="B3909" t="s">
        <v>19</v>
      </c>
      <c r="C3909" t="s">
        <v>12</v>
      </c>
      <c r="D3909" t="s">
        <v>13</v>
      </c>
      <c r="E3909">
        <v>0.99084249084248999</v>
      </c>
      <c r="F3909">
        <v>0.99153434872893698</v>
      </c>
      <c r="G3909">
        <v>167.93662834167401</v>
      </c>
      <c r="H3909">
        <v>29</v>
      </c>
      <c r="I3909">
        <v>40</v>
      </c>
      <c r="J3909">
        <v>30</v>
      </c>
    </row>
    <row r="3910" spans="1:10" x14ac:dyDescent="0.25">
      <c r="A3910" t="s">
        <v>24</v>
      </c>
      <c r="B3910" t="s">
        <v>19</v>
      </c>
      <c r="C3910" t="s">
        <v>12</v>
      </c>
      <c r="D3910" t="s">
        <v>13</v>
      </c>
      <c r="E3910">
        <v>0.98992673992673996</v>
      </c>
      <c r="F3910">
        <v>0.989853697037271</v>
      </c>
      <c r="G3910">
        <v>171.60612678527801</v>
      </c>
      <c r="H3910">
        <v>30</v>
      </c>
      <c r="I3910">
        <v>41</v>
      </c>
      <c r="J3910">
        <v>30</v>
      </c>
    </row>
    <row r="3911" spans="1:10" x14ac:dyDescent="0.25">
      <c r="A3911" t="s">
        <v>24</v>
      </c>
      <c r="B3911" t="s">
        <v>19</v>
      </c>
      <c r="C3911" t="s">
        <v>12</v>
      </c>
      <c r="D3911" t="s">
        <v>13</v>
      </c>
      <c r="E3911">
        <v>0.99358974358974295</v>
      </c>
      <c r="F3911">
        <v>0.99433966807014595</v>
      </c>
      <c r="G3911">
        <v>171.76524162292401</v>
      </c>
      <c r="H3911">
        <v>30</v>
      </c>
      <c r="I3911">
        <v>46</v>
      </c>
      <c r="J3911">
        <v>30</v>
      </c>
    </row>
    <row r="3912" spans="1:10" x14ac:dyDescent="0.25">
      <c r="A3912" t="s">
        <v>24</v>
      </c>
      <c r="B3912" t="s">
        <v>19</v>
      </c>
      <c r="C3912" t="s">
        <v>12</v>
      </c>
      <c r="D3912" t="s">
        <v>13</v>
      </c>
      <c r="E3912">
        <v>0.99358974358974295</v>
      </c>
      <c r="F3912">
        <v>0.99434552656978004</v>
      </c>
      <c r="G3912">
        <v>174.36416888237</v>
      </c>
      <c r="H3912">
        <v>28</v>
      </c>
      <c r="I3912">
        <v>40</v>
      </c>
      <c r="J3912">
        <v>30</v>
      </c>
    </row>
    <row r="3913" spans="1:10" x14ac:dyDescent="0.25">
      <c r="A3913" t="s">
        <v>24</v>
      </c>
      <c r="B3913" t="s">
        <v>19</v>
      </c>
      <c r="C3913" t="s">
        <v>12</v>
      </c>
      <c r="D3913" t="s">
        <v>13</v>
      </c>
      <c r="E3913">
        <v>0.99816849816849795</v>
      </c>
      <c r="F3913">
        <v>0.99727072086217905</v>
      </c>
      <c r="G3913">
        <v>174.89126038551299</v>
      </c>
      <c r="H3913">
        <v>27</v>
      </c>
      <c r="I3913">
        <v>40</v>
      </c>
      <c r="J3913">
        <v>30</v>
      </c>
    </row>
    <row r="3914" spans="1:10" x14ac:dyDescent="0.25">
      <c r="A3914" t="s">
        <v>24</v>
      </c>
      <c r="B3914" t="s">
        <v>19</v>
      </c>
      <c r="C3914" t="s">
        <v>12</v>
      </c>
      <c r="D3914" t="s">
        <v>13</v>
      </c>
      <c r="E3914">
        <v>0.98992673992673996</v>
      </c>
      <c r="F3914">
        <v>0.99035082099313199</v>
      </c>
      <c r="G3914">
        <v>174.37608766555701</v>
      </c>
      <c r="H3914">
        <v>31</v>
      </c>
      <c r="I3914">
        <v>43</v>
      </c>
      <c r="J3914">
        <v>30</v>
      </c>
    </row>
    <row r="3915" spans="1:10" x14ac:dyDescent="0.25">
      <c r="A3915" t="s">
        <v>24</v>
      </c>
      <c r="B3915" t="s">
        <v>19</v>
      </c>
      <c r="C3915" t="s">
        <v>12</v>
      </c>
      <c r="D3915" t="s">
        <v>13</v>
      </c>
      <c r="E3915">
        <v>0.99542124542124499</v>
      </c>
      <c r="F3915">
        <v>0.99572675574276504</v>
      </c>
      <c r="G3915">
        <v>175.35520362854001</v>
      </c>
      <c r="H3915">
        <v>29</v>
      </c>
      <c r="I3915">
        <v>41</v>
      </c>
      <c r="J3915">
        <v>30</v>
      </c>
    </row>
    <row r="3916" spans="1:10" x14ac:dyDescent="0.25">
      <c r="A3916" t="s">
        <v>24</v>
      </c>
      <c r="B3916" t="s">
        <v>19</v>
      </c>
      <c r="C3916" t="s">
        <v>12</v>
      </c>
      <c r="D3916" t="s">
        <v>13</v>
      </c>
      <c r="E3916">
        <v>0.99450549450549397</v>
      </c>
      <c r="F3916">
        <v>0.99457340061868105</v>
      </c>
      <c r="G3916">
        <v>175.63372516632</v>
      </c>
      <c r="H3916">
        <v>29</v>
      </c>
      <c r="I3916">
        <v>41</v>
      </c>
      <c r="J3916">
        <v>30</v>
      </c>
    </row>
    <row r="3917" spans="1:10" x14ac:dyDescent="0.25">
      <c r="A3917" t="s">
        <v>24</v>
      </c>
      <c r="B3917" t="s">
        <v>19</v>
      </c>
      <c r="C3917" t="s">
        <v>12</v>
      </c>
      <c r="D3917" t="s">
        <v>13</v>
      </c>
      <c r="E3917">
        <v>0.99358974358974295</v>
      </c>
      <c r="F3917">
        <v>0.99269614048186805</v>
      </c>
      <c r="G3917">
        <v>175.69416809082</v>
      </c>
      <c r="H3917">
        <v>29</v>
      </c>
      <c r="I3917">
        <v>40</v>
      </c>
      <c r="J3917">
        <v>30</v>
      </c>
    </row>
    <row r="3918" spans="1:10" x14ac:dyDescent="0.25">
      <c r="A3918" t="s">
        <v>24</v>
      </c>
      <c r="B3918" t="s">
        <v>19</v>
      </c>
      <c r="C3918" t="s">
        <v>12</v>
      </c>
      <c r="D3918" t="s">
        <v>13</v>
      </c>
      <c r="E3918">
        <v>0.99084249084248999</v>
      </c>
      <c r="F3918">
        <v>0.99189959366208702</v>
      </c>
      <c r="G3918">
        <v>176.78703331947301</v>
      </c>
      <c r="H3918">
        <v>27</v>
      </c>
      <c r="I3918">
        <v>40</v>
      </c>
      <c r="J3918">
        <v>30</v>
      </c>
    </row>
    <row r="3919" spans="1:10" x14ac:dyDescent="0.25">
      <c r="A3919" t="s">
        <v>24</v>
      </c>
      <c r="B3919" t="s">
        <v>19</v>
      </c>
      <c r="C3919" t="s">
        <v>12</v>
      </c>
      <c r="D3919" t="s">
        <v>13</v>
      </c>
      <c r="E3919">
        <v>0.987179487179487</v>
      </c>
      <c r="F3919">
        <v>0.98820136777097001</v>
      </c>
      <c r="G3919">
        <v>175.962686538696</v>
      </c>
      <c r="H3919">
        <v>28</v>
      </c>
      <c r="I3919">
        <v>39</v>
      </c>
      <c r="J3919">
        <v>30</v>
      </c>
    </row>
    <row r="3920" spans="1:10" x14ac:dyDescent="0.25">
      <c r="A3920" t="s">
        <v>24</v>
      </c>
      <c r="B3920" t="s">
        <v>19</v>
      </c>
      <c r="C3920" t="s">
        <v>12</v>
      </c>
      <c r="D3920" t="s">
        <v>13</v>
      </c>
      <c r="E3920">
        <v>0.98901098901098905</v>
      </c>
      <c r="F3920">
        <v>0.99018979137435903</v>
      </c>
      <c r="G3920">
        <v>176.86604976653999</v>
      </c>
      <c r="H3920">
        <v>32</v>
      </c>
      <c r="I3920">
        <v>45</v>
      </c>
      <c r="J3920">
        <v>30</v>
      </c>
    </row>
    <row r="3921" spans="1:10" x14ac:dyDescent="0.25">
      <c r="A3921" t="s">
        <v>24</v>
      </c>
      <c r="B3921" t="s">
        <v>19</v>
      </c>
      <c r="C3921" t="s">
        <v>12</v>
      </c>
      <c r="D3921" t="s">
        <v>13</v>
      </c>
      <c r="E3921">
        <v>0.98809523809523803</v>
      </c>
      <c r="F3921">
        <v>0.98801595313031099</v>
      </c>
      <c r="G3921">
        <v>178.00461578369101</v>
      </c>
      <c r="H3921">
        <v>28</v>
      </c>
      <c r="I3921">
        <v>41</v>
      </c>
      <c r="J3921">
        <v>30</v>
      </c>
    </row>
    <row r="3922" spans="1:10" x14ac:dyDescent="0.25">
      <c r="A3922" t="s">
        <v>24</v>
      </c>
      <c r="B3922" t="s">
        <v>19</v>
      </c>
      <c r="C3922" t="s">
        <v>12</v>
      </c>
      <c r="D3922" t="s">
        <v>13</v>
      </c>
      <c r="E3922">
        <v>0.98992673992673996</v>
      </c>
      <c r="F3922">
        <v>0.99015433781483497</v>
      </c>
      <c r="G3922">
        <v>177.64707493782001</v>
      </c>
      <c r="H3922">
        <v>30</v>
      </c>
      <c r="I3922">
        <v>39</v>
      </c>
      <c r="J3922">
        <v>30</v>
      </c>
    </row>
    <row r="3923" spans="1:10" x14ac:dyDescent="0.25">
      <c r="A3923" t="s">
        <v>24</v>
      </c>
      <c r="B3923" t="s">
        <v>19</v>
      </c>
      <c r="C3923" t="s">
        <v>12</v>
      </c>
      <c r="D3923" t="s">
        <v>13</v>
      </c>
      <c r="E3923">
        <v>0.99450549450549397</v>
      </c>
      <c r="F3923">
        <v>0.99552594181575005</v>
      </c>
      <c r="G3923">
        <v>177.90361261367701</v>
      </c>
      <c r="H3923">
        <v>28</v>
      </c>
      <c r="I3923">
        <v>41</v>
      </c>
      <c r="J3923">
        <v>30</v>
      </c>
    </row>
    <row r="3924" spans="1:10" x14ac:dyDescent="0.25">
      <c r="A3924" t="s">
        <v>24</v>
      </c>
      <c r="B3924" t="s">
        <v>19</v>
      </c>
      <c r="C3924" t="s">
        <v>12</v>
      </c>
      <c r="D3924" t="s">
        <v>13</v>
      </c>
      <c r="E3924">
        <v>0.99175824175824101</v>
      </c>
      <c r="F3924">
        <v>0.99123066295567697</v>
      </c>
      <c r="G3924">
        <v>180.761052846908</v>
      </c>
      <c r="H3924">
        <v>30</v>
      </c>
      <c r="I3924">
        <v>44</v>
      </c>
      <c r="J3924">
        <v>30</v>
      </c>
    </row>
    <row r="3925" spans="1:10" x14ac:dyDescent="0.25">
      <c r="A3925" t="s">
        <v>24</v>
      </c>
      <c r="B3925" t="s">
        <v>19</v>
      </c>
      <c r="C3925" t="s">
        <v>12</v>
      </c>
      <c r="D3925" t="s">
        <v>13</v>
      </c>
      <c r="E3925">
        <v>0.98901098901098905</v>
      </c>
      <c r="F3925">
        <v>0.98905525465613497</v>
      </c>
      <c r="G3925">
        <v>180.93365716934201</v>
      </c>
      <c r="H3925">
        <v>31</v>
      </c>
      <c r="I3925">
        <v>42</v>
      </c>
      <c r="J3925">
        <v>30</v>
      </c>
    </row>
    <row r="3926" spans="1:10" x14ac:dyDescent="0.25">
      <c r="A3926" t="s">
        <v>24</v>
      </c>
      <c r="B3926" t="s">
        <v>19</v>
      </c>
      <c r="C3926" t="s">
        <v>12</v>
      </c>
      <c r="D3926" t="s">
        <v>13</v>
      </c>
      <c r="E3926">
        <v>0.987179487179487</v>
      </c>
      <c r="F3926">
        <v>0.989911316828754</v>
      </c>
      <c r="G3926">
        <v>180.43299603462199</v>
      </c>
      <c r="H3926">
        <v>31</v>
      </c>
      <c r="I3926">
        <v>43</v>
      </c>
      <c r="J3926">
        <v>30</v>
      </c>
    </row>
    <row r="3927" spans="1:10" x14ac:dyDescent="0.25">
      <c r="A3927" t="s">
        <v>24</v>
      </c>
      <c r="B3927" t="s">
        <v>19</v>
      </c>
      <c r="C3927" t="s">
        <v>12</v>
      </c>
      <c r="D3927" t="s">
        <v>13</v>
      </c>
      <c r="E3927">
        <v>0.99084249084248999</v>
      </c>
      <c r="F3927">
        <v>0.99124163207976201</v>
      </c>
      <c r="G3927">
        <v>182.90496230125399</v>
      </c>
      <c r="H3927">
        <v>27</v>
      </c>
      <c r="I3927">
        <v>40</v>
      </c>
      <c r="J3927">
        <v>30</v>
      </c>
    </row>
    <row r="3928" spans="1:10" x14ac:dyDescent="0.25">
      <c r="A3928" t="s">
        <v>24</v>
      </c>
      <c r="B3928" t="s">
        <v>19</v>
      </c>
      <c r="C3928" t="s">
        <v>12</v>
      </c>
      <c r="D3928" t="s">
        <v>13</v>
      </c>
      <c r="E3928">
        <v>0.98992673992673996</v>
      </c>
      <c r="F3928">
        <v>0.98968603146730705</v>
      </c>
      <c r="G3928">
        <v>182.955821037292</v>
      </c>
      <c r="H3928">
        <v>31</v>
      </c>
      <c r="I3928">
        <v>41</v>
      </c>
      <c r="J3928">
        <v>30</v>
      </c>
    </row>
    <row r="3929" spans="1:10" x14ac:dyDescent="0.25">
      <c r="A3929" t="s">
        <v>24</v>
      </c>
      <c r="B3929" t="s">
        <v>19</v>
      </c>
      <c r="C3929" t="s">
        <v>12</v>
      </c>
      <c r="D3929" t="s">
        <v>13</v>
      </c>
      <c r="E3929">
        <v>0.98809523809523803</v>
      </c>
      <c r="F3929">
        <v>0.98980605256565901</v>
      </c>
      <c r="G3929">
        <v>182.35014653205801</v>
      </c>
      <c r="H3929">
        <v>32</v>
      </c>
      <c r="I3929">
        <v>41</v>
      </c>
      <c r="J3929">
        <v>30</v>
      </c>
    </row>
    <row r="3930" spans="1:10" x14ac:dyDescent="0.25">
      <c r="A3930" t="s">
        <v>24</v>
      </c>
      <c r="B3930" t="s">
        <v>19</v>
      </c>
      <c r="C3930" t="s">
        <v>12</v>
      </c>
      <c r="D3930" t="s">
        <v>13</v>
      </c>
      <c r="E3930">
        <v>0.98992673992673996</v>
      </c>
      <c r="F3930">
        <v>0.99048787758104395</v>
      </c>
      <c r="G3930">
        <v>183.93659710884</v>
      </c>
      <c r="H3930">
        <v>31</v>
      </c>
      <c r="I3930">
        <v>46</v>
      </c>
      <c r="J3930">
        <v>30</v>
      </c>
    </row>
    <row r="3931" spans="1:10" x14ac:dyDescent="0.25">
      <c r="A3931" t="s">
        <v>24</v>
      </c>
      <c r="B3931" t="s">
        <v>19</v>
      </c>
      <c r="C3931" t="s">
        <v>12</v>
      </c>
      <c r="D3931" t="s">
        <v>13</v>
      </c>
      <c r="E3931">
        <v>0.98809523809523803</v>
      </c>
      <c r="F3931">
        <v>0.98836957068772902</v>
      </c>
      <c r="G3931">
        <v>184.32736158370901</v>
      </c>
      <c r="H3931">
        <v>31</v>
      </c>
      <c r="I3931">
        <v>46</v>
      </c>
      <c r="J3931">
        <v>30</v>
      </c>
    </row>
    <row r="3932" spans="1:10" x14ac:dyDescent="0.25">
      <c r="A3932" t="s">
        <v>24</v>
      </c>
      <c r="B3932" t="s">
        <v>19</v>
      </c>
      <c r="C3932" t="s">
        <v>12</v>
      </c>
      <c r="D3932" t="s">
        <v>14</v>
      </c>
      <c r="E3932">
        <v>0.70512820512820495</v>
      </c>
      <c r="F3932">
        <v>0.89305162204322197</v>
      </c>
      <c r="G3932">
        <v>17.723346233367899</v>
      </c>
      <c r="H3932">
        <v>11</v>
      </c>
      <c r="I3932">
        <v>11</v>
      </c>
      <c r="J3932">
        <v>30</v>
      </c>
    </row>
    <row r="3933" spans="1:10" x14ac:dyDescent="0.25">
      <c r="A3933" t="s">
        <v>24</v>
      </c>
      <c r="B3933" t="s">
        <v>19</v>
      </c>
      <c r="C3933" t="s">
        <v>12</v>
      </c>
      <c r="D3933" t="s">
        <v>14</v>
      </c>
      <c r="E3933">
        <v>0.94322344322344298</v>
      </c>
      <c r="F3933">
        <v>0.94893477976437701</v>
      </c>
      <c r="G3933">
        <v>18.5527565479278</v>
      </c>
      <c r="H3933">
        <v>18</v>
      </c>
      <c r="I3933">
        <v>17</v>
      </c>
      <c r="J3933">
        <v>30</v>
      </c>
    </row>
    <row r="3934" spans="1:10" x14ac:dyDescent="0.25">
      <c r="A3934" t="s">
        <v>24</v>
      </c>
      <c r="B3934" t="s">
        <v>19</v>
      </c>
      <c r="C3934" t="s">
        <v>12</v>
      </c>
      <c r="D3934" t="s">
        <v>14</v>
      </c>
      <c r="E3934">
        <v>0.719780219780219</v>
      </c>
      <c r="F3934">
        <v>0.89721927296428505</v>
      </c>
      <c r="G3934">
        <v>22.624277591705301</v>
      </c>
      <c r="H3934">
        <v>12</v>
      </c>
      <c r="I3934">
        <v>12</v>
      </c>
      <c r="J3934">
        <v>30</v>
      </c>
    </row>
    <row r="3935" spans="1:10" x14ac:dyDescent="0.25">
      <c r="A3935" t="s">
        <v>24</v>
      </c>
      <c r="B3935" t="s">
        <v>19</v>
      </c>
      <c r="C3935" t="s">
        <v>12</v>
      </c>
      <c r="D3935" t="s">
        <v>14</v>
      </c>
      <c r="E3935">
        <v>0.939560439560439</v>
      </c>
      <c r="F3935">
        <v>0.94629781986941297</v>
      </c>
      <c r="G3935">
        <v>23.488514184951701</v>
      </c>
      <c r="H3935">
        <v>18</v>
      </c>
      <c r="I3935">
        <v>18</v>
      </c>
      <c r="J3935">
        <v>30</v>
      </c>
    </row>
    <row r="3936" spans="1:10" x14ac:dyDescent="0.25">
      <c r="A3936" t="s">
        <v>24</v>
      </c>
      <c r="B3936" t="s">
        <v>19</v>
      </c>
      <c r="C3936" t="s">
        <v>12</v>
      </c>
      <c r="D3936" t="s">
        <v>14</v>
      </c>
      <c r="E3936">
        <v>0.69139194139194105</v>
      </c>
      <c r="F3936">
        <v>0.88834690851611797</v>
      </c>
      <c r="G3936">
        <v>24.312406063079798</v>
      </c>
      <c r="H3936">
        <v>12</v>
      </c>
      <c r="I3936">
        <v>12</v>
      </c>
      <c r="J3936">
        <v>30</v>
      </c>
    </row>
    <row r="3937" spans="1:10" x14ac:dyDescent="0.25">
      <c r="A3937" t="s">
        <v>24</v>
      </c>
      <c r="B3937" t="s">
        <v>19</v>
      </c>
      <c r="C3937" t="s">
        <v>12</v>
      </c>
      <c r="D3937" t="s">
        <v>14</v>
      </c>
      <c r="E3937">
        <v>0.70146520146520097</v>
      </c>
      <c r="F3937">
        <v>0.88159155963818803</v>
      </c>
      <c r="G3937">
        <v>24.379937171936</v>
      </c>
      <c r="H3937">
        <v>12</v>
      </c>
      <c r="I3937">
        <v>12</v>
      </c>
      <c r="J3937">
        <v>30</v>
      </c>
    </row>
    <row r="3938" spans="1:10" x14ac:dyDescent="0.25">
      <c r="A3938" t="s">
        <v>24</v>
      </c>
      <c r="B3938" t="s">
        <v>19</v>
      </c>
      <c r="C3938" t="s">
        <v>12</v>
      </c>
      <c r="D3938" t="s">
        <v>14</v>
      </c>
      <c r="E3938">
        <v>0.93223443223443203</v>
      </c>
      <c r="F3938">
        <v>0.94056302881355203</v>
      </c>
      <c r="G3938">
        <v>24.3189389705657</v>
      </c>
      <c r="H3938">
        <v>16</v>
      </c>
      <c r="I3938">
        <v>16</v>
      </c>
      <c r="J3938">
        <v>30</v>
      </c>
    </row>
    <row r="3939" spans="1:10" x14ac:dyDescent="0.25">
      <c r="A3939" t="s">
        <v>24</v>
      </c>
      <c r="B3939" t="s">
        <v>19</v>
      </c>
      <c r="C3939" t="s">
        <v>12</v>
      </c>
      <c r="D3939" t="s">
        <v>14</v>
      </c>
      <c r="E3939">
        <v>0.73443223443223404</v>
      </c>
      <c r="F3939">
        <v>0.89935111524212297</v>
      </c>
      <c r="G3939">
        <v>24.722062587738002</v>
      </c>
      <c r="H3939">
        <v>12</v>
      </c>
      <c r="I3939">
        <v>12</v>
      </c>
      <c r="J3939">
        <v>30</v>
      </c>
    </row>
    <row r="3940" spans="1:10" x14ac:dyDescent="0.25">
      <c r="A3940" t="s">
        <v>24</v>
      </c>
      <c r="B3940" t="s">
        <v>19</v>
      </c>
      <c r="C3940" t="s">
        <v>12</v>
      </c>
      <c r="D3940" t="s">
        <v>14</v>
      </c>
      <c r="E3940">
        <v>0.94780219780219699</v>
      </c>
      <c r="F3940">
        <v>0.95206787169368101</v>
      </c>
      <c r="G3940">
        <v>25.081525564193701</v>
      </c>
      <c r="H3940">
        <v>16</v>
      </c>
      <c r="I3940">
        <v>15</v>
      </c>
      <c r="J3940">
        <v>30</v>
      </c>
    </row>
    <row r="3941" spans="1:10" x14ac:dyDescent="0.25">
      <c r="A3941" t="s">
        <v>24</v>
      </c>
      <c r="B3941" t="s">
        <v>19</v>
      </c>
      <c r="C3941" t="s">
        <v>12</v>
      </c>
      <c r="D3941" t="s">
        <v>14</v>
      </c>
      <c r="E3941">
        <v>0.69780219780219699</v>
      </c>
      <c r="F3941">
        <v>0.88918075241098804</v>
      </c>
      <c r="G3941">
        <v>25.358240365981999</v>
      </c>
      <c r="H3941">
        <v>12</v>
      </c>
      <c r="I3941">
        <v>12</v>
      </c>
      <c r="J3941">
        <v>30</v>
      </c>
    </row>
    <row r="3942" spans="1:10" x14ac:dyDescent="0.25">
      <c r="A3942" t="s">
        <v>24</v>
      </c>
      <c r="B3942" t="s">
        <v>19</v>
      </c>
      <c r="C3942" t="s">
        <v>12</v>
      </c>
      <c r="D3942" t="s">
        <v>14</v>
      </c>
      <c r="E3942">
        <v>0.94322344322344298</v>
      </c>
      <c r="F3942">
        <v>0.94967012175924903</v>
      </c>
      <c r="G3942">
        <v>25.443718194961502</v>
      </c>
      <c r="H3942">
        <v>18</v>
      </c>
      <c r="I3942">
        <v>18</v>
      </c>
      <c r="J3942">
        <v>30</v>
      </c>
    </row>
    <row r="3943" spans="1:10" x14ac:dyDescent="0.25">
      <c r="A3943" t="s">
        <v>24</v>
      </c>
      <c r="B3943" t="s">
        <v>19</v>
      </c>
      <c r="C3943" t="s">
        <v>12</v>
      </c>
      <c r="D3943" t="s">
        <v>14</v>
      </c>
      <c r="E3943">
        <v>0.93681318681318604</v>
      </c>
      <c r="F3943">
        <v>0.94401696435009097</v>
      </c>
      <c r="G3943">
        <v>25.4479660987854</v>
      </c>
      <c r="H3943">
        <v>18</v>
      </c>
      <c r="I3943">
        <v>18</v>
      </c>
      <c r="J3943">
        <v>30</v>
      </c>
    </row>
    <row r="3944" spans="1:10" x14ac:dyDescent="0.25">
      <c r="A3944" t="s">
        <v>24</v>
      </c>
      <c r="B3944" t="s">
        <v>19</v>
      </c>
      <c r="C3944" t="s">
        <v>12</v>
      </c>
      <c r="D3944" t="s">
        <v>14</v>
      </c>
      <c r="E3944">
        <v>0.95604395604395598</v>
      </c>
      <c r="F3944">
        <v>0.95877398633589705</v>
      </c>
      <c r="G3944">
        <v>25.006516456604</v>
      </c>
      <c r="H3944">
        <v>17</v>
      </c>
      <c r="I3944">
        <v>17</v>
      </c>
      <c r="J3944">
        <v>30</v>
      </c>
    </row>
    <row r="3945" spans="1:10" x14ac:dyDescent="0.25">
      <c r="A3945" t="s">
        <v>24</v>
      </c>
      <c r="B3945" t="s">
        <v>19</v>
      </c>
      <c r="C3945" t="s">
        <v>12</v>
      </c>
      <c r="D3945" t="s">
        <v>14</v>
      </c>
      <c r="E3945">
        <v>0.71153846153846101</v>
      </c>
      <c r="F3945">
        <v>0.89817279081950596</v>
      </c>
      <c r="G3945">
        <v>25.454240798950099</v>
      </c>
      <c r="H3945">
        <v>12</v>
      </c>
      <c r="I3945">
        <v>12</v>
      </c>
      <c r="J3945">
        <v>30</v>
      </c>
    </row>
    <row r="3946" spans="1:10" x14ac:dyDescent="0.25">
      <c r="A3946" t="s">
        <v>24</v>
      </c>
      <c r="B3946" t="s">
        <v>19</v>
      </c>
      <c r="C3946" t="s">
        <v>12</v>
      </c>
      <c r="D3946" t="s">
        <v>14</v>
      </c>
      <c r="E3946">
        <v>0.94230769230769196</v>
      </c>
      <c r="F3946">
        <v>0.94827778936071405</v>
      </c>
      <c r="G3946">
        <v>25.764787673950099</v>
      </c>
      <c r="H3946">
        <v>18</v>
      </c>
      <c r="I3946">
        <v>17</v>
      </c>
      <c r="J3946">
        <v>30</v>
      </c>
    </row>
    <row r="3947" spans="1:10" x14ac:dyDescent="0.25">
      <c r="A3947" t="s">
        <v>24</v>
      </c>
      <c r="B3947" t="s">
        <v>19</v>
      </c>
      <c r="C3947" t="s">
        <v>12</v>
      </c>
      <c r="D3947" t="s">
        <v>14</v>
      </c>
      <c r="E3947">
        <v>0.71153846153846101</v>
      </c>
      <c r="F3947">
        <v>0.88829815087783903</v>
      </c>
      <c r="G3947">
        <v>26.031319618225002</v>
      </c>
      <c r="H3947">
        <v>12</v>
      </c>
      <c r="I3947">
        <v>12</v>
      </c>
      <c r="J3947">
        <v>30</v>
      </c>
    </row>
    <row r="3948" spans="1:10" x14ac:dyDescent="0.25">
      <c r="A3948" t="s">
        <v>24</v>
      </c>
      <c r="B3948" t="s">
        <v>19</v>
      </c>
      <c r="C3948" t="s">
        <v>12</v>
      </c>
      <c r="D3948" t="s">
        <v>14</v>
      </c>
      <c r="E3948">
        <v>0.93498168498168499</v>
      </c>
      <c r="F3948">
        <v>0.94278995137838695</v>
      </c>
      <c r="G3948">
        <v>26.5835778713226</v>
      </c>
      <c r="H3948">
        <v>18</v>
      </c>
      <c r="I3948">
        <v>17</v>
      </c>
      <c r="J3948">
        <v>30</v>
      </c>
    </row>
    <row r="3949" spans="1:10" x14ac:dyDescent="0.25">
      <c r="A3949" t="s">
        <v>24</v>
      </c>
      <c r="B3949" t="s">
        <v>19</v>
      </c>
      <c r="C3949" t="s">
        <v>12</v>
      </c>
      <c r="D3949" t="s">
        <v>14</v>
      </c>
      <c r="E3949">
        <v>0.939560439560439</v>
      </c>
      <c r="F3949">
        <v>0.94703548864084197</v>
      </c>
      <c r="G3949">
        <v>27.371933221816999</v>
      </c>
      <c r="H3949">
        <v>18</v>
      </c>
      <c r="I3949">
        <v>18</v>
      </c>
      <c r="J3949">
        <v>30</v>
      </c>
    </row>
    <row r="3950" spans="1:10" x14ac:dyDescent="0.25">
      <c r="A3950" t="s">
        <v>24</v>
      </c>
      <c r="B3950" t="s">
        <v>19</v>
      </c>
      <c r="C3950" t="s">
        <v>12</v>
      </c>
      <c r="D3950" t="s">
        <v>14</v>
      </c>
      <c r="E3950">
        <v>0.93498168498168499</v>
      </c>
      <c r="F3950">
        <v>0.94357609097060402</v>
      </c>
      <c r="G3950">
        <v>27.704131364822299</v>
      </c>
      <c r="H3950">
        <v>17</v>
      </c>
      <c r="I3950">
        <v>17</v>
      </c>
      <c r="J3950">
        <v>30</v>
      </c>
    </row>
    <row r="3951" spans="1:10" x14ac:dyDescent="0.25">
      <c r="A3951" t="s">
        <v>24</v>
      </c>
      <c r="B3951" t="s">
        <v>19</v>
      </c>
      <c r="C3951" t="s">
        <v>12</v>
      </c>
      <c r="D3951" t="s">
        <v>14</v>
      </c>
      <c r="E3951">
        <v>0.93864468864468797</v>
      </c>
      <c r="F3951">
        <v>0.94568930871794898</v>
      </c>
      <c r="G3951">
        <v>28.007432699203399</v>
      </c>
      <c r="H3951">
        <v>18</v>
      </c>
      <c r="I3951">
        <v>17</v>
      </c>
      <c r="J3951">
        <v>30</v>
      </c>
    </row>
    <row r="3952" spans="1:10" x14ac:dyDescent="0.25">
      <c r="A3952" t="s">
        <v>24</v>
      </c>
      <c r="B3952" t="s">
        <v>19</v>
      </c>
      <c r="C3952" t="s">
        <v>12</v>
      </c>
      <c r="D3952" t="s">
        <v>14</v>
      </c>
      <c r="E3952">
        <v>0.94047619047619002</v>
      </c>
      <c r="F3952">
        <v>0.94676237115521999</v>
      </c>
      <c r="G3952">
        <v>28.038839578628501</v>
      </c>
      <c r="H3952">
        <v>18</v>
      </c>
      <c r="I3952">
        <v>17</v>
      </c>
      <c r="J3952">
        <v>30</v>
      </c>
    </row>
    <row r="3953" spans="1:10" x14ac:dyDescent="0.25">
      <c r="A3953" t="s">
        <v>24</v>
      </c>
      <c r="B3953" t="s">
        <v>19</v>
      </c>
      <c r="C3953" t="s">
        <v>12</v>
      </c>
      <c r="D3953" t="s">
        <v>14</v>
      </c>
      <c r="E3953">
        <v>0.94871794871794801</v>
      </c>
      <c r="F3953">
        <v>0.95325993349844196</v>
      </c>
      <c r="G3953">
        <v>28.126781463623001</v>
      </c>
      <c r="H3953">
        <v>18</v>
      </c>
      <c r="I3953">
        <v>18</v>
      </c>
      <c r="J3953">
        <v>30</v>
      </c>
    </row>
    <row r="3954" spans="1:10" x14ac:dyDescent="0.25">
      <c r="A3954" t="s">
        <v>24</v>
      </c>
      <c r="B3954" t="s">
        <v>19</v>
      </c>
      <c r="C3954" t="s">
        <v>12</v>
      </c>
      <c r="D3954" t="s">
        <v>14</v>
      </c>
      <c r="E3954">
        <v>0.94688644688644596</v>
      </c>
      <c r="F3954">
        <v>0.95190579093690397</v>
      </c>
      <c r="G3954">
        <v>28.362099647521902</v>
      </c>
      <c r="H3954">
        <v>18</v>
      </c>
      <c r="I3954">
        <v>18</v>
      </c>
      <c r="J3954">
        <v>30</v>
      </c>
    </row>
    <row r="3955" spans="1:10" x14ac:dyDescent="0.25">
      <c r="A3955" t="s">
        <v>24</v>
      </c>
      <c r="B3955" t="s">
        <v>19</v>
      </c>
      <c r="C3955" t="s">
        <v>12</v>
      </c>
      <c r="D3955" t="s">
        <v>14</v>
      </c>
      <c r="E3955">
        <v>0.94597069597069505</v>
      </c>
      <c r="F3955">
        <v>0.95113054086245397</v>
      </c>
      <c r="G3955">
        <v>28.326262474060002</v>
      </c>
      <c r="H3955">
        <v>18</v>
      </c>
      <c r="I3955">
        <v>18</v>
      </c>
      <c r="J3955">
        <v>30</v>
      </c>
    </row>
    <row r="3956" spans="1:10" x14ac:dyDescent="0.25">
      <c r="A3956" t="s">
        <v>24</v>
      </c>
      <c r="B3956" t="s">
        <v>19</v>
      </c>
      <c r="C3956" t="s">
        <v>12</v>
      </c>
      <c r="D3956" t="s">
        <v>14</v>
      </c>
      <c r="E3956">
        <v>0.94230769230769196</v>
      </c>
      <c r="F3956">
        <v>0.94818106276684999</v>
      </c>
      <c r="G3956">
        <v>28.372405290603599</v>
      </c>
      <c r="H3956">
        <v>17</v>
      </c>
      <c r="I3956">
        <v>17</v>
      </c>
      <c r="J3956">
        <v>30</v>
      </c>
    </row>
    <row r="3957" spans="1:10" x14ac:dyDescent="0.25">
      <c r="A3957" t="s">
        <v>24</v>
      </c>
      <c r="B3957" t="s">
        <v>19</v>
      </c>
      <c r="C3957" t="s">
        <v>12</v>
      </c>
      <c r="D3957" t="s">
        <v>14</v>
      </c>
      <c r="E3957">
        <v>0.94322344322344298</v>
      </c>
      <c r="F3957">
        <v>0.94923760900952303</v>
      </c>
      <c r="G3957">
        <v>28.370404720306301</v>
      </c>
      <c r="H3957">
        <v>18</v>
      </c>
      <c r="I3957">
        <v>17</v>
      </c>
      <c r="J3957">
        <v>30</v>
      </c>
    </row>
    <row r="3958" spans="1:10" x14ac:dyDescent="0.25">
      <c r="A3958" t="s">
        <v>24</v>
      </c>
      <c r="B3958" t="s">
        <v>19</v>
      </c>
      <c r="C3958" t="s">
        <v>12</v>
      </c>
      <c r="D3958" t="s">
        <v>14</v>
      </c>
      <c r="E3958">
        <v>0.944139194139194</v>
      </c>
      <c r="F3958">
        <v>0.94877430993031098</v>
      </c>
      <c r="G3958">
        <v>28.6369178295135</v>
      </c>
      <c r="H3958">
        <v>19</v>
      </c>
      <c r="I3958">
        <v>19</v>
      </c>
      <c r="J3958">
        <v>30</v>
      </c>
    </row>
    <row r="3959" spans="1:10" x14ac:dyDescent="0.25">
      <c r="A3959" t="s">
        <v>24</v>
      </c>
      <c r="B3959" t="s">
        <v>19</v>
      </c>
      <c r="C3959" t="s">
        <v>12</v>
      </c>
      <c r="D3959" t="s">
        <v>14</v>
      </c>
      <c r="E3959">
        <v>0.93498168498168499</v>
      </c>
      <c r="F3959">
        <v>0.94336413281575004</v>
      </c>
      <c r="G3959">
        <v>28.690211772918701</v>
      </c>
      <c r="H3959">
        <v>18</v>
      </c>
      <c r="I3959">
        <v>18</v>
      </c>
      <c r="J3959">
        <v>30</v>
      </c>
    </row>
    <row r="3960" spans="1:10" x14ac:dyDescent="0.25">
      <c r="A3960" t="s">
        <v>24</v>
      </c>
      <c r="B3960" t="s">
        <v>19</v>
      </c>
      <c r="C3960" t="s">
        <v>12</v>
      </c>
      <c r="D3960" t="s">
        <v>14</v>
      </c>
      <c r="E3960">
        <v>0.93131868131868101</v>
      </c>
      <c r="F3960">
        <v>0.93943607632554904</v>
      </c>
      <c r="G3960">
        <v>28.803127288818299</v>
      </c>
      <c r="H3960">
        <v>18</v>
      </c>
      <c r="I3960">
        <v>18</v>
      </c>
      <c r="J3960">
        <v>30</v>
      </c>
    </row>
    <row r="3961" spans="1:10" x14ac:dyDescent="0.25">
      <c r="A3961" t="s">
        <v>24</v>
      </c>
      <c r="B3961" t="s">
        <v>19</v>
      </c>
      <c r="C3961" t="s">
        <v>12</v>
      </c>
      <c r="D3961" t="s">
        <v>14</v>
      </c>
      <c r="E3961">
        <v>0.93040293040292998</v>
      </c>
      <c r="F3961">
        <v>0.93885327396959695</v>
      </c>
      <c r="G3961">
        <v>28.760063886642399</v>
      </c>
      <c r="H3961">
        <v>18</v>
      </c>
      <c r="I3961">
        <v>17</v>
      </c>
      <c r="J3961">
        <v>30</v>
      </c>
    </row>
    <row r="3962" spans="1:10" x14ac:dyDescent="0.25">
      <c r="A3962" t="s">
        <v>24</v>
      </c>
      <c r="B3962" t="s">
        <v>19</v>
      </c>
      <c r="C3962" t="s">
        <v>12</v>
      </c>
      <c r="D3962" t="s">
        <v>15</v>
      </c>
      <c r="E3962">
        <v>0</v>
      </c>
      <c r="F3962">
        <v>0.75</v>
      </c>
      <c r="G3962">
        <v>65.4311296939849</v>
      </c>
      <c r="H3962">
        <v>1</v>
      </c>
      <c r="I3962">
        <v>2</v>
      </c>
      <c r="J3962">
        <v>30</v>
      </c>
    </row>
    <row r="3963" spans="1:10" x14ac:dyDescent="0.25">
      <c r="A3963" t="s">
        <v>24</v>
      </c>
      <c r="B3963" t="s">
        <v>19</v>
      </c>
      <c r="C3963" t="s">
        <v>12</v>
      </c>
      <c r="D3963" t="s">
        <v>15</v>
      </c>
      <c r="E3963">
        <v>0</v>
      </c>
      <c r="F3963">
        <v>0.75</v>
      </c>
      <c r="G3963">
        <v>67.261632919311495</v>
      </c>
      <c r="H3963">
        <v>1</v>
      </c>
      <c r="I3963">
        <v>2</v>
      </c>
      <c r="J3963">
        <v>30</v>
      </c>
    </row>
    <row r="3964" spans="1:10" x14ac:dyDescent="0.25">
      <c r="A3964" t="s">
        <v>24</v>
      </c>
      <c r="B3964" t="s">
        <v>19</v>
      </c>
      <c r="C3964" t="s">
        <v>12</v>
      </c>
      <c r="D3964" t="s">
        <v>15</v>
      </c>
      <c r="E3964">
        <v>0</v>
      </c>
      <c r="F3964">
        <v>0.75</v>
      </c>
      <c r="G3964">
        <v>68.536878824233995</v>
      </c>
      <c r="H3964">
        <v>1</v>
      </c>
      <c r="I3964">
        <v>2</v>
      </c>
      <c r="J3964">
        <v>30</v>
      </c>
    </row>
    <row r="3965" spans="1:10" x14ac:dyDescent="0.25">
      <c r="A3965" t="s">
        <v>24</v>
      </c>
      <c r="B3965" t="s">
        <v>19</v>
      </c>
      <c r="C3965" t="s">
        <v>12</v>
      </c>
      <c r="D3965" t="s">
        <v>15</v>
      </c>
      <c r="E3965">
        <v>0</v>
      </c>
      <c r="F3965">
        <v>0.75</v>
      </c>
      <c r="G3965">
        <v>70.336508750915499</v>
      </c>
      <c r="H3965">
        <v>2</v>
      </c>
      <c r="I3965">
        <v>5</v>
      </c>
      <c r="J3965">
        <v>30</v>
      </c>
    </row>
    <row r="3966" spans="1:10" x14ac:dyDescent="0.25">
      <c r="A3966" t="s">
        <v>24</v>
      </c>
      <c r="B3966" t="s">
        <v>19</v>
      </c>
      <c r="C3966" t="s">
        <v>12</v>
      </c>
      <c r="D3966" t="s">
        <v>15</v>
      </c>
      <c r="E3966">
        <v>0</v>
      </c>
      <c r="F3966">
        <v>0.75</v>
      </c>
      <c r="G3966">
        <v>72.760379076004</v>
      </c>
      <c r="H3966">
        <v>2</v>
      </c>
      <c r="I3966">
        <v>5</v>
      </c>
      <c r="J3966">
        <v>30</v>
      </c>
    </row>
    <row r="3967" spans="1:10" x14ac:dyDescent="0.25">
      <c r="A3967" t="s">
        <v>24</v>
      </c>
      <c r="B3967" t="s">
        <v>19</v>
      </c>
      <c r="C3967" t="s">
        <v>12</v>
      </c>
      <c r="D3967" t="s">
        <v>15</v>
      </c>
      <c r="E3967">
        <v>0</v>
      </c>
      <c r="F3967">
        <v>0.75</v>
      </c>
      <c r="G3967">
        <v>73.880751848220797</v>
      </c>
      <c r="H3967">
        <v>2</v>
      </c>
      <c r="I3967">
        <v>6</v>
      </c>
      <c r="J3967">
        <v>30</v>
      </c>
    </row>
    <row r="3968" spans="1:10" x14ac:dyDescent="0.25">
      <c r="A3968" t="s">
        <v>24</v>
      </c>
      <c r="B3968" t="s">
        <v>19</v>
      </c>
      <c r="C3968" t="s">
        <v>12</v>
      </c>
      <c r="D3968" t="s">
        <v>15</v>
      </c>
      <c r="E3968">
        <v>0</v>
      </c>
      <c r="F3968">
        <v>0.75</v>
      </c>
      <c r="G3968">
        <v>74.272368669509802</v>
      </c>
      <c r="H3968">
        <v>2</v>
      </c>
      <c r="I3968">
        <v>6</v>
      </c>
      <c r="J3968">
        <v>30</v>
      </c>
    </row>
    <row r="3969" spans="1:10" x14ac:dyDescent="0.25">
      <c r="A3969" t="s">
        <v>24</v>
      </c>
      <c r="B3969" t="s">
        <v>19</v>
      </c>
      <c r="C3969" t="s">
        <v>12</v>
      </c>
      <c r="D3969" t="s">
        <v>15</v>
      </c>
      <c r="E3969">
        <v>0</v>
      </c>
      <c r="F3969">
        <v>0.75</v>
      </c>
      <c r="G3969">
        <v>75.944662809371906</v>
      </c>
      <c r="H3969">
        <v>2</v>
      </c>
      <c r="I3969">
        <v>6</v>
      </c>
      <c r="J3969">
        <v>30</v>
      </c>
    </row>
    <row r="3970" spans="1:10" x14ac:dyDescent="0.25">
      <c r="A3970" t="s">
        <v>24</v>
      </c>
      <c r="B3970" t="s">
        <v>19</v>
      </c>
      <c r="C3970" t="s">
        <v>12</v>
      </c>
      <c r="D3970" t="s">
        <v>15</v>
      </c>
      <c r="E3970">
        <v>0</v>
      </c>
      <c r="F3970">
        <v>0.75</v>
      </c>
      <c r="G3970">
        <v>76.036354541778493</v>
      </c>
      <c r="H3970">
        <v>2</v>
      </c>
      <c r="I3970">
        <v>5</v>
      </c>
      <c r="J3970">
        <v>30</v>
      </c>
    </row>
    <row r="3971" spans="1:10" x14ac:dyDescent="0.25">
      <c r="A3971" t="s">
        <v>24</v>
      </c>
      <c r="B3971" t="s">
        <v>19</v>
      </c>
      <c r="C3971" t="s">
        <v>12</v>
      </c>
      <c r="D3971" t="s">
        <v>15</v>
      </c>
      <c r="E3971">
        <v>0</v>
      </c>
      <c r="F3971">
        <v>0.75</v>
      </c>
      <c r="G3971">
        <v>76.637840270996094</v>
      </c>
      <c r="H3971">
        <v>2</v>
      </c>
      <c r="I3971">
        <v>5</v>
      </c>
      <c r="J3971">
        <v>30</v>
      </c>
    </row>
    <row r="3972" spans="1:10" x14ac:dyDescent="0.25">
      <c r="A3972" t="s">
        <v>24</v>
      </c>
      <c r="B3972" t="s">
        <v>19</v>
      </c>
      <c r="C3972" t="s">
        <v>12</v>
      </c>
      <c r="D3972" t="s">
        <v>15</v>
      </c>
      <c r="E3972">
        <v>0</v>
      </c>
      <c r="F3972">
        <v>0.75</v>
      </c>
      <c r="G3972">
        <v>79.527973413467393</v>
      </c>
      <c r="H3972">
        <v>2</v>
      </c>
      <c r="I3972">
        <v>5</v>
      </c>
      <c r="J3972">
        <v>30</v>
      </c>
    </row>
    <row r="3973" spans="1:10" x14ac:dyDescent="0.25">
      <c r="A3973" t="s">
        <v>24</v>
      </c>
      <c r="B3973" t="s">
        <v>19</v>
      </c>
      <c r="C3973" t="s">
        <v>12</v>
      </c>
      <c r="D3973" t="s">
        <v>15</v>
      </c>
      <c r="E3973">
        <v>0</v>
      </c>
      <c r="F3973">
        <v>0.75</v>
      </c>
      <c r="G3973">
        <v>79.420780420303302</v>
      </c>
      <c r="H3973">
        <v>2</v>
      </c>
      <c r="I3973">
        <v>4</v>
      </c>
      <c r="J3973">
        <v>30</v>
      </c>
    </row>
    <row r="3974" spans="1:10" x14ac:dyDescent="0.25">
      <c r="A3974" t="s">
        <v>24</v>
      </c>
      <c r="B3974" t="s">
        <v>19</v>
      </c>
      <c r="C3974" t="s">
        <v>12</v>
      </c>
      <c r="D3974" t="s">
        <v>15</v>
      </c>
      <c r="E3974">
        <v>0</v>
      </c>
      <c r="F3974">
        <v>0.75</v>
      </c>
      <c r="G3974">
        <v>80.800954103469806</v>
      </c>
      <c r="H3974">
        <v>2</v>
      </c>
      <c r="I3974">
        <v>5</v>
      </c>
      <c r="J3974">
        <v>30</v>
      </c>
    </row>
    <row r="3975" spans="1:10" x14ac:dyDescent="0.25">
      <c r="A3975" t="s">
        <v>24</v>
      </c>
      <c r="B3975" t="s">
        <v>19</v>
      </c>
      <c r="C3975" t="s">
        <v>12</v>
      </c>
      <c r="D3975" t="s">
        <v>15</v>
      </c>
      <c r="E3975">
        <v>0</v>
      </c>
      <c r="F3975">
        <v>0.75</v>
      </c>
      <c r="G3975">
        <v>80.959429025649996</v>
      </c>
      <c r="H3975">
        <v>2</v>
      </c>
      <c r="I3975">
        <v>4</v>
      </c>
      <c r="J3975">
        <v>30</v>
      </c>
    </row>
    <row r="3976" spans="1:10" x14ac:dyDescent="0.25">
      <c r="A3976" t="s">
        <v>24</v>
      </c>
      <c r="B3976" t="s">
        <v>19</v>
      </c>
      <c r="C3976" t="s">
        <v>12</v>
      </c>
      <c r="D3976" t="s">
        <v>15</v>
      </c>
      <c r="E3976">
        <v>1.83150183150183E-3</v>
      </c>
      <c r="F3976">
        <v>0.75008699633699605</v>
      </c>
      <c r="G3976">
        <v>84.186390161514197</v>
      </c>
      <c r="H3976">
        <v>1</v>
      </c>
      <c r="I3976">
        <v>2</v>
      </c>
      <c r="J3976">
        <v>30</v>
      </c>
    </row>
    <row r="3977" spans="1:10" x14ac:dyDescent="0.25">
      <c r="A3977" t="s">
        <v>24</v>
      </c>
      <c r="B3977" t="s">
        <v>19</v>
      </c>
      <c r="C3977" t="s">
        <v>12</v>
      </c>
      <c r="D3977" t="s">
        <v>15</v>
      </c>
      <c r="E3977">
        <v>0</v>
      </c>
      <c r="F3977">
        <v>0.75</v>
      </c>
      <c r="G3977">
        <v>87.168505668640094</v>
      </c>
      <c r="H3977">
        <v>1</v>
      </c>
      <c r="I3977">
        <v>2</v>
      </c>
      <c r="J3977">
        <v>30</v>
      </c>
    </row>
    <row r="3978" spans="1:10" x14ac:dyDescent="0.25">
      <c r="A3978" t="s">
        <v>24</v>
      </c>
      <c r="B3978" t="s">
        <v>19</v>
      </c>
      <c r="C3978" t="s">
        <v>12</v>
      </c>
      <c r="D3978" t="s">
        <v>15</v>
      </c>
      <c r="E3978">
        <v>0</v>
      </c>
      <c r="F3978">
        <v>0.75</v>
      </c>
      <c r="G3978">
        <v>87.257711887359605</v>
      </c>
      <c r="H3978">
        <v>1</v>
      </c>
      <c r="I3978">
        <v>2</v>
      </c>
      <c r="J3978">
        <v>30</v>
      </c>
    </row>
    <row r="3979" spans="1:10" x14ac:dyDescent="0.25">
      <c r="A3979" t="s">
        <v>24</v>
      </c>
      <c r="B3979" t="s">
        <v>19</v>
      </c>
      <c r="C3979" t="s">
        <v>12</v>
      </c>
      <c r="D3979" t="s">
        <v>15</v>
      </c>
      <c r="E3979">
        <v>0</v>
      </c>
      <c r="F3979">
        <v>0.75</v>
      </c>
      <c r="G3979">
        <v>88.036140441894503</v>
      </c>
      <c r="H3979">
        <v>2</v>
      </c>
      <c r="I3979">
        <v>5</v>
      </c>
      <c r="J3979">
        <v>30</v>
      </c>
    </row>
    <row r="3980" spans="1:10" x14ac:dyDescent="0.25">
      <c r="A3980" t="s">
        <v>24</v>
      </c>
      <c r="B3980" t="s">
        <v>19</v>
      </c>
      <c r="C3980" t="s">
        <v>12</v>
      </c>
      <c r="D3980" t="s">
        <v>15</v>
      </c>
      <c r="E3980">
        <v>9.1575091575091499E-4</v>
      </c>
      <c r="F3980">
        <v>0.75004349816849802</v>
      </c>
      <c r="G3980">
        <v>88.975980043411198</v>
      </c>
      <c r="H3980">
        <v>1</v>
      </c>
      <c r="I3980">
        <v>4</v>
      </c>
      <c r="J3980">
        <v>30</v>
      </c>
    </row>
    <row r="3981" spans="1:10" x14ac:dyDescent="0.25">
      <c r="A3981" t="s">
        <v>24</v>
      </c>
      <c r="B3981" t="s">
        <v>19</v>
      </c>
      <c r="C3981" t="s">
        <v>12</v>
      </c>
      <c r="D3981" t="s">
        <v>15</v>
      </c>
      <c r="E3981">
        <v>9.1575091575091499E-4</v>
      </c>
      <c r="F3981">
        <v>0.75004349816849802</v>
      </c>
      <c r="G3981">
        <v>90.197906494140597</v>
      </c>
      <c r="H3981">
        <v>2</v>
      </c>
      <c r="I3981">
        <v>5</v>
      </c>
      <c r="J3981">
        <v>30</v>
      </c>
    </row>
    <row r="3982" spans="1:10" x14ac:dyDescent="0.25">
      <c r="A3982" t="s">
        <v>24</v>
      </c>
      <c r="B3982" t="s">
        <v>19</v>
      </c>
      <c r="C3982" t="s">
        <v>12</v>
      </c>
      <c r="D3982" t="s">
        <v>15</v>
      </c>
      <c r="E3982">
        <v>0</v>
      </c>
      <c r="F3982">
        <v>0.75</v>
      </c>
      <c r="G3982">
        <v>90.868156194686804</v>
      </c>
      <c r="H3982">
        <v>2</v>
      </c>
      <c r="I3982">
        <v>5</v>
      </c>
      <c r="J3982">
        <v>30</v>
      </c>
    </row>
    <row r="3983" spans="1:10" x14ac:dyDescent="0.25">
      <c r="A3983" t="s">
        <v>24</v>
      </c>
      <c r="B3983" t="s">
        <v>19</v>
      </c>
      <c r="C3983" t="s">
        <v>12</v>
      </c>
      <c r="D3983" t="s">
        <v>15</v>
      </c>
      <c r="E3983">
        <v>0</v>
      </c>
      <c r="F3983">
        <v>0.75</v>
      </c>
      <c r="G3983">
        <v>90.961866378784094</v>
      </c>
      <c r="H3983">
        <v>0</v>
      </c>
      <c r="I3983">
        <v>0</v>
      </c>
      <c r="J3983">
        <v>30</v>
      </c>
    </row>
    <row r="3984" spans="1:10" x14ac:dyDescent="0.25">
      <c r="A3984" t="s">
        <v>24</v>
      </c>
      <c r="B3984" t="s">
        <v>19</v>
      </c>
      <c r="C3984" t="s">
        <v>12</v>
      </c>
      <c r="D3984" t="s">
        <v>15</v>
      </c>
      <c r="E3984">
        <v>0</v>
      </c>
      <c r="F3984">
        <v>0.75</v>
      </c>
      <c r="G3984">
        <v>91.821157693862901</v>
      </c>
      <c r="H3984">
        <v>2</v>
      </c>
      <c r="I3984">
        <v>7</v>
      </c>
      <c r="J3984">
        <v>30</v>
      </c>
    </row>
    <row r="3985" spans="1:10" x14ac:dyDescent="0.25">
      <c r="A3985" t="s">
        <v>24</v>
      </c>
      <c r="B3985" t="s">
        <v>19</v>
      </c>
      <c r="C3985" t="s">
        <v>12</v>
      </c>
      <c r="D3985" t="s">
        <v>15</v>
      </c>
      <c r="E3985">
        <v>0</v>
      </c>
      <c r="F3985">
        <v>0.75</v>
      </c>
      <c r="G3985">
        <v>92.453403472900305</v>
      </c>
      <c r="H3985">
        <v>3</v>
      </c>
      <c r="I3985">
        <v>6</v>
      </c>
      <c r="J3985">
        <v>30</v>
      </c>
    </row>
    <row r="3986" spans="1:10" x14ac:dyDescent="0.25">
      <c r="A3986" t="s">
        <v>24</v>
      </c>
      <c r="B3986" t="s">
        <v>19</v>
      </c>
      <c r="C3986" t="s">
        <v>12</v>
      </c>
      <c r="D3986" t="s">
        <v>15</v>
      </c>
      <c r="E3986">
        <v>0</v>
      </c>
      <c r="F3986">
        <v>0.75</v>
      </c>
      <c r="G3986">
        <v>92.798128843307495</v>
      </c>
      <c r="H3986">
        <v>3</v>
      </c>
      <c r="I3986">
        <v>7</v>
      </c>
      <c r="J3986">
        <v>30</v>
      </c>
    </row>
    <row r="3987" spans="1:10" x14ac:dyDescent="0.25">
      <c r="A3987" t="s">
        <v>24</v>
      </c>
      <c r="B3987" t="s">
        <v>19</v>
      </c>
      <c r="C3987" t="s">
        <v>12</v>
      </c>
      <c r="D3987" t="s">
        <v>15</v>
      </c>
      <c r="E3987">
        <v>0</v>
      </c>
      <c r="F3987">
        <v>0.75</v>
      </c>
      <c r="G3987">
        <v>94.060070991516099</v>
      </c>
      <c r="H3987">
        <v>2</v>
      </c>
      <c r="I3987">
        <v>5</v>
      </c>
      <c r="J3987">
        <v>30</v>
      </c>
    </row>
    <row r="3988" spans="1:10" x14ac:dyDescent="0.25">
      <c r="A3988" t="s">
        <v>24</v>
      </c>
      <c r="B3988" t="s">
        <v>19</v>
      </c>
      <c r="C3988" t="s">
        <v>12</v>
      </c>
      <c r="D3988" t="s">
        <v>15</v>
      </c>
      <c r="E3988">
        <v>0</v>
      </c>
      <c r="F3988">
        <v>0.75</v>
      </c>
      <c r="G3988">
        <v>95.110720634460407</v>
      </c>
      <c r="H3988">
        <v>3</v>
      </c>
      <c r="I3988">
        <v>8</v>
      </c>
      <c r="J3988">
        <v>30</v>
      </c>
    </row>
    <row r="3989" spans="1:10" x14ac:dyDescent="0.25">
      <c r="A3989" t="s">
        <v>24</v>
      </c>
      <c r="B3989" t="s">
        <v>19</v>
      </c>
      <c r="C3989" t="s">
        <v>12</v>
      </c>
      <c r="D3989" t="s">
        <v>15</v>
      </c>
      <c r="E3989">
        <v>0</v>
      </c>
      <c r="F3989">
        <v>0.75</v>
      </c>
      <c r="G3989">
        <v>96.872572422027503</v>
      </c>
      <c r="H3989">
        <v>1</v>
      </c>
      <c r="I3989">
        <v>2</v>
      </c>
      <c r="J3989">
        <v>30</v>
      </c>
    </row>
    <row r="3990" spans="1:10" x14ac:dyDescent="0.25">
      <c r="A3990" t="s">
        <v>24</v>
      </c>
      <c r="B3990" t="s">
        <v>19</v>
      </c>
      <c r="C3990" t="s">
        <v>12</v>
      </c>
      <c r="D3990" t="s">
        <v>15</v>
      </c>
      <c r="E3990">
        <v>0</v>
      </c>
      <c r="F3990">
        <v>0.75</v>
      </c>
      <c r="G3990">
        <v>97.805202960968003</v>
      </c>
      <c r="H3990">
        <v>2</v>
      </c>
      <c r="I3990">
        <v>7</v>
      </c>
      <c r="J3990">
        <v>30</v>
      </c>
    </row>
    <row r="3991" spans="1:10" x14ac:dyDescent="0.25">
      <c r="A3991" t="s">
        <v>24</v>
      </c>
      <c r="B3991" t="s">
        <v>19</v>
      </c>
      <c r="C3991" t="s">
        <v>12</v>
      </c>
      <c r="D3991" t="s">
        <v>15</v>
      </c>
      <c r="E3991">
        <v>9.1575091575091499E-4</v>
      </c>
      <c r="F3991">
        <v>0.75004349816849802</v>
      </c>
      <c r="G3991">
        <v>99.478995561599703</v>
      </c>
      <c r="H3991">
        <v>3</v>
      </c>
      <c r="I3991">
        <v>8</v>
      </c>
      <c r="J3991">
        <v>30</v>
      </c>
    </row>
    <row r="3992" spans="1:10" x14ac:dyDescent="0.25">
      <c r="A3992" t="s">
        <v>24</v>
      </c>
      <c r="B3992" t="s">
        <v>19</v>
      </c>
      <c r="C3992" t="s">
        <v>12</v>
      </c>
      <c r="D3992" t="s">
        <v>16</v>
      </c>
      <c r="E3992">
        <v>0</v>
      </c>
      <c r="F3992">
        <v>0.75</v>
      </c>
      <c r="G3992">
        <v>0.90990185737609797</v>
      </c>
      <c r="H3992">
        <v>0</v>
      </c>
      <c r="I3992">
        <v>0</v>
      </c>
      <c r="J3992">
        <v>30</v>
      </c>
    </row>
    <row r="3993" spans="1:10" x14ac:dyDescent="0.25">
      <c r="A3993" t="s">
        <v>24</v>
      </c>
      <c r="B3993" t="s">
        <v>19</v>
      </c>
      <c r="C3993" t="s">
        <v>12</v>
      </c>
      <c r="D3993" t="s">
        <v>16</v>
      </c>
      <c r="E3993">
        <v>0</v>
      </c>
      <c r="F3993">
        <v>0.75</v>
      </c>
      <c r="G3993">
        <v>1.0773026943206701</v>
      </c>
      <c r="H3993">
        <v>0</v>
      </c>
      <c r="I3993">
        <v>0</v>
      </c>
      <c r="J3993">
        <v>30</v>
      </c>
    </row>
    <row r="3994" spans="1:10" x14ac:dyDescent="0.25">
      <c r="A3994" t="s">
        <v>24</v>
      </c>
      <c r="B3994" t="s">
        <v>19</v>
      </c>
      <c r="C3994" t="s">
        <v>12</v>
      </c>
      <c r="D3994" t="s">
        <v>16</v>
      </c>
      <c r="E3994">
        <v>0</v>
      </c>
      <c r="F3994">
        <v>0.75</v>
      </c>
      <c r="G3994">
        <v>1.1427097320556601</v>
      </c>
      <c r="H3994">
        <v>0</v>
      </c>
      <c r="I3994">
        <v>0</v>
      </c>
      <c r="J3994">
        <v>30</v>
      </c>
    </row>
    <row r="3995" spans="1:10" x14ac:dyDescent="0.25">
      <c r="A3995" t="s">
        <v>24</v>
      </c>
      <c r="B3995" t="s">
        <v>19</v>
      </c>
      <c r="C3995" t="s">
        <v>12</v>
      </c>
      <c r="D3995" t="s">
        <v>16</v>
      </c>
      <c r="E3995">
        <v>0</v>
      </c>
      <c r="F3995">
        <v>0.75</v>
      </c>
      <c r="G3995">
        <v>1.10720086097717</v>
      </c>
      <c r="H3995">
        <v>0</v>
      </c>
      <c r="I3995">
        <v>0</v>
      </c>
      <c r="J3995">
        <v>30</v>
      </c>
    </row>
    <row r="3996" spans="1:10" x14ac:dyDescent="0.25">
      <c r="A3996" t="s">
        <v>24</v>
      </c>
      <c r="B3996" t="s">
        <v>19</v>
      </c>
      <c r="C3996" t="s">
        <v>12</v>
      </c>
      <c r="D3996" t="s">
        <v>16</v>
      </c>
      <c r="E3996">
        <v>0</v>
      </c>
      <c r="F3996">
        <v>0.75</v>
      </c>
      <c r="G3996">
        <v>1.23364377021789</v>
      </c>
      <c r="H3996">
        <v>0</v>
      </c>
      <c r="I3996">
        <v>0</v>
      </c>
      <c r="J3996">
        <v>30</v>
      </c>
    </row>
    <row r="3997" spans="1:10" x14ac:dyDescent="0.25">
      <c r="A3997" t="s">
        <v>24</v>
      </c>
      <c r="B3997" t="s">
        <v>19</v>
      </c>
      <c r="C3997" t="s">
        <v>12</v>
      </c>
      <c r="D3997" t="s">
        <v>16</v>
      </c>
      <c r="E3997">
        <v>0</v>
      </c>
      <c r="F3997">
        <v>0.75</v>
      </c>
      <c r="G3997">
        <v>1.2453818321228001</v>
      </c>
      <c r="H3997">
        <v>0</v>
      </c>
      <c r="I3997">
        <v>0</v>
      </c>
      <c r="J3997">
        <v>30</v>
      </c>
    </row>
    <row r="3998" spans="1:10" x14ac:dyDescent="0.25">
      <c r="A3998" t="s">
        <v>24</v>
      </c>
      <c r="B3998" t="s">
        <v>19</v>
      </c>
      <c r="C3998" t="s">
        <v>12</v>
      </c>
      <c r="D3998" t="s">
        <v>16</v>
      </c>
      <c r="E3998">
        <v>0</v>
      </c>
      <c r="F3998">
        <v>0.75</v>
      </c>
      <c r="G3998">
        <v>1.27032947540283</v>
      </c>
      <c r="H3998">
        <v>0</v>
      </c>
      <c r="I3998">
        <v>0</v>
      </c>
      <c r="J3998">
        <v>30</v>
      </c>
    </row>
    <row r="3999" spans="1:10" x14ac:dyDescent="0.25">
      <c r="A3999" t="s">
        <v>24</v>
      </c>
      <c r="B3999" t="s">
        <v>19</v>
      </c>
      <c r="C3999" t="s">
        <v>12</v>
      </c>
      <c r="D3999" t="s">
        <v>16</v>
      </c>
      <c r="E3999">
        <v>0</v>
      </c>
      <c r="F3999">
        <v>0.75</v>
      </c>
      <c r="G3999">
        <v>1.2486948966979901</v>
      </c>
      <c r="H3999">
        <v>0</v>
      </c>
      <c r="I3999">
        <v>0</v>
      </c>
      <c r="J3999">
        <v>30</v>
      </c>
    </row>
    <row r="4000" spans="1:10" x14ac:dyDescent="0.25">
      <c r="A4000" t="s">
        <v>24</v>
      </c>
      <c r="B4000" t="s">
        <v>19</v>
      </c>
      <c r="C4000" t="s">
        <v>12</v>
      </c>
      <c r="D4000" t="s">
        <v>16</v>
      </c>
      <c r="E4000">
        <v>0</v>
      </c>
      <c r="F4000">
        <v>0.75</v>
      </c>
      <c r="G4000">
        <v>1.13818883895874</v>
      </c>
      <c r="H4000">
        <v>0</v>
      </c>
      <c r="I4000">
        <v>0</v>
      </c>
      <c r="J4000">
        <v>30</v>
      </c>
    </row>
    <row r="4001" spans="1:10" x14ac:dyDescent="0.25">
      <c r="A4001" t="s">
        <v>24</v>
      </c>
      <c r="B4001" t="s">
        <v>19</v>
      </c>
      <c r="C4001" t="s">
        <v>12</v>
      </c>
      <c r="D4001" t="s">
        <v>16</v>
      </c>
      <c r="E4001">
        <v>0</v>
      </c>
      <c r="F4001">
        <v>0.75</v>
      </c>
      <c r="G4001">
        <v>1.19209432601928</v>
      </c>
      <c r="H4001">
        <v>0</v>
      </c>
      <c r="I4001">
        <v>0</v>
      </c>
      <c r="J4001">
        <v>30</v>
      </c>
    </row>
    <row r="4002" spans="1:10" x14ac:dyDescent="0.25">
      <c r="A4002" t="s">
        <v>24</v>
      </c>
      <c r="B4002" t="s">
        <v>19</v>
      </c>
      <c r="C4002" t="s">
        <v>12</v>
      </c>
      <c r="D4002" t="s">
        <v>16</v>
      </c>
      <c r="E4002">
        <v>0</v>
      </c>
      <c r="F4002">
        <v>0.75</v>
      </c>
      <c r="G4002">
        <v>1.31530117988586</v>
      </c>
      <c r="H4002">
        <v>0</v>
      </c>
      <c r="I4002">
        <v>0</v>
      </c>
      <c r="J4002">
        <v>30</v>
      </c>
    </row>
    <row r="4003" spans="1:10" x14ac:dyDescent="0.25">
      <c r="A4003" t="s">
        <v>24</v>
      </c>
      <c r="B4003" t="s">
        <v>19</v>
      </c>
      <c r="C4003" t="s">
        <v>12</v>
      </c>
      <c r="D4003" t="s">
        <v>16</v>
      </c>
      <c r="E4003">
        <v>0</v>
      </c>
      <c r="F4003">
        <v>0.75</v>
      </c>
      <c r="G4003">
        <v>1.24041152000427</v>
      </c>
      <c r="H4003">
        <v>0</v>
      </c>
      <c r="I4003">
        <v>0</v>
      </c>
      <c r="J4003">
        <v>30</v>
      </c>
    </row>
    <row r="4004" spans="1:10" x14ac:dyDescent="0.25">
      <c r="A4004" t="s">
        <v>24</v>
      </c>
      <c r="B4004" t="s">
        <v>19</v>
      </c>
      <c r="C4004" t="s">
        <v>12</v>
      </c>
      <c r="D4004" t="s">
        <v>16</v>
      </c>
      <c r="E4004">
        <v>0</v>
      </c>
      <c r="F4004">
        <v>0.75</v>
      </c>
      <c r="G4004">
        <v>1.3111534118652299</v>
      </c>
      <c r="H4004">
        <v>0</v>
      </c>
      <c r="I4004">
        <v>0</v>
      </c>
      <c r="J4004">
        <v>30</v>
      </c>
    </row>
    <row r="4005" spans="1:10" x14ac:dyDescent="0.25">
      <c r="A4005" t="s">
        <v>24</v>
      </c>
      <c r="B4005" t="s">
        <v>19</v>
      </c>
      <c r="C4005" t="s">
        <v>12</v>
      </c>
      <c r="D4005" t="s">
        <v>16</v>
      </c>
      <c r="E4005">
        <v>0</v>
      </c>
      <c r="F4005">
        <v>0.75</v>
      </c>
      <c r="G4005">
        <v>1.24494409561157</v>
      </c>
      <c r="H4005">
        <v>0</v>
      </c>
      <c r="I4005">
        <v>0</v>
      </c>
      <c r="J4005">
        <v>30</v>
      </c>
    </row>
    <row r="4006" spans="1:10" x14ac:dyDescent="0.25">
      <c r="A4006" t="s">
        <v>24</v>
      </c>
      <c r="B4006" t="s">
        <v>19</v>
      </c>
      <c r="C4006" t="s">
        <v>12</v>
      </c>
      <c r="D4006" t="s">
        <v>16</v>
      </c>
      <c r="E4006">
        <v>0</v>
      </c>
      <c r="F4006">
        <v>0.75</v>
      </c>
      <c r="G4006">
        <v>1.3437027931213299</v>
      </c>
      <c r="H4006">
        <v>0</v>
      </c>
      <c r="I4006">
        <v>0</v>
      </c>
      <c r="J4006">
        <v>30</v>
      </c>
    </row>
    <row r="4007" spans="1:10" x14ac:dyDescent="0.25">
      <c r="A4007" t="s">
        <v>24</v>
      </c>
      <c r="B4007" t="s">
        <v>19</v>
      </c>
      <c r="C4007" t="s">
        <v>12</v>
      </c>
      <c r="D4007" t="s">
        <v>16</v>
      </c>
      <c r="E4007">
        <v>0</v>
      </c>
      <c r="F4007">
        <v>0.75</v>
      </c>
      <c r="G4007">
        <v>1.37695908546447</v>
      </c>
      <c r="H4007">
        <v>0</v>
      </c>
      <c r="I4007">
        <v>0</v>
      </c>
      <c r="J4007">
        <v>30</v>
      </c>
    </row>
    <row r="4008" spans="1:10" x14ac:dyDescent="0.25">
      <c r="A4008" t="s">
        <v>24</v>
      </c>
      <c r="B4008" t="s">
        <v>19</v>
      </c>
      <c r="C4008" t="s">
        <v>12</v>
      </c>
      <c r="D4008" t="s">
        <v>16</v>
      </c>
      <c r="E4008">
        <v>0</v>
      </c>
      <c r="F4008">
        <v>0.75</v>
      </c>
      <c r="G4008">
        <v>1.3153395652770901</v>
      </c>
      <c r="H4008">
        <v>0</v>
      </c>
      <c r="I4008">
        <v>0</v>
      </c>
      <c r="J4008">
        <v>30</v>
      </c>
    </row>
    <row r="4009" spans="1:10" x14ac:dyDescent="0.25">
      <c r="A4009" t="s">
        <v>24</v>
      </c>
      <c r="B4009" t="s">
        <v>19</v>
      </c>
      <c r="C4009" t="s">
        <v>12</v>
      </c>
      <c r="D4009" t="s">
        <v>16</v>
      </c>
      <c r="E4009">
        <v>0</v>
      </c>
      <c r="F4009">
        <v>0.75</v>
      </c>
      <c r="G4009">
        <v>1.36902451515197</v>
      </c>
      <c r="H4009">
        <v>0</v>
      </c>
      <c r="I4009">
        <v>0</v>
      </c>
      <c r="J4009">
        <v>30</v>
      </c>
    </row>
    <row r="4010" spans="1:10" x14ac:dyDescent="0.25">
      <c r="A4010" t="s">
        <v>24</v>
      </c>
      <c r="B4010" t="s">
        <v>19</v>
      </c>
      <c r="C4010" t="s">
        <v>12</v>
      </c>
      <c r="D4010" t="s">
        <v>16</v>
      </c>
      <c r="E4010">
        <v>0</v>
      </c>
      <c r="F4010">
        <v>0.75</v>
      </c>
      <c r="G4010">
        <v>1.3851695060729901</v>
      </c>
      <c r="H4010">
        <v>0</v>
      </c>
      <c r="I4010">
        <v>0</v>
      </c>
      <c r="J4010">
        <v>30</v>
      </c>
    </row>
    <row r="4011" spans="1:10" x14ac:dyDescent="0.25">
      <c r="A4011" t="s">
        <v>24</v>
      </c>
      <c r="B4011" t="s">
        <v>19</v>
      </c>
      <c r="C4011" t="s">
        <v>12</v>
      </c>
      <c r="D4011" t="s">
        <v>16</v>
      </c>
      <c r="E4011">
        <v>0</v>
      </c>
      <c r="F4011">
        <v>0.75</v>
      </c>
      <c r="G4011">
        <v>1.4197096824645901</v>
      </c>
      <c r="H4011">
        <v>0</v>
      </c>
      <c r="I4011">
        <v>0</v>
      </c>
      <c r="J4011">
        <v>30</v>
      </c>
    </row>
    <row r="4012" spans="1:10" x14ac:dyDescent="0.25">
      <c r="A4012" t="s">
        <v>24</v>
      </c>
      <c r="B4012" t="s">
        <v>19</v>
      </c>
      <c r="C4012" t="s">
        <v>12</v>
      </c>
      <c r="D4012" t="s">
        <v>16</v>
      </c>
      <c r="E4012">
        <v>0</v>
      </c>
      <c r="F4012">
        <v>0.75</v>
      </c>
      <c r="G4012">
        <v>1.4054484367370601</v>
      </c>
      <c r="H4012">
        <v>0</v>
      </c>
      <c r="I4012">
        <v>0</v>
      </c>
      <c r="J4012">
        <v>30</v>
      </c>
    </row>
    <row r="4013" spans="1:10" x14ac:dyDescent="0.25">
      <c r="A4013" t="s">
        <v>24</v>
      </c>
      <c r="B4013" t="s">
        <v>19</v>
      </c>
      <c r="C4013" t="s">
        <v>12</v>
      </c>
      <c r="D4013" t="s">
        <v>16</v>
      </c>
      <c r="E4013">
        <v>0</v>
      </c>
      <c r="F4013">
        <v>0.75</v>
      </c>
      <c r="G4013">
        <v>1.4387247562408401</v>
      </c>
      <c r="H4013">
        <v>0</v>
      </c>
      <c r="I4013">
        <v>0</v>
      </c>
      <c r="J4013">
        <v>30</v>
      </c>
    </row>
    <row r="4014" spans="1:10" x14ac:dyDescent="0.25">
      <c r="A4014" t="s">
        <v>24</v>
      </c>
      <c r="B4014" t="s">
        <v>19</v>
      </c>
      <c r="C4014" t="s">
        <v>12</v>
      </c>
      <c r="D4014" t="s">
        <v>16</v>
      </c>
      <c r="E4014">
        <v>0</v>
      </c>
      <c r="F4014">
        <v>0.75</v>
      </c>
      <c r="G4014">
        <v>1.4761931896209699</v>
      </c>
      <c r="H4014">
        <v>0</v>
      </c>
      <c r="I4014">
        <v>0</v>
      </c>
      <c r="J4014">
        <v>30</v>
      </c>
    </row>
    <row r="4015" spans="1:10" x14ac:dyDescent="0.25">
      <c r="A4015" t="s">
        <v>24</v>
      </c>
      <c r="B4015" t="s">
        <v>19</v>
      </c>
      <c r="C4015" t="s">
        <v>12</v>
      </c>
      <c r="D4015" t="s">
        <v>16</v>
      </c>
      <c r="E4015">
        <v>0</v>
      </c>
      <c r="F4015">
        <v>0.75</v>
      </c>
      <c r="G4015">
        <v>1.39237213134765</v>
      </c>
      <c r="H4015">
        <v>0</v>
      </c>
      <c r="I4015">
        <v>0</v>
      </c>
      <c r="J4015">
        <v>30</v>
      </c>
    </row>
    <row r="4016" spans="1:10" x14ac:dyDescent="0.25">
      <c r="A4016" t="s">
        <v>24</v>
      </c>
      <c r="B4016" t="s">
        <v>19</v>
      </c>
      <c r="C4016" t="s">
        <v>12</v>
      </c>
      <c r="D4016" t="s">
        <v>16</v>
      </c>
      <c r="E4016">
        <v>0</v>
      </c>
      <c r="F4016">
        <v>0.75</v>
      </c>
      <c r="G4016">
        <v>1.3789436817169101</v>
      </c>
      <c r="H4016">
        <v>0</v>
      </c>
      <c r="I4016">
        <v>0</v>
      </c>
      <c r="J4016">
        <v>30</v>
      </c>
    </row>
    <row r="4017" spans="1:10" x14ac:dyDescent="0.25">
      <c r="A4017" t="s">
        <v>24</v>
      </c>
      <c r="B4017" t="s">
        <v>19</v>
      </c>
      <c r="C4017" t="s">
        <v>12</v>
      </c>
      <c r="D4017" t="s">
        <v>16</v>
      </c>
      <c r="E4017">
        <v>0</v>
      </c>
      <c r="F4017">
        <v>0.75</v>
      </c>
      <c r="G4017">
        <v>1.5173141956329299</v>
      </c>
      <c r="H4017">
        <v>0</v>
      </c>
      <c r="I4017">
        <v>0</v>
      </c>
      <c r="J4017">
        <v>30</v>
      </c>
    </row>
    <row r="4018" spans="1:10" x14ac:dyDescent="0.25">
      <c r="A4018" t="s">
        <v>24</v>
      </c>
      <c r="B4018" t="s">
        <v>19</v>
      </c>
      <c r="C4018" t="s">
        <v>12</v>
      </c>
      <c r="D4018" t="s">
        <v>16</v>
      </c>
      <c r="E4018">
        <v>0</v>
      </c>
      <c r="F4018">
        <v>0.75</v>
      </c>
      <c r="G4018">
        <v>1.40104985237121</v>
      </c>
      <c r="H4018">
        <v>0</v>
      </c>
      <c r="I4018">
        <v>0</v>
      </c>
      <c r="J4018">
        <v>30</v>
      </c>
    </row>
    <row r="4019" spans="1:10" x14ac:dyDescent="0.25">
      <c r="A4019" t="s">
        <v>24</v>
      </c>
      <c r="B4019" t="s">
        <v>19</v>
      </c>
      <c r="C4019" t="s">
        <v>12</v>
      </c>
      <c r="D4019" t="s">
        <v>16</v>
      </c>
      <c r="E4019">
        <v>0</v>
      </c>
      <c r="F4019">
        <v>0.75</v>
      </c>
      <c r="G4019">
        <v>1.4542388916015601</v>
      </c>
      <c r="H4019">
        <v>0</v>
      </c>
      <c r="I4019">
        <v>0</v>
      </c>
      <c r="J4019">
        <v>30</v>
      </c>
    </row>
    <row r="4020" spans="1:10" x14ac:dyDescent="0.25">
      <c r="A4020" t="s">
        <v>24</v>
      </c>
      <c r="B4020" t="s">
        <v>19</v>
      </c>
      <c r="C4020" t="s">
        <v>12</v>
      </c>
      <c r="D4020" t="s">
        <v>16</v>
      </c>
      <c r="E4020">
        <v>0</v>
      </c>
      <c r="F4020">
        <v>0.75</v>
      </c>
      <c r="G4020">
        <v>1.46294140815734</v>
      </c>
      <c r="H4020">
        <v>0</v>
      </c>
      <c r="I4020">
        <v>0</v>
      </c>
      <c r="J4020">
        <v>30</v>
      </c>
    </row>
    <row r="4021" spans="1:10" x14ac:dyDescent="0.25">
      <c r="A4021" t="s">
        <v>24</v>
      </c>
      <c r="B4021" t="s">
        <v>19</v>
      </c>
      <c r="C4021" t="s">
        <v>12</v>
      </c>
      <c r="D4021" t="s">
        <v>16</v>
      </c>
      <c r="E4021">
        <v>0</v>
      </c>
      <c r="F4021">
        <v>0.75</v>
      </c>
      <c r="G4021">
        <v>1.42436695098876</v>
      </c>
      <c r="H4021">
        <v>0</v>
      </c>
      <c r="I4021">
        <v>0</v>
      </c>
      <c r="J4021">
        <v>30</v>
      </c>
    </row>
    <row r="4022" spans="1:10" x14ac:dyDescent="0.25">
      <c r="A4022" t="s">
        <v>24</v>
      </c>
      <c r="B4022" t="s">
        <v>19</v>
      </c>
      <c r="C4022" t="s">
        <v>12</v>
      </c>
      <c r="D4022" t="s">
        <v>17</v>
      </c>
      <c r="E4022">
        <v>1.0073260073259999E-2</v>
      </c>
      <c r="F4022">
        <v>0.75127707252472498</v>
      </c>
      <c r="G4022">
        <v>113.087249040603</v>
      </c>
      <c r="H4022">
        <v>9</v>
      </c>
      <c r="I4022">
        <v>11</v>
      </c>
      <c r="J4022">
        <v>30</v>
      </c>
    </row>
    <row r="4023" spans="1:10" x14ac:dyDescent="0.25">
      <c r="A4023" t="s">
        <v>24</v>
      </c>
      <c r="B4023" t="s">
        <v>19</v>
      </c>
      <c r="C4023" t="s">
        <v>12</v>
      </c>
      <c r="D4023" t="s">
        <v>17</v>
      </c>
      <c r="E4023">
        <v>1.73992673992674E-2</v>
      </c>
      <c r="F4023">
        <v>0.75293522855613504</v>
      </c>
      <c r="G4023">
        <v>205.32894825935301</v>
      </c>
      <c r="H4023">
        <v>22</v>
      </c>
      <c r="I4023">
        <v>26</v>
      </c>
      <c r="J4023">
        <v>30</v>
      </c>
    </row>
    <row r="4024" spans="1:10" x14ac:dyDescent="0.25">
      <c r="A4024" t="s">
        <v>24</v>
      </c>
      <c r="B4024" t="s">
        <v>19</v>
      </c>
      <c r="C4024" t="s">
        <v>12</v>
      </c>
      <c r="D4024" t="s">
        <v>17</v>
      </c>
      <c r="E4024">
        <v>1.37362637362637E-2</v>
      </c>
      <c r="F4024">
        <v>0.75058630210695898</v>
      </c>
      <c r="G4024">
        <v>205.35885262489299</v>
      </c>
      <c r="H4024">
        <v>22</v>
      </c>
      <c r="I4024">
        <v>28</v>
      </c>
      <c r="J4024">
        <v>30</v>
      </c>
    </row>
    <row r="4025" spans="1:10" x14ac:dyDescent="0.25">
      <c r="A4025" t="s">
        <v>24</v>
      </c>
      <c r="B4025" t="s">
        <v>19</v>
      </c>
      <c r="C4025" t="s">
        <v>12</v>
      </c>
      <c r="D4025" t="s">
        <v>17</v>
      </c>
      <c r="E4025">
        <v>4.3956043956043897E-2</v>
      </c>
      <c r="F4025">
        <v>0.75663958860485303</v>
      </c>
      <c r="G4025">
        <v>428.90070724487299</v>
      </c>
      <c r="H4025">
        <v>55</v>
      </c>
      <c r="I4025">
        <v>63</v>
      </c>
      <c r="J4025">
        <v>30</v>
      </c>
    </row>
    <row r="4026" spans="1:10" x14ac:dyDescent="0.25">
      <c r="A4026" t="s">
        <v>24</v>
      </c>
      <c r="B4026" t="s">
        <v>19</v>
      </c>
      <c r="C4026" t="s">
        <v>12</v>
      </c>
      <c r="D4026" t="s">
        <v>17</v>
      </c>
      <c r="E4026">
        <v>3.93772893772893E-2</v>
      </c>
      <c r="F4026">
        <v>0.75451311419505496</v>
      </c>
      <c r="G4026">
        <v>433.43982148170397</v>
      </c>
      <c r="H4026">
        <v>55</v>
      </c>
      <c r="I4026">
        <v>59</v>
      </c>
      <c r="J4026">
        <v>30</v>
      </c>
    </row>
    <row r="4027" spans="1:10" x14ac:dyDescent="0.25">
      <c r="A4027" t="s">
        <v>24</v>
      </c>
      <c r="B4027" t="s">
        <v>19</v>
      </c>
      <c r="C4027" t="s">
        <v>12</v>
      </c>
      <c r="D4027" t="s">
        <v>17</v>
      </c>
      <c r="E4027">
        <v>3.3882783882783797E-2</v>
      </c>
      <c r="F4027">
        <v>0.75424935635595203</v>
      </c>
      <c r="G4027">
        <v>442.37937951087901</v>
      </c>
      <c r="H4027">
        <v>60</v>
      </c>
      <c r="I4027">
        <v>74</v>
      </c>
      <c r="J4027">
        <v>30</v>
      </c>
    </row>
    <row r="4028" spans="1:10" x14ac:dyDescent="0.25">
      <c r="A4028" t="s">
        <v>24</v>
      </c>
      <c r="B4028" t="s">
        <v>19</v>
      </c>
      <c r="C4028" t="s">
        <v>12</v>
      </c>
      <c r="D4028" t="s">
        <v>17</v>
      </c>
      <c r="E4028">
        <v>9.8901098901098897E-2</v>
      </c>
      <c r="F4028">
        <v>0.764962097823077</v>
      </c>
      <c r="G4028">
        <v>592.500450134277</v>
      </c>
      <c r="H4028">
        <v>98</v>
      </c>
      <c r="I4028">
        <v>113</v>
      </c>
      <c r="J4028">
        <v>30</v>
      </c>
    </row>
    <row r="4029" spans="1:10" x14ac:dyDescent="0.25">
      <c r="A4029" t="s">
        <v>24</v>
      </c>
      <c r="B4029" t="s">
        <v>19</v>
      </c>
      <c r="C4029" t="s">
        <v>12</v>
      </c>
      <c r="D4029" t="s">
        <v>17</v>
      </c>
      <c r="E4029">
        <v>5.8608058608058601E-2</v>
      </c>
      <c r="F4029">
        <v>0.75802637579450505</v>
      </c>
      <c r="G4029">
        <v>638.59653210639897</v>
      </c>
      <c r="H4029">
        <v>83</v>
      </c>
      <c r="I4029">
        <v>99</v>
      </c>
      <c r="J4029">
        <v>30</v>
      </c>
    </row>
    <row r="4030" spans="1:10" x14ac:dyDescent="0.25">
      <c r="A4030" t="s">
        <v>24</v>
      </c>
      <c r="B4030" t="s">
        <v>19</v>
      </c>
      <c r="C4030" t="s">
        <v>12</v>
      </c>
      <c r="D4030" t="s">
        <v>17</v>
      </c>
      <c r="E4030">
        <v>7.2344322344322295E-2</v>
      </c>
      <c r="F4030">
        <v>0.76115136925961502</v>
      </c>
      <c r="G4030">
        <v>821.79634761810303</v>
      </c>
      <c r="H4030">
        <v>124</v>
      </c>
      <c r="I4030">
        <v>144</v>
      </c>
      <c r="J4030">
        <v>30</v>
      </c>
    </row>
    <row r="4031" spans="1:10" x14ac:dyDescent="0.25">
      <c r="A4031" t="s">
        <v>24</v>
      </c>
      <c r="B4031" t="s">
        <v>19</v>
      </c>
      <c r="C4031" t="s">
        <v>12</v>
      </c>
      <c r="D4031" t="s">
        <v>17</v>
      </c>
      <c r="E4031">
        <v>9.2490842490842495E-2</v>
      </c>
      <c r="F4031">
        <v>0.76237595900393695</v>
      </c>
      <c r="G4031">
        <v>826.19120407104401</v>
      </c>
      <c r="H4031">
        <v>146</v>
      </c>
      <c r="I4031">
        <v>160</v>
      </c>
      <c r="J4031">
        <v>30</v>
      </c>
    </row>
    <row r="4032" spans="1:10" x14ac:dyDescent="0.25">
      <c r="A4032" t="s">
        <v>24</v>
      </c>
      <c r="B4032" t="s">
        <v>19</v>
      </c>
      <c r="C4032" t="s">
        <v>12</v>
      </c>
      <c r="D4032" t="s">
        <v>17</v>
      </c>
      <c r="E4032">
        <v>9.3406593406593394E-2</v>
      </c>
      <c r="F4032">
        <v>0.76281437632774696</v>
      </c>
      <c r="G4032">
        <v>886.54774570464997</v>
      </c>
      <c r="H4032">
        <v>139</v>
      </c>
      <c r="I4032">
        <v>157</v>
      </c>
      <c r="J4032">
        <v>30</v>
      </c>
    </row>
    <row r="4033" spans="1:10" x14ac:dyDescent="0.25">
      <c r="A4033" t="s">
        <v>24</v>
      </c>
      <c r="B4033" t="s">
        <v>19</v>
      </c>
      <c r="C4033" t="s">
        <v>12</v>
      </c>
      <c r="D4033" t="s">
        <v>17</v>
      </c>
      <c r="E4033">
        <v>0.26831501831501797</v>
      </c>
      <c r="F4033">
        <v>0.79436271210137199</v>
      </c>
      <c r="G4033">
        <v>920.02367305755604</v>
      </c>
      <c r="H4033">
        <v>242</v>
      </c>
      <c r="I4033">
        <v>268</v>
      </c>
      <c r="J4033">
        <v>30</v>
      </c>
    </row>
    <row r="4034" spans="1:10" x14ac:dyDescent="0.25">
      <c r="A4034" t="s">
        <v>24</v>
      </c>
      <c r="B4034" t="s">
        <v>19</v>
      </c>
      <c r="C4034" t="s">
        <v>12</v>
      </c>
      <c r="D4034" t="s">
        <v>17</v>
      </c>
      <c r="E4034">
        <v>0.219780219780219</v>
      </c>
      <c r="F4034">
        <v>0.79034121510036703</v>
      </c>
      <c r="G4034">
        <v>949.90838718414295</v>
      </c>
      <c r="H4034">
        <v>202</v>
      </c>
      <c r="I4034">
        <v>236</v>
      </c>
      <c r="J4034">
        <v>30</v>
      </c>
    </row>
    <row r="4035" spans="1:10" x14ac:dyDescent="0.25">
      <c r="A4035" t="s">
        <v>24</v>
      </c>
      <c r="B4035" t="s">
        <v>19</v>
      </c>
      <c r="C4035" t="s">
        <v>12</v>
      </c>
      <c r="D4035" t="s">
        <v>17</v>
      </c>
      <c r="E4035">
        <v>7.6007326007326001E-2</v>
      </c>
      <c r="F4035">
        <v>0.75572620306565896</v>
      </c>
      <c r="G4035">
        <v>956.29879689216602</v>
      </c>
      <c r="H4035">
        <v>156</v>
      </c>
      <c r="I4035">
        <v>197</v>
      </c>
      <c r="J4035">
        <v>30</v>
      </c>
    </row>
    <row r="4036" spans="1:10" x14ac:dyDescent="0.25">
      <c r="A4036" t="s">
        <v>24</v>
      </c>
      <c r="B4036" t="s">
        <v>19</v>
      </c>
      <c r="C4036" t="s">
        <v>12</v>
      </c>
      <c r="D4036" t="s">
        <v>17</v>
      </c>
      <c r="E4036">
        <v>0.24633699633699599</v>
      </c>
      <c r="F4036">
        <v>0.79104574546657502</v>
      </c>
      <c r="G4036">
        <v>985.53248620033196</v>
      </c>
      <c r="H4036">
        <v>239</v>
      </c>
      <c r="I4036">
        <v>266</v>
      </c>
      <c r="J4036">
        <v>30</v>
      </c>
    </row>
    <row r="4037" spans="1:10" x14ac:dyDescent="0.25">
      <c r="A4037" t="s">
        <v>24</v>
      </c>
      <c r="B4037" t="s">
        <v>19</v>
      </c>
      <c r="C4037" t="s">
        <v>12</v>
      </c>
      <c r="D4037" t="s">
        <v>17</v>
      </c>
      <c r="E4037">
        <v>0.24175824175824101</v>
      </c>
      <c r="F4037">
        <v>0.79016527231804001</v>
      </c>
      <c r="G4037">
        <v>1068.2496941089601</v>
      </c>
      <c r="H4037">
        <v>271</v>
      </c>
      <c r="I4037">
        <v>327</v>
      </c>
      <c r="J4037">
        <v>30</v>
      </c>
    </row>
    <row r="4038" spans="1:10" x14ac:dyDescent="0.25">
      <c r="A4038" t="s">
        <v>24</v>
      </c>
      <c r="B4038" t="s">
        <v>19</v>
      </c>
      <c r="C4038" t="s">
        <v>12</v>
      </c>
      <c r="D4038" t="s">
        <v>17</v>
      </c>
      <c r="E4038">
        <v>0.269230769230769</v>
      </c>
      <c r="F4038">
        <v>0.80239054740293003</v>
      </c>
      <c r="G4038">
        <v>1085.63027834892</v>
      </c>
      <c r="H4038">
        <v>259</v>
      </c>
      <c r="I4038">
        <v>302</v>
      </c>
      <c r="J4038">
        <v>30</v>
      </c>
    </row>
    <row r="4039" spans="1:10" x14ac:dyDescent="0.25">
      <c r="A4039" t="s">
        <v>24</v>
      </c>
      <c r="B4039" t="s">
        <v>19</v>
      </c>
      <c r="C4039" t="s">
        <v>12</v>
      </c>
      <c r="D4039" t="s">
        <v>17</v>
      </c>
      <c r="E4039">
        <v>0.159340659340659</v>
      </c>
      <c r="F4039">
        <v>0.77475572346428501</v>
      </c>
      <c r="G4039">
        <v>1128.56236767768</v>
      </c>
      <c r="H4039">
        <v>224</v>
      </c>
      <c r="I4039">
        <v>252</v>
      </c>
      <c r="J4039">
        <v>30</v>
      </c>
    </row>
    <row r="4040" spans="1:10" x14ac:dyDescent="0.25">
      <c r="A4040" t="s">
        <v>24</v>
      </c>
      <c r="B4040" t="s">
        <v>19</v>
      </c>
      <c r="C4040" t="s">
        <v>12</v>
      </c>
      <c r="D4040" t="s">
        <v>17</v>
      </c>
      <c r="E4040">
        <v>0.23534798534798501</v>
      </c>
      <c r="F4040">
        <v>0.78273796168452403</v>
      </c>
      <c r="G4040">
        <v>1214.77467346191</v>
      </c>
      <c r="H4040">
        <v>286</v>
      </c>
      <c r="I4040">
        <v>334</v>
      </c>
      <c r="J4040">
        <v>30</v>
      </c>
    </row>
    <row r="4041" spans="1:10" x14ac:dyDescent="0.25">
      <c r="A4041" t="s">
        <v>24</v>
      </c>
      <c r="B4041" t="s">
        <v>19</v>
      </c>
      <c r="C4041" t="s">
        <v>12</v>
      </c>
      <c r="D4041" t="s">
        <v>17</v>
      </c>
      <c r="E4041">
        <v>0.38003663003663002</v>
      </c>
      <c r="F4041">
        <v>0.80910945666098799</v>
      </c>
      <c r="G4041">
        <v>1256.8094773292501</v>
      </c>
      <c r="H4041">
        <v>400</v>
      </c>
      <c r="I4041">
        <v>458</v>
      </c>
      <c r="J4041">
        <v>30</v>
      </c>
    </row>
    <row r="4042" spans="1:10" x14ac:dyDescent="0.25">
      <c r="A4042" t="s">
        <v>24</v>
      </c>
      <c r="B4042" t="s">
        <v>19</v>
      </c>
      <c r="C4042" t="s">
        <v>12</v>
      </c>
      <c r="D4042" t="s">
        <v>17</v>
      </c>
      <c r="E4042">
        <v>0.33058608058608002</v>
      </c>
      <c r="F4042">
        <v>0.81108761414294905</v>
      </c>
      <c r="G4042">
        <v>1258.2578005790699</v>
      </c>
      <c r="H4042">
        <v>367</v>
      </c>
      <c r="I4042">
        <v>448</v>
      </c>
      <c r="J4042">
        <v>30</v>
      </c>
    </row>
    <row r="4043" spans="1:10" x14ac:dyDescent="0.25">
      <c r="A4043" t="s">
        <v>24</v>
      </c>
      <c r="B4043" t="s">
        <v>19</v>
      </c>
      <c r="C4043" t="s">
        <v>12</v>
      </c>
      <c r="D4043" t="s">
        <v>17</v>
      </c>
      <c r="E4043">
        <v>0.43681318681318598</v>
      </c>
      <c r="F4043">
        <v>0.82032021557472401</v>
      </c>
      <c r="G4043">
        <v>1336.8859839439299</v>
      </c>
      <c r="H4043">
        <v>449</v>
      </c>
      <c r="I4043">
        <v>536</v>
      </c>
      <c r="J4043">
        <v>30</v>
      </c>
    </row>
    <row r="4044" spans="1:10" x14ac:dyDescent="0.25">
      <c r="A4044" t="s">
        <v>24</v>
      </c>
      <c r="B4044" t="s">
        <v>19</v>
      </c>
      <c r="C4044" t="s">
        <v>12</v>
      </c>
      <c r="D4044" t="s">
        <v>17</v>
      </c>
      <c r="E4044">
        <v>0.40567765567765501</v>
      </c>
      <c r="F4044">
        <v>0.81830691466181305</v>
      </c>
      <c r="G4044">
        <v>1453.8582599163001</v>
      </c>
      <c r="H4044">
        <v>506</v>
      </c>
      <c r="I4044">
        <v>593</v>
      </c>
      <c r="J4044">
        <v>30</v>
      </c>
    </row>
    <row r="4045" spans="1:10" x14ac:dyDescent="0.25">
      <c r="A4045" t="s">
        <v>24</v>
      </c>
      <c r="B4045" t="s">
        <v>19</v>
      </c>
      <c r="C4045" t="s">
        <v>12</v>
      </c>
      <c r="D4045" t="s">
        <v>17</v>
      </c>
      <c r="E4045">
        <v>0.452380952380952</v>
      </c>
      <c r="F4045">
        <v>0.82570181020988898</v>
      </c>
      <c r="G4045">
        <v>1464.94428277015</v>
      </c>
      <c r="H4045">
        <v>536</v>
      </c>
      <c r="I4045">
        <v>612</v>
      </c>
      <c r="J4045">
        <v>30</v>
      </c>
    </row>
    <row r="4046" spans="1:10" x14ac:dyDescent="0.25">
      <c r="A4046" t="s">
        <v>24</v>
      </c>
      <c r="B4046" t="s">
        <v>19</v>
      </c>
      <c r="C4046" t="s">
        <v>12</v>
      </c>
      <c r="D4046" t="s">
        <v>17</v>
      </c>
      <c r="E4046">
        <v>0.58058608058607997</v>
      </c>
      <c r="F4046">
        <v>0.835389258857692</v>
      </c>
      <c r="G4046">
        <v>1511.7387199401801</v>
      </c>
      <c r="H4046">
        <v>687</v>
      </c>
      <c r="I4046">
        <v>798</v>
      </c>
      <c r="J4046">
        <v>30</v>
      </c>
    </row>
    <row r="4047" spans="1:10" x14ac:dyDescent="0.25">
      <c r="A4047" t="s">
        <v>24</v>
      </c>
      <c r="B4047" t="s">
        <v>19</v>
      </c>
      <c r="C4047" t="s">
        <v>12</v>
      </c>
      <c r="D4047" t="s">
        <v>17</v>
      </c>
      <c r="E4047">
        <v>0.50641025641025605</v>
      </c>
      <c r="F4047">
        <v>0.83148594708150103</v>
      </c>
      <c r="G4047">
        <v>1527.26638770103</v>
      </c>
      <c r="H4047">
        <v>576</v>
      </c>
      <c r="I4047">
        <v>685</v>
      </c>
      <c r="J4047">
        <v>30</v>
      </c>
    </row>
    <row r="4048" spans="1:10" x14ac:dyDescent="0.25">
      <c r="A4048" t="s">
        <v>24</v>
      </c>
      <c r="B4048" t="s">
        <v>19</v>
      </c>
      <c r="C4048" t="s">
        <v>12</v>
      </c>
      <c r="D4048" t="s">
        <v>17</v>
      </c>
      <c r="E4048">
        <v>0.48168498168498097</v>
      </c>
      <c r="F4048">
        <v>0.82787365150009096</v>
      </c>
      <c r="G4048">
        <v>1527.87095832824</v>
      </c>
      <c r="H4048">
        <v>549</v>
      </c>
      <c r="I4048">
        <v>640</v>
      </c>
      <c r="J4048">
        <v>30</v>
      </c>
    </row>
    <row r="4049" spans="1:10" x14ac:dyDescent="0.25">
      <c r="A4049" t="s">
        <v>24</v>
      </c>
      <c r="B4049" t="s">
        <v>19</v>
      </c>
      <c r="C4049" t="s">
        <v>12</v>
      </c>
      <c r="D4049" t="s">
        <v>17</v>
      </c>
      <c r="E4049">
        <v>0.44871794871794801</v>
      </c>
      <c r="F4049">
        <v>0.82624003601474305</v>
      </c>
      <c r="G4049">
        <v>1528.09422039985</v>
      </c>
      <c r="H4049">
        <v>550</v>
      </c>
      <c r="I4049">
        <v>638</v>
      </c>
      <c r="J4049">
        <v>30</v>
      </c>
    </row>
    <row r="4050" spans="1:10" x14ac:dyDescent="0.25">
      <c r="A4050" t="s">
        <v>24</v>
      </c>
      <c r="B4050" t="s">
        <v>19</v>
      </c>
      <c r="C4050" t="s">
        <v>12</v>
      </c>
      <c r="D4050" t="s">
        <v>17</v>
      </c>
      <c r="E4050">
        <v>0.51556776556776496</v>
      </c>
      <c r="F4050">
        <v>0.83389649221767304</v>
      </c>
      <c r="G4050">
        <v>1533.18065285682</v>
      </c>
      <c r="H4050">
        <v>599</v>
      </c>
      <c r="I4050">
        <v>688</v>
      </c>
      <c r="J4050">
        <v>30</v>
      </c>
    </row>
    <row r="4051" spans="1:10" x14ac:dyDescent="0.25">
      <c r="A4051" t="s">
        <v>24</v>
      </c>
      <c r="B4051" t="s">
        <v>19</v>
      </c>
      <c r="C4051" t="s">
        <v>12</v>
      </c>
      <c r="D4051" t="s">
        <v>17</v>
      </c>
      <c r="E4051">
        <v>0.59615384615384603</v>
      </c>
      <c r="F4051">
        <v>0.83476195958525601</v>
      </c>
      <c r="G4051">
        <v>1550.60376167297</v>
      </c>
      <c r="H4051">
        <v>751</v>
      </c>
      <c r="I4051">
        <v>861</v>
      </c>
      <c r="J4051">
        <v>30</v>
      </c>
    </row>
    <row r="4052" spans="1:10" x14ac:dyDescent="0.25">
      <c r="A4052" t="s">
        <v>24</v>
      </c>
      <c r="B4052" t="s">
        <v>19</v>
      </c>
      <c r="C4052" t="s">
        <v>18</v>
      </c>
      <c r="D4052" t="s">
        <v>13</v>
      </c>
      <c r="E4052">
        <v>0.97161172161172105</v>
      </c>
      <c r="F4052">
        <v>0.97339959338891902</v>
      </c>
      <c r="G4052">
        <v>158.02950167655899</v>
      </c>
      <c r="H4052">
        <v>15</v>
      </c>
      <c r="I4052">
        <v>17</v>
      </c>
      <c r="J4052">
        <v>30</v>
      </c>
    </row>
    <row r="4053" spans="1:10" x14ac:dyDescent="0.25">
      <c r="A4053" t="s">
        <v>24</v>
      </c>
      <c r="B4053" t="s">
        <v>19</v>
      </c>
      <c r="C4053" t="s">
        <v>18</v>
      </c>
      <c r="D4053" t="s">
        <v>13</v>
      </c>
      <c r="E4053">
        <v>0.95604395604395598</v>
      </c>
      <c r="F4053">
        <v>0.95927578067225205</v>
      </c>
      <c r="G4053">
        <v>158.28181052207901</v>
      </c>
      <c r="H4053">
        <v>16</v>
      </c>
      <c r="I4053">
        <v>20</v>
      </c>
      <c r="J4053">
        <v>30</v>
      </c>
    </row>
    <row r="4054" spans="1:10" x14ac:dyDescent="0.25">
      <c r="A4054" t="s">
        <v>24</v>
      </c>
      <c r="B4054" t="s">
        <v>19</v>
      </c>
      <c r="C4054" t="s">
        <v>18</v>
      </c>
      <c r="D4054" t="s">
        <v>13</v>
      </c>
      <c r="E4054">
        <v>0.97802197802197799</v>
      </c>
      <c r="F4054">
        <v>0.97877541390906497</v>
      </c>
      <c r="G4054">
        <v>159.214624404907</v>
      </c>
      <c r="H4054">
        <v>13</v>
      </c>
      <c r="I4054">
        <v>15</v>
      </c>
      <c r="J4054">
        <v>30</v>
      </c>
    </row>
    <row r="4055" spans="1:10" x14ac:dyDescent="0.25">
      <c r="A4055" t="s">
        <v>24</v>
      </c>
      <c r="B4055" t="s">
        <v>19</v>
      </c>
      <c r="C4055" t="s">
        <v>18</v>
      </c>
      <c r="D4055" t="s">
        <v>13</v>
      </c>
      <c r="E4055">
        <v>0.97710622710622697</v>
      </c>
      <c r="F4055">
        <v>0.97892998682032895</v>
      </c>
      <c r="G4055">
        <v>160.21360635757401</v>
      </c>
      <c r="H4055">
        <v>18</v>
      </c>
      <c r="I4055">
        <v>22</v>
      </c>
      <c r="J4055">
        <v>30</v>
      </c>
    </row>
    <row r="4056" spans="1:10" x14ac:dyDescent="0.25">
      <c r="A4056" t="s">
        <v>24</v>
      </c>
      <c r="B4056" t="s">
        <v>19</v>
      </c>
      <c r="C4056" t="s">
        <v>18</v>
      </c>
      <c r="D4056" t="s">
        <v>13</v>
      </c>
      <c r="E4056">
        <v>0.97344322344322298</v>
      </c>
      <c r="F4056">
        <v>0.97450073928754499</v>
      </c>
      <c r="G4056">
        <v>162.48163414001399</v>
      </c>
      <c r="H4056">
        <v>17</v>
      </c>
      <c r="I4056">
        <v>20</v>
      </c>
      <c r="J4056">
        <v>30</v>
      </c>
    </row>
    <row r="4057" spans="1:10" x14ac:dyDescent="0.25">
      <c r="A4057" t="s">
        <v>24</v>
      </c>
      <c r="B4057" t="s">
        <v>19</v>
      </c>
      <c r="C4057" t="s">
        <v>18</v>
      </c>
      <c r="D4057" t="s">
        <v>13</v>
      </c>
      <c r="E4057">
        <v>0.98168498168498097</v>
      </c>
      <c r="F4057">
        <v>0.98191698494020097</v>
      </c>
      <c r="G4057">
        <v>165.75861525535501</v>
      </c>
      <c r="H4057">
        <v>16</v>
      </c>
      <c r="I4057">
        <v>18</v>
      </c>
      <c r="J4057">
        <v>30</v>
      </c>
    </row>
    <row r="4058" spans="1:10" x14ac:dyDescent="0.25">
      <c r="A4058" t="s">
        <v>24</v>
      </c>
      <c r="B4058" t="s">
        <v>19</v>
      </c>
      <c r="C4058" t="s">
        <v>18</v>
      </c>
      <c r="D4058" t="s">
        <v>13</v>
      </c>
      <c r="E4058">
        <v>0.97710622710622697</v>
      </c>
      <c r="F4058">
        <v>0.97782561146410196</v>
      </c>
      <c r="G4058">
        <v>165.39207339286801</v>
      </c>
      <c r="H4058">
        <v>17</v>
      </c>
      <c r="I4058">
        <v>21</v>
      </c>
      <c r="J4058">
        <v>30</v>
      </c>
    </row>
    <row r="4059" spans="1:10" x14ac:dyDescent="0.25">
      <c r="A4059" t="s">
        <v>24</v>
      </c>
      <c r="B4059" t="s">
        <v>19</v>
      </c>
      <c r="C4059" t="s">
        <v>18</v>
      </c>
      <c r="D4059" t="s">
        <v>13</v>
      </c>
      <c r="E4059">
        <v>0.97527472527472503</v>
      </c>
      <c r="F4059">
        <v>0.97809898312573196</v>
      </c>
      <c r="G4059">
        <v>165.35332012176499</v>
      </c>
      <c r="H4059">
        <v>16</v>
      </c>
      <c r="I4059">
        <v>19</v>
      </c>
      <c r="J4059">
        <v>30</v>
      </c>
    </row>
    <row r="4060" spans="1:10" x14ac:dyDescent="0.25">
      <c r="A4060" t="s">
        <v>24</v>
      </c>
      <c r="B4060" t="s">
        <v>19</v>
      </c>
      <c r="C4060" t="s">
        <v>18</v>
      </c>
      <c r="D4060" t="s">
        <v>13</v>
      </c>
      <c r="E4060">
        <v>0.97344322344322298</v>
      </c>
      <c r="F4060">
        <v>0.97494733783690402</v>
      </c>
      <c r="G4060">
        <v>165.75653886795001</v>
      </c>
      <c r="H4060">
        <v>17</v>
      </c>
      <c r="I4060">
        <v>21</v>
      </c>
      <c r="J4060">
        <v>30</v>
      </c>
    </row>
    <row r="4061" spans="1:10" x14ac:dyDescent="0.25">
      <c r="A4061" t="s">
        <v>24</v>
      </c>
      <c r="B4061" t="s">
        <v>19</v>
      </c>
      <c r="C4061" t="s">
        <v>18</v>
      </c>
      <c r="D4061" t="s">
        <v>13</v>
      </c>
      <c r="E4061">
        <v>0.98443223443223404</v>
      </c>
      <c r="F4061">
        <v>0.98515991227014599</v>
      </c>
      <c r="G4061">
        <v>167.98811984062101</v>
      </c>
      <c r="H4061">
        <v>17</v>
      </c>
      <c r="I4061">
        <v>21</v>
      </c>
      <c r="J4061">
        <v>30</v>
      </c>
    </row>
    <row r="4062" spans="1:10" x14ac:dyDescent="0.25">
      <c r="A4062" t="s">
        <v>24</v>
      </c>
      <c r="B4062" t="s">
        <v>19</v>
      </c>
      <c r="C4062" t="s">
        <v>18</v>
      </c>
      <c r="D4062" t="s">
        <v>13</v>
      </c>
      <c r="E4062">
        <v>0.96428571428571397</v>
      </c>
      <c r="F4062">
        <v>0.96768325788214204</v>
      </c>
      <c r="G4062">
        <v>169.69197916984501</v>
      </c>
      <c r="H4062">
        <v>18</v>
      </c>
      <c r="I4062">
        <v>22</v>
      </c>
      <c r="J4062">
        <v>30</v>
      </c>
    </row>
    <row r="4063" spans="1:10" x14ac:dyDescent="0.25">
      <c r="A4063" t="s">
        <v>24</v>
      </c>
      <c r="B4063" t="s">
        <v>19</v>
      </c>
      <c r="C4063" t="s">
        <v>18</v>
      </c>
      <c r="D4063" t="s">
        <v>13</v>
      </c>
      <c r="E4063">
        <v>0.98168498168498097</v>
      </c>
      <c r="F4063">
        <v>0.98245449038864396</v>
      </c>
      <c r="G4063">
        <v>172.187101364135</v>
      </c>
      <c r="H4063">
        <v>19</v>
      </c>
      <c r="I4063">
        <v>25</v>
      </c>
      <c r="J4063">
        <v>30</v>
      </c>
    </row>
    <row r="4064" spans="1:10" x14ac:dyDescent="0.25">
      <c r="A4064" t="s">
        <v>24</v>
      </c>
      <c r="B4064" t="s">
        <v>19</v>
      </c>
      <c r="C4064" t="s">
        <v>18</v>
      </c>
      <c r="D4064" t="s">
        <v>13</v>
      </c>
      <c r="E4064">
        <v>0.97710622710622697</v>
      </c>
      <c r="F4064">
        <v>0.97806971028342404</v>
      </c>
      <c r="G4064">
        <v>172.358778238296</v>
      </c>
      <c r="H4064">
        <v>17</v>
      </c>
      <c r="I4064">
        <v>21</v>
      </c>
      <c r="J4064">
        <v>30</v>
      </c>
    </row>
    <row r="4065" spans="1:10" x14ac:dyDescent="0.25">
      <c r="A4065" t="s">
        <v>24</v>
      </c>
      <c r="B4065" t="s">
        <v>19</v>
      </c>
      <c r="C4065" t="s">
        <v>18</v>
      </c>
      <c r="D4065" t="s">
        <v>13</v>
      </c>
      <c r="E4065">
        <v>0.97161172161172105</v>
      </c>
      <c r="F4065">
        <v>0.97262201378827795</v>
      </c>
      <c r="G4065">
        <v>173.08703517913801</v>
      </c>
      <c r="H4065">
        <v>17</v>
      </c>
      <c r="I4065">
        <v>21</v>
      </c>
      <c r="J4065">
        <v>30</v>
      </c>
    </row>
    <row r="4066" spans="1:10" x14ac:dyDescent="0.25">
      <c r="A4066" t="s">
        <v>24</v>
      </c>
      <c r="B4066" t="s">
        <v>19</v>
      </c>
      <c r="C4066" t="s">
        <v>18</v>
      </c>
      <c r="D4066" t="s">
        <v>13</v>
      </c>
      <c r="E4066">
        <v>0.982600732600732</v>
      </c>
      <c r="F4066">
        <v>0.982906860505952</v>
      </c>
      <c r="G4066">
        <v>173.200934648513</v>
      </c>
      <c r="H4066">
        <v>17</v>
      </c>
      <c r="I4066">
        <v>21</v>
      </c>
      <c r="J4066">
        <v>30</v>
      </c>
    </row>
    <row r="4067" spans="1:10" x14ac:dyDescent="0.25">
      <c r="A4067" t="s">
        <v>24</v>
      </c>
      <c r="B4067" t="s">
        <v>19</v>
      </c>
      <c r="C4067" t="s">
        <v>18</v>
      </c>
      <c r="D4067" t="s">
        <v>13</v>
      </c>
      <c r="E4067">
        <v>0.97802197802197799</v>
      </c>
      <c r="F4067">
        <v>0.978499468014011</v>
      </c>
      <c r="G4067">
        <v>174.86533498764001</v>
      </c>
      <c r="H4067">
        <v>17</v>
      </c>
      <c r="I4067">
        <v>21</v>
      </c>
      <c r="J4067">
        <v>30</v>
      </c>
    </row>
    <row r="4068" spans="1:10" x14ac:dyDescent="0.25">
      <c r="A4068" t="s">
        <v>24</v>
      </c>
      <c r="B4068" t="s">
        <v>19</v>
      </c>
      <c r="C4068" t="s">
        <v>18</v>
      </c>
      <c r="D4068" t="s">
        <v>13</v>
      </c>
      <c r="E4068">
        <v>0.97527472527472503</v>
      </c>
      <c r="F4068">
        <v>0.977246896594963</v>
      </c>
      <c r="G4068">
        <v>176.35325241088799</v>
      </c>
      <c r="H4068">
        <v>20</v>
      </c>
      <c r="I4068">
        <v>26</v>
      </c>
      <c r="J4068">
        <v>30</v>
      </c>
    </row>
    <row r="4069" spans="1:10" x14ac:dyDescent="0.25">
      <c r="A4069" t="s">
        <v>24</v>
      </c>
      <c r="B4069" t="s">
        <v>19</v>
      </c>
      <c r="C4069" t="s">
        <v>18</v>
      </c>
      <c r="D4069" t="s">
        <v>13</v>
      </c>
      <c r="E4069">
        <v>0.98076923076922995</v>
      </c>
      <c r="F4069">
        <v>0.98302196239651995</v>
      </c>
      <c r="G4069">
        <v>176.79288673400799</v>
      </c>
      <c r="H4069">
        <v>19</v>
      </c>
      <c r="I4069">
        <v>23</v>
      </c>
      <c r="J4069">
        <v>30</v>
      </c>
    </row>
    <row r="4070" spans="1:10" x14ac:dyDescent="0.25">
      <c r="A4070" t="s">
        <v>24</v>
      </c>
      <c r="B4070" t="s">
        <v>19</v>
      </c>
      <c r="C4070" t="s">
        <v>18</v>
      </c>
      <c r="D4070" t="s">
        <v>13</v>
      </c>
      <c r="E4070">
        <v>0.98168498168498097</v>
      </c>
      <c r="F4070">
        <v>0.98333646657042095</v>
      </c>
      <c r="G4070">
        <v>177.00120401382401</v>
      </c>
      <c r="H4070">
        <v>17</v>
      </c>
      <c r="I4070">
        <v>22</v>
      </c>
      <c r="J4070">
        <v>30</v>
      </c>
    </row>
    <row r="4071" spans="1:10" x14ac:dyDescent="0.25">
      <c r="A4071" t="s">
        <v>24</v>
      </c>
      <c r="B4071" t="s">
        <v>19</v>
      </c>
      <c r="C4071" t="s">
        <v>18</v>
      </c>
      <c r="D4071" t="s">
        <v>13</v>
      </c>
      <c r="E4071">
        <v>0.97985347985347904</v>
      </c>
      <c r="F4071">
        <v>0.98014119864038396</v>
      </c>
      <c r="G4071">
        <v>176.38620948791501</v>
      </c>
      <c r="H4071">
        <v>16</v>
      </c>
      <c r="I4071">
        <v>20</v>
      </c>
      <c r="J4071">
        <v>30</v>
      </c>
    </row>
    <row r="4072" spans="1:10" x14ac:dyDescent="0.25">
      <c r="A4072" t="s">
        <v>24</v>
      </c>
      <c r="B4072" t="s">
        <v>19</v>
      </c>
      <c r="C4072" t="s">
        <v>18</v>
      </c>
      <c r="D4072" t="s">
        <v>13</v>
      </c>
      <c r="E4072">
        <v>0.98901098901098905</v>
      </c>
      <c r="F4072">
        <v>0.98914604046639099</v>
      </c>
      <c r="G4072">
        <v>176.66761326789799</v>
      </c>
      <c r="H4072">
        <v>21</v>
      </c>
      <c r="I4072">
        <v>26</v>
      </c>
      <c r="J4072">
        <v>30</v>
      </c>
    </row>
    <row r="4073" spans="1:10" x14ac:dyDescent="0.25">
      <c r="A4073" t="s">
        <v>24</v>
      </c>
      <c r="B4073" t="s">
        <v>19</v>
      </c>
      <c r="C4073" t="s">
        <v>18</v>
      </c>
      <c r="D4073" t="s">
        <v>13</v>
      </c>
      <c r="E4073">
        <v>0.98534798534798496</v>
      </c>
      <c r="F4073">
        <v>0.98585829255201396</v>
      </c>
      <c r="G4073">
        <v>177.98242759704499</v>
      </c>
      <c r="H4073">
        <v>16</v>
      </c>
      <c r="I4073">
        <v>20</v>
      </c>
      <c r="J4073">
        <v>30</v>
      </c>
    </row>
    <row r="4074" spans="1:10" x14ac:dyDescent="0.25">
      <c r="A4074" t="s">
        <v>24</v>
      </c>
      <c r="B4074" t="s">
        <v>19</v>
      </c>
      <c r="C4074" t="s">
        <v>18</v>
      </c>
      <c r="D4074" t="s">
        <v>13</v>
      </c>
      <c r="E4074">
        <v>0.98626373626373598</v>
      </c>
      <c r="F4074">
        <v>0.98751166454203299</v>
      </c>
      <c r="G4074">
        <v>180.12201237678499</v>
      </c>
      <c r="H4074">
        <v>24</v>
      </c>
      <c r="I4074">
        <v>33</v>
      </c>
      <c r="J4074">
        <v>30</v>
      </c>
    </row>
    <row r="4075" spans="1:10" x14ac:dyDescent="0.25">
      <c r="A4075" t="s">
        <v>24</v>
      </c>
      <c r="B4075" t="s">
        <v>19</v>
      </c>
      <c r="C4075" t="s">
        <v>18</v>
      </c>
      <c r="D4075" t="s">
        <v>13</v>
      </c>
      <c r="E4075">
        <v>0.97435897435897401</v>
      </c>
      <c r="F4075">
        <v>0.97587698592023797</v>
      </c>
      <c r="G4075">
        <v>179.39870572090101</v>
      </c>
      <c r="H4075">
        <v>17</v>
      </c>
      <c r="I4075">
        <v>20</v>
      </c>
      <c r="J4075">
        <v>30</v>
      </c>
    </row>
    <row r="4076" spans="1:10" x14ac:dyDescent="0.25">
      <c r="A4076" t="s">
        <v>24</v>
      </c>
      <c r="B4076" t="s">
        <v>19</v>
      </c>
      <c r="C4076" t="s">
        <v>18</v>
      </c>
      <c r="D4076" t="s">
        <v>13</v>
      </c>
      <c r="E4076">
        <v>0.98534798534798496</v>
      </c>
      <c r="F4076">
        <v>0.98725504595897395</v>
      </c>
      <c r="G4076">
        <v>179.902828216552</v>
      </c>
      <c r="H4076">
        <v>19</v>
      </c>
      <c r="I4076">
        <v>24</v>
      </c>
      <c r="J4076">
        <v>30</v>
      </c>
    </row>
    <row r="4077" spans="1:10" x14ac:dyDescent="0.25">
      <c r="A4077" t="s">
        <v>24</v>
      </c>
      <c r="B4077" t="s">
        <v>19</v>
      </c>
      <c r="C4077" t="s">
        <v>18</v>
      </c>
      <c r="D4077" t="s">
        <v>13</v>
      </c>
      <c r="E4077">
        <v>0.97802197802197799</v>
      </c>
      <c r="F4077">
        <v>0.97968647818626298</v>
      </c>
      <c r="G4077">
        <v>181.05782771110501</v>
      </c>
      <c r="H4077">
        <v>17</v>
      </c>
      <c r="I4077">
        <v>21</v>
      </c>
      <c r="J4077">
        <v>30</v>
      </c>
    </row>
    <row r="4078" spans="1:10" x14ac:dyDescent="0.25">
      <c r="A4078" t="s">
        <v>24</v>
      </c>
      <c r="B4078" t="s">
        <v>19</v>
      </c>
      <c r="C4078" t="s">
        <v>18</v>
      </c>
      <c r="D4078" t="s">
        <v>13</v>
      </c>
      <c r="E4078">
        <v>0.97802197802197799</v>
      </c>
      <c r="F4078">
        <v>0.97934441740750899</v>
      </c>
      <c r="G4078">
        <v>181.943574190139</v>
      </c>
      <c r="H4078">
        <v>18</v>
      </c>
      <c r="I4078">
        <v>24</v>
      </c>
      <c r="J4078">
        <v>30</v>
      </c>
    </row>
    <row r="4079" spans="1:10" x14ac:dyDescent="0.25">
      <c r="A4079" t="s">
        <v>24</v>
      </c>
      <c r="B4079" t="s">
        <v>19</v>
      </c>
      <c r="C4079" t="s">
        <v>18</v>
      </c>
      <c r="D4079" t="s">
        <v>13</v>
      </c>
      <c r="E4079">
        <v>0.97802197802197799</v>
      </c>
      <c r="F4079">
        <v>0.97994318009386405</v>
      </c>
      <c r="G4079">
        <v>181.90746426582299</v>
      </c>
      <c r="H4079">
        <v>18</v>
      </c>
      <c r="I4079">
        <v>22</v>
      </c>
      <c r="J4079">
        <v>30</v>
      </c>
    </row>
    <row r="4080" spans="1:10" x14ac:dyDescent="0.25">
      <c r="A4080" t="s">
        <v>24</v>
      </c>
      <c r="B4080" t="s">
        <v>19</v>
      </c>
      <c r="C4080" t="s">
        <v>18</v>
      </c>
      <c r="D4080" t="s">
        <v>13</v>
      </c>
      <c r="E4080">
        <v>0.97619047619047605</v>
      </c>
      <c r="F4080">
        <v>0.97700885268012705</v>
      </c>
      <c r="G4080">
        <v>182.18176531791599</v>
      </c>
      <c r="H4080">
        <v>19</v>
      </c>
      <c r="I4080">
        <v>26</v>
      </c>
      <c r="J4080">
        <v>30</v>
      </c>
    </row>
    <row r="4081" spans="1:10" x14ac:dyDescent="0.25">
      <c r="A4081" t="s">
        <v>24</v>
      </c>
      <c r="B4081" t="s">
        <v>19</v>
      </c>
      <c r="C4081" t="s">
        <v>18</v>
      </c>
      <c r="D4081" t="s">
        <v>13</v>
      </c>
      <c r="E4081">
        <v>0.97069597069597002</v>
      </c>
      <c r="F4081">
        <v>0.97182663080128195</v>
      </c>
      <c r="G4081">
        <v>182.122501611709</v>
      </c>
      <c r="H4081">
        <v>17</v>
      </c>
      <c r="I4081">
        <v>21</v>
      </c>
      <c r="J4081">
        <v>30</v>
      </c>
    </row>
    <row r="4082" spans="1:10" x14ac:dyDescent="0.25">
      <c r="A4082" t="s">
        <v>24</v>
      </c>
      <c r="B4082" t="s">
        <v>19</v>
      </c>
      <c r="C4082" t="s">
        <v>18</v>
      </c>
      <c r="D4082" t="s">
        <v>14</v>
      </c>
      <c r="E4082">
        <v>0.92948717948717896</v>
      </c>
      <c r="F4082">
        <v>0.93856900740503701</v>
      </c>
      <c r="G4082">
        <v>17.445142507553101</v>
      </c>
      <c r="H4082">
        <v>11</v>
      </c>
      <c r="I4082">
        <v>11</v>
      </c>
      <c r="J4082">
        <v>30</v>
      </c>
    </row>
    <row r="4083" spans="1:10" x14ac:dyDescent="0.25">
      <c r="A4083" t="s">
        <v>24</v>
      </c>
      <c r="B4083" t="s">
        <v>19</v>
      </c>
      <c r="C4083" t="s">
        <v>18</v>
      </c>
      <c r="D4083" t="s">
        <v>14</v>
      </c>
      <c r="E4083">
        <v>0.93864468864468797</v>
      </c>
      <c r="F4083">
        <v>0.94532162484020099</v>
      </c>
      <c r="G4083">
        <v>19.0929999351501</v>
      </c>
      <c r="H4083">
        <v>11</v>
      </c>
      <c r="I4083">
        <v>11</v>
      </c>
      <c r="J4083">
        <v>30</v>
      </c>
    </row>
    <row r="4084" spans="1:10" x14ac:dyDescent="0.25">
      <c r="A4084" t="s">
        <v>24</v>
      </c>
      <c r="B4084" t="s">
        <v>19</v>
      </c>
      <c r="C4084" t="s">
        <v>18</v>
      </c>
      <c r="D4084" t="s">
        <v>14</v>
      </c>
      <c r="E4084">
        <v>0.90842490842490797</v>
      </c>
      <c r="F4084">
        <v>0.92565907752326004</v>
      </c>
      <c r="G4084">
        <v>20.055108547210601</v>
      </c>
      <c r="H4084">
        <v>9</v>
      </c>
      <c r="I4084">
        <v>9</v>
      </c>
      <c r="J4084">
        <v>30</v>
      </c>
    </row>
    <row r="4085" spans="1:10" x14ac:dyDescent="0.25">
      <c r="A4085" t="s">
        <v>24</v>
      </c>
      <c r="B4085" t="s">
        <v>19</v>
      </c>
      <c r="C4085" t="s">
        <v>18</v>
      </c>
      <c r="D4085" t="s">
        <v>14</v>
      </c>
      <c r="E4085">
        <v>0.90476190476190399</v>
      </c>
      <c r="F4085">
        <v>0.92350568758031204</v>
      </c>
      <c r="G4085">
        <v>20.232832193374598</v>
      </c>
      <c r="H4085">
        <v>9</v>
      </c>
      <c r="I4085">
        <v>9</v>
      </c>
      <c r="J4085">
        <v>30</v>
      </c>
    </row>
    <row r="4086" spans="1:10" x14ac:dyDescent="0.25">
      <c r="A4086" t="s">
        <v>24</v>
      </c>
      <c r="B4086" t="s">
        <v>19</v>
      </c>
      <c r="C4086" t="s">
        <v>18</v>
      </c>
      <c r="D4086" t="s">
        <v>14</v>
      </c>
      <c r="E4086">
        <v>0.91208791208791196</v>
      </c>
      <c r="F4086">
        <v>0.92788759059825898</v>
      </c>
      <c r="G4086">
        <v>20.732875585555998</v>
      </c>
      <c r="H4086">
        <v>11</v>
      </c>
      <c r="I4086">
        <v>11</v>
      </c>
      <c r="J4086">
        <v>30</v>
      </c>
    </row>
    <row r="4087" spans="1:10" x14ac:dyDescent="0.25">
      <c r="A4087" t="s">
        <v>24</v>
      </c>
      <c r="B4087" t="s">
        <v>19</v>
      </c>
      <c r="C4087" t="s">
        <v>18</v>
      </c>
      <c r="D4087" t="s">
        <v>14</v>
      </c>
      <c r="E4087">
        <v>0.89743589743589702</v>
      </c>
      <c r="F4087">
        <v>0.91795043155</v>
      </c>
      <c r="G4087">
        <v>20.8707339763641</v>
      </c>
      <c r="H4087">
        <v>9</v>
      </c>
      <c r="I4087">
        <v>9</v>
      </c>
      <c r="J4087">
        <v>30</v>
      </c>
    </row>
    <row r="4088" spans="1:10" x14ac:dyDescent="0.25">
      <c r="A4088" t="s">
        <v>24</v>
      </c>
      <c r="B4088" t="s">
        <v>19</v>
      </c>
      <c r="C4088" t="s">
        <v>18</v>
      </c>
      <c r="D4088" t="s">
        <v>14</v>
      </c>
      <c r="E4088">
        <v>0.91483516483516403</v>
      </c>
      <c r="F4088">
        <v>0.92949467743196001</v>
      </c>
      <c r="G4088">
        <v>21.8451216220855</v>
      </c>
      <c r="H4088">
        <v>11</v>
      </c>
      <c r="I4088">
        <v>11</v>
      </c>
      <c r="J4088">
        <v>30</v>
      </c>
    </row>
    <row r="4089" spans="1:10" x14ac:dyDescent="0.25">
      <c r="A4089" t="s">
        <v>24</v>
      </c>
      <c r="B4089" t="s">
        <v>19</v>
      </c>
      <c r="C4089" t="s">
        <v>18</v>
      </c>
      <c r="D4089" t="s">
        <v>14</v>
      </c>
      <c r="E4089">
        <v>0.91117216117216104</v>
      </c>
      <c r="F4089">
        <v>0.92688267247179601</v>
      </c>
      <c r="G4089">
        <v>22.661641597747799</v>
      </c>
      <c r="H4089">
        <v>11</v>
      </c>
      <c r="I4089">
        <v>11</v>
      </c>
      <c r="J4089">
        <v>30</v>
      </c>
    </row>
    <row r="4090" spans="1:10" x14ac:dyDescent="0.25">
      <c r="A4090" t="s">
        <v>24</v>
      </c>
      <c r="B4090" t="s">
        <v>19</v>
      </c>
      <c r="C4090" t="s">
        <v>18</v>
      </c>
      <c r="D4090" t="s">
        <v>14</v>
      </c>
      <c r="E4090">
        <v>0.91025641025641002</v>
      </c>
      <c r="F4090">
        <v>0.92651033522307702</v>
      </c>
      <c r="G4090">
        <v>22.783777236938398</v>
      </c>
      <c r="H4090">
        <v>9</v>
      </c>
      <c r="I4090">
        <v>9</v>
      </c>
      <c r="J4090">
        <v>30</v>
      </c>
    </row>
    <row r="4091" spans="1:10" x14ac:dyDescent="0.25">
      <c r="A4091" t="s">
        <v>24</v>
      </c>
      <c r="B4091" t="s">
        <v>19</v>
      </c>
      <c r="C4091" t="s">
        <v>18</v>
      </c>
      <c r="D4091" t="s">
        <v>14</v>
      </c>
      <c r="E4091">
        <v>0.92032967032966995</v>
      </c>
      <c r="F4091">
        <v>0.93114038358635498</v>
      </c>
      <c r="G4091">
        <v>22.957867145538302</v>
      </c>
      <c r="H4091">
        <v>10</v>
      </c>
      <c r="I4091">
        <v>10</v>
      </c>
      <c r="J4091">
        <v>30</v>
      </c>
    </row>
    <row r="4092" spans="1:10" x14ac:dyDescent="0.25">
      <c r="A4092" t="s">
        <v>24</v>
      </c>
      <c r="B4092" t="s">
        <v>19</v>
      </c>
      <c r="C4092" t="s">
        <v>18</v>
      </c>
      <c r="D4092" t="s">
        <v>14</v>
      </c>
      <c r="E4092">
        <v>0.90293040293040205</v>
      </c>
      <c r="F4092">
        <v>0.92155659125915701</v>
      </c>
      <c r="G4092">
        <v>23.391941070556602</v>
      </c>
      <c r="H4092">
        <v>9</v>
      </c>
      <c r="I4092">
        <v>9</v>
      </c>
      <c r="J4092">
        <v>30</v>
      </c>
    </row>
    <row r="4093" spans="1:10" x14ac:dyDescent="0.25">
      <c r="A4093" t="s">
        <v>24</v>
      </c>
      <c r="B4093" t="s">
        <v>19</v>
      </c>
      <c r="C4093" t="s">
        <v>18</v>
      </c>
      <c r="D4093" t="s">
        <v>14</v>
      </c>
      <c r="E4093">
        <v>0.90659340659340604</v>
      </c>
      <c r="F4093">
        <v>0.92422163499541998</v>
      </c>
      <c r="G4093">
        <v>23.4388220310211</v>
      </c>
      <c r="H4093">
        <v>11</v>
      </c>
      <c r="I4093">
        <v>11</v>
      </c>
      <c r="J4093">
        <v>30</v>
      </c>
    </row>
    <row r="4094" spans="1:10" x14ac:dyDescent="0.25">
      <c r="A4094" t="s">
        <v>24</v>
      </c>
      <c r="B4094" t="s">
        <v>19</v>
      </c>
      <c r="C4094" t="s">
        <v>18</v>
      </c>
      <c r="D4094" t="s">
        <v>14</v>
      </c>
      <c r="E4094">
        <v>0.91208791208791196</v>
      </c>
      <c r="F4094">
        <v>0.92769893050183105</v>
      </c>
      <c r="G4094">
        <v>23.467458724975501</v>
      </c>
      <c r="H4094">
        <v>9</v>
      </c>
      <c r="I4094">
        <v>9</v>
      </c>
      <c r="J4094">
        <v>30</v>
      </c>
    </row>
    <row r="4095" spans="1:10" x14ac:dyDescent="0.25">
      <c r="A4095" t="s">
        <v>24</v>
      </c>
      <c r="B4095" t="s">
        <v>19</v>
      </c>
      <c r="C4095" t="s">
        <v>18</v>
      </c>
      <c r="D4095" t="s">
        <v>14</v>
      </c>
      <c r="E4095">
        <v>0.91300366300366298</v>
      </c>
      <c r="F4095">
        <v>0.92656373114606105</v>
      </c>
      <c r="G4095">
        <v>23.447379350662199</v>
      </c>
      <c r="H4095">
        <v>10</v>
      </c>
      <c r="I4095">
        <v>10</v>
      </c>
      <c r="J4095">
        <v>30</v>
      </c>
    </row>
    <row r="4096" spans="1:10" x14ac:dyDescent="0.25">
      <c r="A4096" t="s">
        <v>24</v>
      </c>
      <c r="B4096" t="s">
        <v>19</v>
      </c>
      <c r="C4096" t="s">
        <v>18</v>
      </c>
      <c r="D4096" t="s">
        <v>14</v>
      </c>
      <c r="E4096">
        <v>0.91849816849816801</v>
      </c>
      <c r="F4096">
        <v>0.93221174568644605</v>
      </c>
      <c r="G4096">
        <v>23.863783121109002</v>
      </c>
      <c r="H4096">
        <v>11</v>
      </c>
      <c r="I4096">
        <v>11</v>
      </c>
      <c r="J4096">
        <v>30</v>
      </c>
    </row>
    <row r="4097" spans="1:10" x14ac:dyDescent="0.25">
      <c r="A4097" t="s">
        <v>24</v>
      </c>
      <c r="B4097" t="s">
        <v>19</v>
      </c>
      <c r="C4097" t="s">
        <v>18</v>
      </c>
      <c r="D4097" t="s">
        <v>14</v>
      </c>
      <c r="E4097">
        <v>0.92124542124542097</v>
      </c>
      <c r="F4097">
        <v>0.93373545186446805</v>
      </c>
      <c r="G4097">
        <v>24.288632869720399</v>
      </c>
      <c r="H4097">
        <v>11</v>
      </c>
      <c r="I4097">
        <v>11</v>
      </c>
      <c r="J4097">
        <v>30</v>
      </c>
    </row>
    <row r="4098" spans="1:10" x14ac:dyDescent="0.25">
      <c r="A4098" t="s">
        <v>24</v>
      </c>
      <c r="B4098" t="s">
        <v>19</v>
      </c>
      <c r="C4098" t="s">
        <v>18</v>
      </c>
      <c r="D4098" t="s">
        <v>14</v>
      </c>
      <c r="E4098">
        <v>0.90384615384615297</v>
      </c>
      <c r="F4098">
        <v>0.921429687192582</v>
      </c>
      <c r="G4098">
        <v>24.381346702575598</v>
      </c>
      <c r="H4098">
        <v>11</v>
      </c>
      <c r="I4098">
        <v>11</v>
      </c>
      <c r="J4098">
        <v>30</v>
      </c>
    </row>
    <row r="4099" spans="1:10" x14ac:dyDescent="0.25">
      <c r="A4099" t="s">
        <v>24</v>
      </c>
      <c r="B4099" t="s">
        <v>19</v>
      </c>
      <c r="C4099" t="s">
        <v>18</v>
      </c>
      <c r="D4099" t="s">
        <v>14</v>
      </c>
      <c r="E4099">
        <v>0.90201465201465203</v>
      </c>
      <c r="F4099">
        <v>0.92153252222023796</v>
      </c>
      <c r="G4099">
        <v>24.351528167724599</v>
      </c>
      <c r="H4099">
        <v>9</v>
      </c>
      <c r="I4099">
        <v>9</v>
      </c>
      <c r="J4099">
        <v>30</v>
      </c>
    </row>
    <row r="4100" spans="1:10" x14ac:dyDescent="0.25">
      <c r="A4100" t="s">
        <v>24</v>
      </c>
      <c r="B4100" t="s">
        <v>19</v>
      </c>
      <c r="C4100" t="s">
        <v>18</v>
      </c>
      <c r="D4100" t="s">
        <v>14</v>
      </c>
      <c r="E4100">
        <v>0.90659340659340604</v>
      </c>
      <c r="F4100">
        <v>0.92303768320576896</v>
      </c>
      <c r="G4100">
        <v>24.504425764083798</v>
      </c>
      <c r="H4100">
        <v>9</v>
      </c>
      <c r="I4100">
        <v>9</v>
      </c>
      <c r="J4100">
        <v>30</v>
      </c>
    </row>
    <row r="4101" spans="1:10" x14ac:dyDescent="0.25">
      <c r="A4101" t="s">
        <v>24</v>
      </c>
      <c r="B4101" t="s">
        <v>19</v>
      </c>
      <c r="C4101" t="s">
        <v>18</v>
      </c>
      <c r="D4101" t="s">
        <v>14</v>
      </c>
      <c r="E4101">
        <v>0.92307692307692302</v>
      </c>
      <c r="F4101">
        <v>0.93463929907417498</v>
      </c>
      <c r="G4101">
        <v>24.388550758361799</v>
      </c>
      <c r="H4101">
        <v>11</v>
      </c>
      <c r="I4101">
        <v>11</v>
      </c>
      <c r="J4101">
        <v>30</v>
      </c>
    </row>
    <row r="4102" spans="1:10" x14ac:dyDescent="0.25">
      <c r="A4102" t="s">
        <v>24</v>
      </c>
      <c r="B4102" t="s">
        <v>19</v>
      </c>
      <c r="C4102" t="s">
        <v>18</v>
      </c>
      <c r="D4102" t="s">
        <v>14</v>
      </c>
      <c r="E4102">
        <v>0.91575091575091505</v>
      </c>
      <c r="F4102">
        <v>0.928484333355861</v>
      </c>
      <c r="G4102">
        <v>24.168717861175502</v>
      </c>
      <c r="H4102">
        <v>9</v>
      </c>
      <c r="I4102">
        <v>9</v>
      </c>
      <c r="J4102">
        <v>30</v>
      </c>
    </row>
    <row r="4103" spans="1:10" x14ac:dyDescent="0.25">
      <c r="A4103" t="s">
        <v>24</v>
      </c>
      <c r="B4103" t="s">
        <v>19</v>
      </c>
      <c r="C4103" t="s">
        <v>18</v>
      </c>
      <c r="D4103" t="s">
        <v>14</v>
      </c>
      <c r="E4103">
        <v>0.89926739926739896</v>
      </c>
      <c r="F4103">
        <v>0.91902048421987104</v>
      </c>
      <c r="G4103">
        <v>24.6684474945068</v>
      </c>
      <c r="H4103">
        <v>9</v>
      </c>
      <c r="I4103">
        <v>9</v>
      </c>
      <c r="J4103">
        <v>30</v>
      </c>
    </row>
    <row r="4104" spans="1:10" x14ac:dyDescent="0.25">
      <c r="A4104" t="s">
        <v>24</v>
      </c>
      <c r="B4104" t="s">
        <v>19</v>
      </c>
      <c r="C4104" t="s">
        <v>18</v>
      </c>
      <c r="D4104" t="s">
        <v>14</v>
      </c>
      <c r="E4104">
        <v>0.91758241758241699</v>
      </c>
      <c r="F4104">
        <v>0.93187623081071402</v>
      </c>
      <c r="G4104">
        <v>24.764562129974301</v>
      </c>
      <c r="H4104">
        <v>11</v>
      </c>
      <c r="I4104">
        <v>11</v>
      </c>
      <c r="J4104">
        <v>30</v>
      </c>
    </row>
    <row r="4105" spans="1:10" x14ac:dyDescent="0.25">
      <c r="A4105" t="s">
        <v>24</v>
      </c>
      <c r="B4105" t="s">
        <v>19</v>
      </c>
      <c r="C4105" t="s">
        <v>18</v>
      </c>
      <c r="D4105" t="s">
        <v>14</v>
      </c>
      <c r="E4105">
        <v>0.909340659340659</v>
      </c>
      <c r="F4105">
        <v>0.925760718049083</v>
      </c>
      <c r="G4105">
        <v>24.941813230514501</v>
      </c>
      <c r="H4105">
        <v>9</v>
      </c>
      <c r="I4105">
        <v>9</v>
      </c>
      <c r="J4105">
        <v>30</v>
      </c>
    </row>
    <row r="4106" spans="1:10" x14ac:dyDescent="0.25">
      <c r="A4106" t="s">
        <v>24</v>
      </c>
      <c r="B4106" t="s">
        <v>19</v>
      </c>
      <c r="C4106" t="s">
        <v>18</v>
      </c>
      <c r="D4106" t="s">
        <v>14</v>
      </c>
      <c r="E4106">
        <v>0.91117216117216104</v>
      </c>
      <c r="F4106">
        <v>0.92435706625732506</v>
      </c>
      <c r="G4106">
        <v>24.9362151622772</v>
      </c>
      <c r="H4106">
        <v>9</v>
      </c>
      <c r="I4106">
        <v>9</v>
      </c>
      <c r="J4106">
        <v>30</v>
      </c>
    </row>
    <row r="4107" spans="1:10" x14ac:dyDescent="0.25">
      <c r="A4107" t="s">
        <v>24</v>
      </c>
      <c r="B4107" t="s">
        <v>19</v>
      </c>
      <c r="C4107" t="s">
        <v>18</v>
      </c>
      <c r="D4107" t="s">
        <v>14</v>
      </c>
      <c r="E4107">
        <v>0.91849816849816801</v>
      </c>
      <c r="F4107">
        <v>0.93213174990659398</v>
      </c>
      <c r="G4107">
        <v>25.003647327423</v>
      </c>
      <c r="H4107">
        <v>11</v>
      </c>
      <c r="I4107">
        <v>11</v>
      </c>
      <c r="J4107">
        <v>30</v>
      </c>
    </row>
    <row r="4108" spans="1:10" x14ac:dyDescent="0.25">
      <c r="A4108" t="s">
        <v>24</v>
      </c>
      <c r="B4108" t="s">
        <v>19</v>
      </c>
      <c r="C4108" t="s">
        <v>18</v>
      </c>
      <c r="D4108" t="s">
        <v>14</v>
      </c>
      <c r="E4108">
        <v>0.90659340659340604</v>
      </c>
      <c r="F4108">
        <v>0.92319938649935895</v>
      </c>
      <c r="G4108">
        <v>24.983106613159102</v>
      </c>
      <c r="H4108">
        <v>9</v>
      </c>
      <c r="I4108">
        <v>9</v>
      </c>
      <c r="J4108">
        <v>30</v>
      </c>
    </row>
    <row r="4109" spans="1:10" x14ac:dyDescent="0.25">
      <c r="A4109" t="s">
        <v>24</v>
      </c>
      <c r="B4109" t="s">
        <v>19</v>
      </c>
      <c r="C4109" t="s">
        <v>18</v>
      </c>
      <c r="D4109" t="s">
        <v>14</v>
      </c>
      <c r="E4109">
        <v>0.89468864468864395</v>
      </c>
      <c r="F4109">
        <v>0.91622074540613396</v>
      </c>
      <c r="G4109">
        <v>25.124441385269101</v>
      </c>
      <c r="H4109">
        <v>9</v>
      </c>
      <c r="I4109">
        <v>9</v>
      </c>
      <c r="J4109">
        <v>30</v>
      </c>
    </row>
    <row r="4110" spans="1:10" x14ac:dyDescent="0.25">
      <c r="A4110" t="s">
        <v>24</v>
      </c>
      <c r="B4110" t="s">
        <v>19</v>
      </c>
      <c r="C4110" t="s">
        <v>18</v>
      </c>
      <c r="D4110" t="s">
        <v>14</v>
      </c>
      <c r="E4110">
        <v>0.89468864468864395</v>
      </c>
      <c r="F4110">
        <v>0.91532973342152002</v>
      </c>
      <c r="G4110">
        <v>24.669148445129299</v>
      </c>
      <c r="H4110">
        <v>9</v>
      </c>
      <c r="I4110">
        <v>9</v>
      </c>
      <c r="J4110">
        <v>30</v>
      </c>
    </row>
    <row r="4111" spans="1:10" x14ac:dyDescent="0.25">
      <c r="A4111" t="s">
        <v>24</v>
      </c>
      <c r="B4111" t="s">
        <v>19</v>
      </c>
      <c r="C4111" t="s">
        <v>18</v>
      </c>
      <c r="D4111" t="s">
        <v>14</v>
      </c>
      <c r="E4111">
        <v>0.91208791208791196</v>
      </c>
      <c r="F4111">
        <v>0.927349266890934</v>
      </c>
      <c r="G4111">
        <v>25.196489334106399</v>
      </c>
      <c r="H4111">
        <v>11</v>
      </c>
      <c r="I4111">
        <v>11</v>
      </c>
      <c r="J4111">
        <v>30</v>
      </c>
    </row>
    <row r="4112" spans="1:10" x14ac:dyDescent="0.25">
      <c r="A4112" t="s">
        <v>24</v>
      </c>
      <c r="B4112" t="s">
        <v>19</v>
      </c>
      <c r="C4112" t="s">
        <v>18</v>
      </c>
      <c r="D4112" t="s">
        <v>15</v>
      </c>
      <c r="E4112">
        <v>0</v>
      </c>
      <c r="F4112">
        <v>0.75</v>
      </c>
      <c r="G4112">
        <v>60.578344583511303</v>
      </c>
      <c r="H4112">
        <v>1</v>
      </c>
      <c r="I4112">
        <v>2</v>
      </c>
      <c r="J4112">
        <v>30</v>
      </c>
    </row>
    <row r="4113" spans="1:10" x14ac:dyDescent="0.25">
      <c r="A4113" t="s">
        <v>24</v>
      </c>
      <c r="B4113" t="s">
        <v>19</v>
      </c>
      <c r="C4113" t="s">
        <v>18</v>
      </c>
      <c r="D4113" t="s">
        <v>15</v>
      </c>
      <c r="E4113">
        <v>0</v>
      </c>
      <c r="F4113">
        <v>0.75</v>
      </c>
      <c r="G4113">
        <v>61.461876392364502</v>
      </c>
      <c r="H4113">
        <v>1</v>
      </c>
      <c r="I4113">
        <v>2</v>
      </c>
      <c r="J4113">
        <v>30</v>
      </c>
    </row>
    <row r="4114" spans="1:10" x14ac:dyDescent="0.25">
      <c r="A4114" t="s">
        <v>24</v>
      </c>
      <c r="B4114" t="s">
        <v>19</v>
      </c>
      <c r="C4114" t="s">
        <v>18</v>
      </c>
      <c r="D4114" t="s">
        <v>15</v>
      </c>
      <c r="E4114">
        <v>0</v>
      </c>
      <c r="F4114">
        <v>0.75</v>
      </c>
      <c r="G4114">
        <v>65.905000209808307</v>
      </c>
      <c r="H4114">
        <v>1</v>
      </c>
      <c r="I4114">
        <v>3</v>
      </c>
      <c r="J4114">
        <v>30</v>
      </c>
    </row>
    <row r="4115" spans="1:10" x14ac:dyDescent="0.25">
      <c r="A4115" t="s">
        <v>24</v>
      </c>
      <c r="B4115" t="s">
        <v>19</v>
      </c>
      <c r="C4115" t="s">
        <v>18</v>
      </c>
      <c r="D4115" t="s">
        <v>15</v>
      </c>
      <c r="E4115">
        <v>0</v>
      </c>
      <c r="F4115">
        <v>0.75</v>
      </c>
      <c r="G4115">
        <v>68.838577508926306</v>
      </c>
      <c r="H4115">
        <v>2</v>
      </c>
      <c r="I4115">
        <v>4</v>
      </c>
      <c r="J4115">
        <v>30</v>
      </c>
    </row>
    <row r="4116" spans="1:10" x14ac:dyDescent="0.25">
      <c r="A4116" t="s">
        <v>24</v>
      </c>
      <c r="B4116" t="s">
        <v>19</v>
      </c>
      <c r="C4116" t="s">
        <v>18</v>
      </c>
      <c r="D4116" t="s">
        <v>15</v>
      </c>
      <c r="E4116">
        <v>0</v>
      </c>
      <c r="F4116">
        <v>0.75</v>
      </c>
      <c r="G4116">
        <v>71.559679985046301</v>
      </c>
      <c r="H4116">
        <v>2</v>
      </c>
      <c r="I4116">
        <v>5</v>
      </c>
      <c r="J4116">
        <v>30</v>
      </c>
    </row>
    <row r="4117" spans="1:10" x14ac:dyDescent="0.25">
      <c r="A4117" t="s">
        <v>24</v>
      </c>
      <c r="B4117" t="s">
        <v>19</v>
      </c>
      <c r="C4117" t="s">
        <v>18</v>
      </c>
      <c r="D4117" t="s">
        <v>15</v>
      </c>
      <c r="E4117">
        <v>0</v>
      </c>
      <c r="F4117">
        <v>0.75</v>
      </c>
      <c r="G4117">
        <v>71.993937730789099</v>
      </c>
      <c r="H4117">
        <v>2</v>
      </c>
      <c r="I4117">
        <v>5</v>
      </c>
      <c r="J4117">
        <v>30</v>
      </c>
    </row>
    <row r="4118" spans="1:10" x14ac:dyDescent="0.25">
      <c r="A4118" t="s">
        <v>24</v>
      </c>
      <c r="B4118" t="s">
        <v>19</v>
      </c>
      <c r="C4118" t="s">
        <v>18</v>
      </c>
      <c r="D4118" t="s">
        <v>15</v>
      </c>
      <c r="E4118">
        <v>0</v>
      </c>
      <c r="F4118">
        <v>0.75</v>
      </c>
      <c r="G4118">
        <v>72.921608686447101</v>
      </c>
      <c r="H4118">
        <v>2</v>
      </c>
      <c r="I4118">
        <v>5</v>
      </c>
      <c r="J4118">
        <v>30</v>
      </c>
    </row>
    <row r="4119" spans="1:10" x14ac:dyDescent="0.25">
      <c r="A4119" t="s">
        <v>24</v>
      </c>
      <c r="B4119" t="s">
        <v>19</v>
      </c>
      <c r="C4119" t="s">
        <v>18</v>
      </c>
      <c r="D4119" t="s">
        <v>15</v>
      </c>
      <c r="E4119">
        <v>0</v>
      </c>
      <c r="F4119">
        <v>0.75</v>
      </c>
      <c r="G4119">
        <v>73.117859125137301</v>
      </c>
      <c r="H4119">
        <v>2</v>
      </c>
      <c r="I4119">
        <v>5</v>
      </c>
      <c r="J4119">
        <v>30</v>
      </c>
    </row>
    <row r="4120" spans="1:10" x14ac:dyDescent="0.25">
      <c r="A4120" t="s">
        <v>24</v>
      </c>
      <c r="B4120" t="s">
        <v>19</v>
      </c>
      <c r="C4120" t="s">
        <v>18</v>
      </c>
      <c r="D4120" t="s">
        <v>15</v>
      </c>
      <c r="E4120">
        <v>0</v>
      </c>
      <c r="F4120">
        <v>0.75</v>
      </c>
      <c r="G4120">
        <v>74.695317745208698</v>
      </c>
      <c r="H4120">
        <v>2</v>
      </c>
      <c r="I4120">
        <v>5</v>
      </c>
      <c r="J4120">
        <v>30</v>
      </c>
    </row>
    <row r="4121" spans="1:10" x14ac:dyDescent="0.25">
      <c r="A4121" t="s">
        <v>24</v>
      </c>
      <c r="B4121" t="s">
        <v>19</v>
      </c>
      <c r="C4121" t="s">
        <v>18</v>
      </c>
      <c r="D4121" t="s">
        <v>15</v>
      </c>
      <c r="E4121">
        <v>0</v>
      </c>
      <c r="F4121">
        <v>0.75</v>
      </c>
      <c r="G4121">
        <v>75.507823705673204</v>
      </c>
      <c r="H4121">
        <v>2</v>
      </c>
      <c r="I4121">
        <v>5</v>
      </c>
      <c r="J4121">
        <v>30</v>
      </c>
    </row>
    <row r="4122" spans="1:10" x14ac:dyDescent="0.25">
      <c r="A4122" t="s">
        <v>24</v>
      </c>
      <c r="B4122" t="s">
        <v>19</v>
      </c>
      <c r="C4122" t="s">
        <v>18</v>
      </c>
      <c r="D4122" t="s">
        <v>15</v>
      </c>
      <c r="E4122">
        <v>0</v>
      </c>
      <c r="F4122">
        <v>0.75</v>
      </c>
      <c r="G4122">
        <v>75.797493696212698</v>
      </c>
      <c r="H4122">
        <v>2</v>
      </c>
      <c r="I4122">
        <v>5</v>
      </c>
      <c r="J4122">
        <v>30</v>
      </c>
    </row>
    <row r="4123" spans="1:10" x14ac:dyDescent="0.25">
      <c r="A4123" t="s">
        <v>24</v>
      </c>
      <c r="B4123" t="s">
        <v>19</v>
      </c>
      <c r="C4123" t="s">
        <v>18</v>
      </c>
      <c r="D4123" t="s">
        <v>15</v>
      </c>
      <c r="E4123">
        <v>0</v>
      </c>
      <c r="F4123">
        <v>0.75</v>
      </c>
      <c r="G4123">
        <v>76.500758647918701</v>
      </c>
      <c r="H4123">
        <v>2</v>
      </c>
      <c r="I4123">
        <v>4</v>
      </c>
      <c r="J4123">
        <v>30</v>
      </c>
    </row>
    <row r="4124" spans="1:10" x14ac:dyDescent="0.25">
      <c r="A4124" t="s">
        <v>24</v>
      </c>
      <c r="B4124" t="s">
        <v>19</v>
      </c>
      <c r="C4124" t="s">
        <v>18</v>
      </c>
      <c r="D4124" t="s">
        <v>15</v>
      </c>
      <c r="E4124">
        <v>0</v>
      </c>
      <c r="F4124">
        <v>0.75</v>
      </c>
      <c r="G4124">
        <v>78.000400781631399</v>
      </c>
      <c r="H4124">
        <v>2</v>
      </c>
      <c r="I4124">
        <v>5</v>
      </c>
      <c r="J4124">
        <v>30</v>
      </c>
    </row>
    <row r="4125" spans="1:10" x14ac:dyDescent="0.25">
      <c r="A4125" t="s">
        <v>24</v>
      </c>
      <c r="B4125" t="s">
        <v>19</v>
      </c>
      <c r="C4125" t="s">
        <v>18</v>
      </c>
      <c r="D4125" t="s">
        <v>15</v>
      </c>
      <c r="E4125">
        <v>0</v>
      </c>
      <c r="F4125">
        <v>0.75</v>
      </c>
      <c r="G4125">
        <v>79.0580539703369</v>
      </c>
      <c r="H4125">
        <v>1</v>
      </c>
      <c r="I4125">
        <v>2</v>
      </c>
      <c r="J4125">
        <v>30</v>
      </c>
    </row>
    <row r="4126" spans="1:10" x14ac:dyDescent="0.25">
      <c r="A4126" t="s">
        <v>24</v>
      </c>
      <c r="B4126" t="s">
        <v>19</v>
      </c>
      <c r="C4126" t="s">
        <v>18</v>
      </c>
      <c r="D4126" t="s">
        <v>15</v>
      </c>
      <c r="E4126">
        <v>0</v>
      </c>
      <c r="F4126">
        <v>0.75</v>
      </c>
      <c r="G4126">
        <v>79.435566186904893</v>
      </c>
      <c r="H4126">
        <v>1</v>
      </c>
      <c r="I4126">
        <v>2</v>
      </c>
      <c r="J4126">
        <v>30</v>
      </c>
    </row>
    <row r="4127" spans="1:10" x14ac:dyDescent="0.25">
      <c r="A4127" t="s">
        <v>24</v>
      </c>
      <c r="B4127" t="s">
        <v>19</v>
      </c>
      <c r="C4127" t="s">
        <v>18</v>
      </c>
      <c r="D4127" t="s">
        <v>15</v>
      </c>
      <c r="E4127">
        <v>0</v>
      </c>
      <c r="F4127">
        <v>0.75</v>
      </c>
      <c r="G4127">
        <v>81.592346668243394</v>
      </c>
      <c r="H4127">
        <v>2</v>
      </c>
      <c r="I4127">
        <v>5</v>
      </c>
      <c r="J4127">
        <v>30</v>
      </c>
    </row>
    <row r="4128" spans="1:10" x14ac:dyDescent="0.25">
      <c r="A4128" t="s">
        <v>24</v>
      </c>
      <c r="B4128" t="s">
        <v>19</v>
      </c>
      <c r="C4128" t="s">
        <v>18</v>
      </c>
      <c r="D4128" t="s">
        <v>15</v>
      </c>
      <c r="E4128">
        <v>0</v>
      </c>
      <c r="F4128">
        <v>0.74990384615384598</v>
      </c>
      <c r="G4128">
        <v>82.184533119201603</v>
      </c>
      <c r="H4128">
        <v>2</v>
      </c>
      <c r="I4128">
        <v>4</v>
      </c>
      <c r="J4128">
        <v>30</v>
      </c>
    </row>
    <row r="4129" spans="1:10" x14ac:dyDescent="0.25">
      <c r="A4129" t="s">
        <v>24</v>
      </c>
      <c r="B4129" t="s">
        <v>19</v>
      </c>
      <c r="C4129" t="s">
        <v>18</v>
      </c>
      <c r="D4129" t="s">
        <v>15</v>
      </c>
      <c r="E4129">
        <v>0</v>
      </c>
      <c r="F4129">
        <v>0.75</v>
      </c>
      <c r="G4129">
        <v>82.922904014587402</v>
      </c>
      <c r="H4129">
        <v>2</v>
      </c>
      <c r="I4129">
        <v>6</v>
      </c>
      <c r="J4129">
        <v>30</v>
      </c>
    </row>
    <row r="4130" spans="1:10" x14ac:dyDescent="0.25">
      <c r="A4130" t="s">
        <v>24</v>
      </c>
      <c r="B4130" t="s">
        <v>19</v>
      </c>
      <c r="C4130" t="s">
        <v>18</v>
      </c>
      <c r="D4130" t="s">
        <v>15</v>
      </c>
      <c r="E4130">
        <v>0</v>
      </c>
      <c r="F4130">
        <v>0.75</v>
      </c>
      <c r="G4130">
        <v>84.033034086227403</v>
      </c>
      <c r="H4130">
        <v>2</v>
      </c>
      <c r="I4130">
        <v>5</v>
      </c>
      <c r="J4130">
        <v>30</v>
      </c>
    </row>
    <row r="4131" spans="1:10" x14ac:dyDescent="0.25">
      <c r="A4131" t="s">
        <v>24</v>
      </c>
      <c r="B4131" t="s">
        <v>19</v>
      </c>
      <c r="C4131" t="s">
        <v>18</v>
      </c>
      <c r="D4131" t="s">
        <v>15</v>
      </c>
      <c r="E4131">
        <v>0</v>
      </c>
      <c r="F4131">
        <v>0.75</v>
      </c>
      <c r="G4131">
        <v>84.631773710250798</v>
      </c>
      <c r="H4131">
        <v>2</v>
      </c>
      <c r="I4131">
        <v>5</v>
      </c>
      <c r="J4131">
        <v>30</v>
      </c>
    </row>
    <row r="4132" spans="1:10" x14ac:dyDescent="0.25">
      <c r="A4132" t="s">
        <v>24</v>
      </c>
      <c r="B4132" t="s">
        <v>19</v>
      </c>
      <c r="C4132" t="s">
        <v>18</v>
      </c>
      <c r="D4132" t="s">
        <v>15</v>
      </c>
      <c r="E4132">
        <v>0</v>
      </c>
      <c r="F4132">
        <v>0.75</v>
      </c>
      <c r="G4132">
        <v>89.637077093124304</v>
      </c>
      <c r="H4132">
        <v>3</v>
      </c>
      <c r="I4132">
        <v>6</v>
      </c>
      <c r="J4132">
        <v>30</v>
      </c>
    </row>
    <row r="4133" spans="1:10" x14ac:dyDescent="0.25">
      <c r="A4133" t="s">
        <v>24</v>
      </c>
      <c r="B4133" t="s">
        <v>19</v>
      </c>
      <c r="C4133" t="s">
        <v>18</v>
      </c>
      <c r="D4133" t="s">
        <v>15</v>
      </c>
      <c r="E4133">
        <v>0</v>
      </c>
      <c r="F4133">
        <v>0.75</v>
      </c>
      <c r="G4133">
        <v>90.015920639038001</v>
      </c>
      <c r="H4133">
        <v>2</v>
      </c>
      <c r="I4133">
        <v>6</v>
      </c>
      <c r="J4133">
        <v>30</v>
      </c>
    </row>
    <row r="4134" spans="1:10" x14ac:dyDescent="0.25">
      <c r="A4134" t="s">
        <v>24</v>
      </c>
      <c r="B4134" t="s">
        <v>19</v>
      </c>
      <c r="C4134" t="s">
        <v>18</v>
      </c>
      <c r="D4134" t="s">
        <v>15</v>
      </c>
      <c r="E4134">
        <v>0</v>
      </c>
      <c r="F4134">
        <v>0.75</v>
      </c>
      <c r="G4134">
        <v>90.634401321411104</v>
      </c>
      <c r="H4134">
        <v>2</v>
      </c>
      <c r="I4134">
        <v>8</v>
      </c>
      <c r="J4134">
        <v>30</v>
      </c>
    </row>
    <row r="4135" spans="1:10" x14ac:dyDescent="0.25">
      <c r="A4135" t="s">
        <v>24</v>
      </c>
      <c r="B4135" t="s">
        <v>19</v>
      </c>
      <c r="C4135" t="s">
        <v>18</v>
      </c>
      <c r="D4135" t="s">
        <v>15</v>
      </c>
      <c r="E4135">
        <v>0</v>
      </c>
      <c r="F4135">
        <v>0.75</v>
      </c>
      <c r="G4135">
        <v>90.706123352050696</v>
      </c>
      <c r="H4135">
        <v>2</v>
      </c>
      <c r="I4135">
        <v>5</v>
      </c>
      <c r="J4135">
        <v>30</v>
      </c>
    </row>
    <row r="4136" spans="1:10" x14ac:dyDescent="0.25">
      <c r="A4136" t="s">
        <v>24</v>
      </c>
      <c r="B4136" t="s">
        <v>19</v>
      </c>
      <c r="C4136" t="s">
        <v>18</v>
      </c>
      <c r="D4136" t="s">
        <v>15</v>
      </c>
      <c r="E4136">
        <v>0</v>
      </c>
      <c r="F4136">
        <v>0.75</v>
      </c>
      <c r="G4136">
        <v>91.176616430282493</v>
      </c>
      <c r="H4136">
        <v>2</v>
      </c>
      <c r="I4136">
        <v>5</v>
      </c>
      <c r="J4136">
        <v>30</v>
      </c>
    </row>
    <row r="4137" spans="1:10" x14ac:dyDescent="0.25">
      <c r="A4137" t="s">
        <v>24</v>
      </c>
      <c r="B4137" t="s">
        <v>19</v>
      </c>
      <c r="C4137" t="s">
        <v>18</v>
      </c>
      <c r="D4137" t="s">
        <v>15</v>
      </c>
      <c r="E4137">
        <v>9.1575091575091499E-4</v>
      </c>
      <c r="F4137">
        <v>0.75004349816849802</v>
      </c>
      <c r="G4137">
        <v>96.875718116760197</v>
      </c>
      <c r="H4137">
        <v>2</v>
      </c>
      <c r="I4137">
        <v>6</v>
      </c>
      <c r="J4137">
        <v>30</v>
      </c>
    </row>
    <row r="4138" spans="1:10" x14ac:dyDescent="0.25">
      <c r="A4138" t="s">
        <v>24</v>
      </c>
      <c r="B4138" t="s">
        <v>19</v>
      </c>
      <c r="C4138" t="s">
        <v>18</v>
      </c>
      <c r="D4138" t="s">
        <v>15</v>
      </c>
      <c r="E4138">
        <v>9.1575091575091499E-4</v>
      </c>
      <c r="F4138">
        <v>0.75004349816849802</v>
      </c>
      <c r="G4138">
        <v>99.1841366291046</v>
      </c>
      <c r="H4138">
        <v>6</v>
      </c>
      <c r="I4138">
        <v>14</v>
      </c>
      <c r="J4138">
        <v>30</v>
      </c>
    </row>
    <row r="4139" spans="1:10" x14ac:dyDescent="0.25">
      <c r="A4139" t="s">
        <v>24</v>
      </c>
      <c r="B4139" t="s">
        <v>19</v>
      </c>
      <c r="C4139" t="s">
        <v>18</v>
      </c>
      <c r="D4139" t="s">
        <v>15</v>
      </c>
      <c r="E4139">
        <v>0</v>
      </c>
      <c r="F4139">
        <v>0.75</v>
      </c>
      <c r="G4139">
        <v>105.70450377464201</v>
      </c>
      <c r="H4139">
        <v>6</v>
      </c>
      <c r="I4139">
        <v>14</v>
      </c>
      <c r="J4139">
        <v>30</v>
      </c>
    </row>
    <row r="4140" spans="1:10" x14ac:dyDescent="0.25">
      <c r="A4140" t="s">
        <v>24</v>
      </c>
      <c r="B4140" t="s">
        <v>19</v>
      </c>
      <c r="C4140" t="s">
        <v>18</v>
      </c>
      <c r="D4140" t="s">
        <v>15</v>
      </c>
      <c r="E4140">
        <v>9.1575091575091499E-4</v>
      </c>
      <c r="F4140">
        <v>0.75004349816849802</v>
      </c>
      <c r="G4140">
        <v>105.876619577407</v>
      </c>
      <c r="H4140">
        <v>6</v>
      </c>
      <c r="I4140">
        <v>19</v>
      </c>
      <c r="J4140">
        <v>30</v>
      </c>
    </row>
    <row r="4141" spans="1:10" x14ac:dyDescent="0.25">
      <c r="A4141" t="s">
        <v>24</v>
      </c>
      <c r="B4141" t="s">
        <v>19</v>
      </c>
      <c r="C4141" t="s">
        <v>18</v>
      </c>
      <c r="D4141" t="s">
        <v>15</v>
      </c>
      <c r="E4141">
        <v>0</v>
      </c>
      <c r="F4141">
        <v>0.75</v>
      </c>
      <c r="G4141">
        <v>106.185759782791</v>
      </c>
      <c r="H4141">
        <v>6</v>
      </c>
      <c r="I4141">
        <v>18</v>
      </c>
      <c r="J4141">
        <v>30</v>
      </c>
    </row>
    <row r="4142" spans="1:10" x14ac:dyDescent="0.25">
      <c r="A4142" t="s">
        <v>24</v>
      </c>
      <c r="B4142" t="s">
        <v>19</v>
      </c>
      <c r="C4142" t="s">
        <v>18</v>
      </c>
      <c r="D4142" t="s">
        <v>16</v>
      </c>
      <c r="E4142">
        <v>0</v>
      </c>
      <c r="F4142">
        <v>0.75</v>
      </c>
      <c r="G4142">
        <v>0.72177028656005804</v>
      </c>
      <c r="H4142">
        <v>0</v>
      </c>
      <c r="I4142">
        <v>0</v>
      </c>
      <c r="J4142">
        <v>30</v>
      </c>
    </row>
    <row r="4143" spans="1:10" x14ac:dyDescent="0.25">
      <c r="A4143" t="s">
        <v>24</v>
      </c>
      <c r="B4143" t="s">
        <v>19</v>
      </c>
      <c r="C4143" t="s">
        <v>18</v>
      </c>
      <c r="D4143" t="s">
        <v>16</v>
      </c>
      <c r="E4143">
        <v>0</v>
      </c>
      <c r="F4143">
        <v>0.75</v>
      </c>
      <c r="G4143">
        <v>0.96257662773132302</v>
      </c>
      <c r="H4143">
        <v>0</v>
      </c>
      <c r="I4143">
        <v>0</v>
      </c>
      <c r="J4143">
        <v>30</v>
      </c>
    </row>
    <row r="4144" spans="1:10" x14ac:dyDescent="0.25">
      <c r="A4144" t="s">
        <v>24</v>
      </c>
      <c r="B4144" t="s">
        <v>19</v>
      </c>
      <c r="C4144" t="s">
        <v>18</v>
      </c>
      <c r="D4144" t="s">
        <v>16</v>
      </c>
      <c r="E4144">
        <v>0</v>
      </c>
      <c r="F4144">
        <v>0.75</v>
      </c>
      <c r="G4144">
        <v>1.10572528839111</v>
      </c>
      <c r="H4144">
        <v>0</v>
      </c>
      <c r="I4144">
        <v>0</v>
      </c>
      <c r="J4144">
        <v>30</v>
      </c>
    </row>
    <row r="4145" spans="1:10" x14ac:dyDescent="0.25">
      <c r="A4145" t="s">
        <v>24</v>
      </c>
      <c r="B4145" t="s">
        <v>19</v>
      </c>
      <c r="C4145" t="s">
        <v>18</v>
      </c>
      <c r="D4145" t="s">
        <v>16</v>
      </c>
      <c r="E4145">
        <v>0</v>
      </c>
      <c r="F4145">
        <v>0.75</v>
      </c>
      <c r="G4145">
        <v>1.1275188922882</v>
      </c>
      <c r="H4145">
        <v>0</v>
      </c>
      <c r="I4145">
        <v>0</v>
      </c>
      <c r="J4145">
        <v>30</v>
      </c>
    </row>
    <row r="4146" spans="1:10" x14ac:dyDescent="0.25">
      <c r="A4146" t="s">
        <v>24</v>
      </c>
      <c r="B4146" t="s">
        <v>19</v>
      </c>
      <c r="C4146" t="s">
        <v>18</v>
      </c>
      <c r="D4146" t="s">
        <v>16</v>
      </c>
      <c r="E4146">
        <v>0</v>
      </c>
      <c r="F4146">
        <v>0.75</v>
      </c>
      <c r="G4146">
        <v>1.2501072883605899</v>
      </c>
      <c r="H4146">
        <v>0</v>
      </c>
      <c r="I4146">
        <v>0</v>
      </c>
      <c r="J4146">
        <v>30</v>
      </c>
    </row>
    <row r="4147" spans="1:10" x14ac:dyDescent="0.25">
      <c r="A4147" t="s">
        <v>24</v>
      </c>
      <c r="B4147" t="s">
        <v>19</v>
      </c>
      <c r="C4147" t="s">
        <v>18</v>
      </c>
      <c r="D4147" t="s">
        <v>16</v>
      </c>
      <c r="E4147">
        <v>0</v>
      </c>
      <c r="F4147">
        <v>0.75</v>
      </c>
      <c r="G4147">
        <v>1.3422048091888401</v>
      </c>
      <c r="H4147">
        <v>0</v>
      </c>
      <c r="I4147">
        <v>0</v>
      </c>
      <c r="J4147">
        <v>30</v>
      </c>
    </row>
    <row r="4148" spans="1:10" x14ac:dyDescent="0.25">
      <c r="A4148" t="s">
        <v>24</v>
      </c>
      <c r="B4148" t="s">
        <v>19</v>
      </c>
      <c r="C4148" t="s">
        <v>18</v>
      </c>
      <c r="D4148" t="s">
        <v>16</v>
      </c>
      <c r="E4148">
        <v>0</v>
      </c>
      <c r="F4148">
        <v>0.75</v>
      </c>
      <c r="G4148">
        <v>1.4049947261810301</v>
      </c>
      <c r="H4148">
        <v>0</v>
      </c>
      <c r="I4148">
        <v>0</v>
      </c>
      <c r="J4148">
        <v>30</v>
      </c>
    </row>
    <row r="4149" spans="1:10" x14ac:dyDescent="0.25">
      <c r="A4149" t="s">
        <v>24</v>
      </c>
      <c r="B4149" t="s">
        <v>19</v>
      </c>
      <c r="C4149" t="s">
        <v>18</v>
      </c>
      <c r="D4149" t="s">
        <v>16</v>
      </c>
      <c r="E4149">
        <v>0</v>
      </c>
      <c r="F4149">
        <v>0.75</v>
      </c>
      <c r="G4149">
        <v>1.27612853050231</v>
      </c>
      <c r="H4149">
        <v>0</v>
      </c>
      <c r="I4149">
        <v>0</v>
      </c>
      <c r="J4149">
        <v>30</v>
      </c>
    </row>
    <row r="4150" spans="1:10" x14ac:dyDescent="0.25">
      <c r="A4150" t="s">
        <v>24</v>
      </c>
      <c r="B4150" t="s">
        <v>19</v>
      </c>
      <c r="C4150" t="s">
        <v>18</v>
      </c>
      <c r="D4150" t="s">
        <v>16</v>
      </c>
      <c r="E4150">
        <v>0</v>
      </c>
      <c r="F4150">
        <v>0.75</v>
      </c>
      <c r="G4150">
        <v>1.3568477630615201</v>
      </c>
      <c r="H4150">
        <v>0</v>
      </c>
      <c r="I4150">
        <v>0</v>
      </c>
      <c r="J4150">
        <v>30</v>
      </c>
    </row>
    <row r="4151" spans="1:10" x14ac:dyDescent="0.25">
      <c r="A4151" t="s">
        <v>24</v>
      </c>
      <c r="B4151" t="s">
        <v>19</v>
      </c>
      <c r="C4151" t="s">
        <v>18</v>
      </c>
      <c r="D4151" t="s">
        <v>16</v>
      </c>
      <c r="E4151">
        <v>0</v>
      </c>
      <c r="F4151">
        <v>0.75</v>
      </c>
      <c r="G4151">
        <v>1.4025850296020499</v>
      </c>
      <c r="H4151">
        <v>0</v>
      </c>
      <c r="I4151">
        <v>0</v>
      </c>
      <c r="J4151">
        <v>30</v>
      </c>
    </row>
    <row r="4152" spans="1:10" x14ac:dyDescent="0.25">
      <c r="A4152" t="s">
        <v>24</v>
      </c>
      <c r="B4152" t="s">
        <v>19</v>
      </c>
      <c r="C4152" t="s">
        <v>18</v>
      </c>
      <c r="D4152" t="s">
        <v>16</v>
      </c>
      <c r="E4152">
        <v>0</v>
      </c>
      <c r="F4152">
        <v>0.75</v>
      </c>
      <c r="G4152">
        <v>1.3807296752929601</v>
      </c>
      <c r="H4152">
        <v>0</v>
      </c>
      <c r="I4152">
        <v>0</v>
      </c>
      <c r="J4152">
        <v>30</v>
      </c>
    </row>
    <row r="4153" spans="1:10" x14ac:dyDescent="0.25">
      <c r="A4153" t="s">
        <v>24</v>
      </c>
      <c r="B4153" t="s">
        <v>19</v>
      </c>
      <c r="C4153" t="s">
        <v>18</v>
      </c>
      <c r="D4153" t="s">
        <v>16</v>
      </c>
      <c r="E4153">
        <v>0</v>
      </c>
      <c r="F4153">
        <v>0.75</v>
      </c>
      <c r="G4153">
        <v>1.50740838050842</v>
      </c>
      <c r="H4153">
        <v>0</v>
      </c>
      <c r="I4153">
        <v>0</v>
      </c>
      <c r="J4153">
        <v>30</v>
      </c>
    </row>
    <row r="4154" spans="1:10" x14ac:dyDescent="0.25">
      <c r="A4154" t="s">
        <v>24</v>
      </c>
      <c r="B4154" t="s">
        <v>19</v>
      </c>
      <c r="C4154" t="s">
        <v>18</v>
      </c>
      <c r="D4154" t="s">
        <v>16</v>
      </c>
      <c r="E4154">
        <v>0</v>
      </c>
      <c r="F4154">
        <v>0.75</v>
      </c>
      <c r="G4154">
        <v>1.4387283325195299</v>
      </c>
      <c r="H4154">
        <v>0</v>
      </c>
      <c r="I4154">
        <v>0</v>
      </c>
      <c r="J4154">
        <v>30</v>
      </c>
    </row>
    <row r="4155" spans="1:10" x14ac:dyDescent="0.25">
      <c r="A4155" t="s">
        <v>24</v>
      </c>
      <c r="B4155" t="s">
        <v>19</v>
      </c>
      <c r="C4155" t="s">
        <v>18</v>
      </c>
      <c r="D4155" t="s">
        <v>16</v>
      </c>
      <c r="E4155">
        <v>0</v>
      </c>
      <c r="F4155">
        <v>0.75</v>
      </c>
      <c r="G4155">
        <v>1.4272887706756501</v>
      </c>
      <c r="H4155">
        <v>0</v>
      </c>
      <c r="I4155">
        <v>0</v>
      </c>
      <c r="J4155">
        <v>30</v>
      </c>
    </row>
    <row r="4156" spans="1:10" x14ac:dyDescent="0.25">
      <c r="A4156" t="s">
        <v>24</v>
      </c>
      <c r="B4156" t="s">
        <v>19</v>
      </c>
      <c r="C4156" t="s">
        <v>18</v>
      </c>
      <c r="D4156" t="s">
        <v>16</v>
      </c>
      <c r="E4156">
        <v>0</v>
      </c>
      <c r="F4156">
        <v>0.75</v>
      </c>
      <c r="G4156">
        <v>1.4886944293975799</v>
      </c>
      <c r="H4156">
        <v>0</v>
      </c>
      <c r="I4156">
        <v>0</v>
      </c>
      <c r="J4156">
        <v>30</v>
      </c>
    </row>
    <row r="4157" spans="1:10" x14ac:dyDescent="0.25">
      <c r="A4157" t="s">
        <v>24</v>
      </c>
      <c r="B4157" t="s">
        <v>19</v>
      </c>
      <c r="C4157" t="s">
        <v>18</v>
      </c>
      <c r="D4157" t="s">
        <v>16</v>
      </c>
      <c r="E4157">
        <v>0</v>
      </c>
      <c r="F4157">
        <v>0.75</v>
      </c>
      <c r="G4157">
        <v>1.58056116104125</v>
      </c>
      <c r="H4157">
        <v>0</v>
      </c>
      <c r="I4157">
        <v>0</v>
      </c>
      <c r="J4157">
        <v>30</v>
      </c>
    </row>
    <row r="4158" spans="1:10" x14ac:dyDescent="0.25">
      <c r="A4158" t="s">
        <v>24</v>
      </c>
      <c r="B4158" t="s">
        <v>19</v>
      </c>
      <c r="C4158" t="s">
        <v>18</v>
      </c>
      <c r="D4158" t="s">
        <v>16</v>
      </c>
      <c r="E4158">
        <v>0</v>
      </c>
      <c r="F4158">
        <v>0.75</v>
      </c>
      <c r="G4158">
        <v>1.4992139339446999</v>
      </c>
      <c r="H4158">
        <v>0</v>
      </c>
      <c r="I4158">
        <v>0</v>
      </c>
      <c r="J4158">
        <v>30</v>
      </c>
    </row>
    <row r="4159" spans="1:10" x14ac:dyDescent="0.25">
      <c r="A4159" t="s">
        <v>24</v>
      </c>
      <c r="B4159" t="s">
        <v>19</v>
      </c>
      <c r="C4159" t="s">
        <v>18</v>
      </c>
      <c r="D4159" t="s">
        <v>16</v>
      </c>
      <c r="E4159">
        <v>0</v>
      </c>
      <c r="F4159">
        <v>0.75</v>
      </c>
      <c r="G4159">
        <v>1.6333482265472401</v>
      </c>
      <c r="H4159">
        <v>0</v>
      </c>
      <c r="I4159">
        <v>0</v>
      </c>
      <c r="J4159">
        <v>30</v>
      </c>
    </row>
    <row r="4160" spans="1:10" x14ac:dyDescent="0.25">
      <c r="A4160" t="s">
        <v>24</v>
      </c>
      <c r="B4160" t="s">
        <v>19</v>
      </c>
      <c r="C4160" t="s">
        <v>18</v>
      </c>
      <c r="D4160" t="s">
        <v>16</v>
      </c>
      <c r="E4160">
        <v>0</v>
      </c>
      <c r="F4160">
        <v>0.75</v>
      </c>
      <c r="G4160">
        <v>1.5829277038574201</v>
      </c>
      <c r="H4160">
        <v>0</v>
      </c>
      <c r="I4160">
        <v>0</v>
      </c>
      <c r="J4160">
        <v>30</v>
      </c>
    </row>
    <row r="4161" spans="1:10" x14ac:dyDescent="0.25">
      <c r="A4161" t="s">
        <v>24</v>
      </c>
      <c r="B4161" t="s">
        <v>19</v>
      </c>
      <c r="C4161" t="s">
        <v>18</v>
      </c>
      <c r="D4161" t="s">
        <v>16</v>
      </c>
      <c r="E4161">
        <v>0</v>
      </c>
      <c r="F4161">
        <v>0.75</v>
      </c>
      <c r="G4161">
        <v>1.5977549552917401</v>
      </c>
      <c r="H4161">
        <v>0</v>
      </c>
      <c r="I4161">
        <v>0</v>
      </c>
      <c r="J4161">
        <v>30</v>
      </c>
    </row>
    <row r="4162" spans="1:10" x14ac:dyDescent="0.25">
      <c r="A4162" t="s">
        <v>24</v>
      </c>
      <c r="B4162" t="s">
        <v>19</v>
      </c>
      <c r="C4162" t="s">
        <v>18</v>
      </c>
      <c r="D4162" t="s">
        <v>16</v>
      </c>
      <c r="E4162">
        <v>0</v>
      </c>
      <c r="F4162">
        <v>0.75</v>
      </c>
      <c r="G4162">
        <v>1.65834093093872</v>
      </c>
      <c r="H4162">
        <v>0</v>
      </c>
      <c r="I4162">
        <v>0</v>
      </c>
      <c r="J4162">
        <v>30</v>
      </c>
    </row>
    <row r="4163" spans="1:10" x14ac:dyDescent="0.25">
      <c r="A4163" t="s">
        <v>24</v>
      </c>
      <c r="B4163" t="s">
        <v>19</v>
      </c>
      <c r="C4163" t="s">
        <v>18</v>
      </c>
      <c r="D4163" t="s">
        <v>16</v>
      </c>
      <c r="E4163">
        <v>0</v>
      </c>
      <c r="F4163">
        <v>0.75</v>
      </c>
      <c r="G4163">
        <v>1.6479377746582</v>
      </c>
      <c r="H4163">
        <v>0</v>
      </c>
      <c r="I4163">
        <v>0</v>
      </c>
      <c r="J4163">
        <v>30</v>
      </c>
    </row>
    <row r="4164" spans="1:10" x14ac:dyDescent="0.25">
      <c r="A4164" t="s">
        <v>24</v>
      </c>
      <c r="B4164" t="s">
        <v>19</v>
      </c>
      <c r="C4164" t="s">
        <v>18</v>
      </c>
      <c r="D4164" t="s">
        <v>16</v>
      </c>
      <c r="E4164">
        <v>0</v>
      </c>
      <c r="F4164">
        <v>0.75</v>
      </c>
      <c r="G4164">
        <v>1.5565810203552199</v>
      </c>
      <c r="H4164">
        <v>0</v>
      </c>
      <c r="I4164">
        <v>0</v>
      </c>
      <c r="J4164">
        <v>30</v>
      </c>
    </row>
    <row r="4165" spans="1:10" x14ac:dyDescent="0.25">
      <c r="A4165" t="s">
        <v>24</v>
      </c>
      <c r="B4165" t="s">
        <v>19</v>
      </c>
      <c r="C4165" t="s">
        <v>18</v>
      </c>
      <c r="D4165" t="s">
        <v>16</v>
      </c>
      <c r="E4165">
        <v>0</v>
      </c>
      <c r="F4165">
        <v>0.75</v>
      </c>
      <c r="G4165">
        <v>1.54779052734375</v>
      </c>
      <c r="H4165">
        <v>0</v>
      </c>
      <c r="I4165">
        <v>0</v>
      </c>
      <c r="J4165">
        <v>30</v>
      </c>
    </row>
    <row r="4166" spans="1:10" x14ac:dyDescent="0.25">
      <c r="A4166" t="s">
        <v>24</v>
      </c>
      <c r="B4166" t="s">
        <v>19</v>
      </c>
      <c r="C4166" t="s">
        <v>18</v>
      </c>
      <c r="D4166" t="s">
        <v>16</v>
      </c>
      <c r="E4166">
        <v>0</v>
      </c>
      <c r="F4166">
        <v>0.75</v>
      </c>
      <c r="G4166">
        <v>1.65460777282714</v>
      </c>
      <c r="H4166">
        <v>0</v>
      </c>
      <c r="I4166">
        <v>0</v>
      </c>
      <c r="J4166">
        <v>30</v>
      </c>
    </row>
    <row r="4167" spans="1:10" x14ac:dyDescent="0.25">
      <c r="A4167" t="s">
        <v>24</v>
      </c>
      <c r="B4167" t="s">
        <v>19</v>
      </c>
      <c r="C4167" t="s">
        <v>18</v>
      </c>
      <c r="D4167" t="s">
        <v>16</v>
      </c>
      <c r="E4167">
        <v>0</v>
      </c>
      <c r="F4167">
        <v>0.75</v>
      </c>
      <c r="G4167">
        <v>1.6853666305541899</v>
      </c>
      <c r="H4167">
        <v>0</v>
      </c>
      <c r="I4167">
        <v>0</v>
      </c>
      <c r="J4167">
        <v>30</v>
      </c>
    </row>
    <row r="4168" spans="1:10" x14ac:dyDescent="0.25">
      <c r="A4168" t="s">
        <v>24</v>
      </c>
      <c r="B4168" t="s">
        <v>19</v>
      </c>
      <c r="C4168" t="s">
        <v>18</v>
      </c>
      <c r="D4168" t="s">
        <v>16</v>
      </c>
      <c r="E4168">
        <v>0</v>
      </c>
      <c r="F4168">
        <v>0.75</v>
      </c>
      <c r="G4168">
        <v>1.6277551651000901</v>
      </c>
      <c r="H4168">
        <v>0</v>
      </c>
      <c r="I4168">
        <v>0</v>
      </c>
      <c r="J4168">
        <v>30</v>
      </c>
    </row>
    <row r="4169" spans="1:10" x14ac:dyDescent="0.25">
      <c r="A4169" t="s">
        <v>24</v>
      </c>
      <c r="B4169" t="s">
        <v>19</v>
      </c>
      <c r="C4169" t="s">
        <v>18</v>
      </c>
      <c r="D4169" t="s">
        <v>16</v>
      </c>
      <c r="E4169">
        <v>0</v>
      </c>
      <c r="F4169">
        <v>0.75</v>
      </c>
      <c r="G4169">
        <v>1.63296175003051</v>
      </c>
      <c r="H4169">
        <v>0</v>
      </c>
      <c r="I4169">
        <v>0</v>
      </c>
      <c r="J4169">
        <v>30</v>
      </c>
    </row>
    <row r="4170" spans="1:10" x14ac:dyDescent="0.25">
      <c r="A4170" t="s">
        <v>24</v>
      </c>
      <c r="B4170" t="s">
        <v>19</v>
      </c>
      <c r="C4170" t="s">
        <v>18</v>
      </c>
      <c r="D4170" t="s">
        <v>16</v>
      </c>
      <c r="E4170">
        <v>0</v>
      </c>
      <c r="F4170">
        <v>0.75</v>
      </c>
      <c r="G4170">
        <v>1.6332194805145199</v>
      </c>
      <c r="H4170">
        <v>0</v>
      </c>
      <c r="I4170">
        <v>0</v>
      </c>
      <c r="J4170">
        <v>30</v>
      </c>
    </row>
    <row r="4171" spans="1:10" x14ac:dyDescent="0.25">
      <c r="A4171" t="s">
        <v>24</v>
      </c>
      <c r="B4171" t="s">
        <v>19</v>
      </c>
      <c r="C4171" t="s">
        <v>18</v>
      </c>
      <c r="D4171" t="s">
        <v>16</v>
      </c>
      <c r="E4171">
        <v>0</v>
      </c>
      <c r="F4171">
        <v>0.75</v>
      </c>
      <c r="G4171">
        <v>1.6272890567779501</v>
      </c>
      <c r="H4171">
        <v>0</v>
      </c>
      <c r="I4171">
        <v>0</v>
      </c>
      <c r="J4171">
        <v>30</v>
      </c>
    </row>
    <row r="4172" spans="1:10" x14ac:dyDescent="0.25">
      <c r="A4172" t="s">
        <v>24</v>
      </c>
      <c r="B4172" t="s">
        <v>19</v>
      </c>
      <c r="C4172" t="s">
        <v>18</v>
      </c>
      <c r="D4172" t="s">
        <v>17</v>
      </c>
      <c r="E4172">
        <v>2.3809523809523801E-2</v>
      </c>
      <c r="F4172">
        <v>0.75434669688662903</v>
      </c>
      <c r="G4172">
        <v>119.64043736457801</v>
      </c>
      <c r="H4172">
        <v>10</v>
      </c>
      <c r="I4172">
        <v>12</v>
      </c>
      <c r="J4172">
        <v>30</v>
      </c>
    </row>
    <row r="4173" spans="1:10" x14ac:dyDescent="0.25">
      <c r="A4173" t="s">
        <v>24</v>
      </c>
      <c r="B4173" t="s">
        <v>19</v>
      </c>
      <c r="C4173" t="s">
        <v>18</v>
      </c>
      <c r="D4173" t="s">
        <v>17</v>
      </c>
      <c r="E4173">
        <v>1.46520146520146E-2</v>
      </c>
      <c r="F4173">
        <v>0.752182944358882</v>
      </c>
      <c r="G4173">
        <v>121.849379777908</v>
      </c>
      <c r="H4173">
        <v>9</v>
      </c>
      <c r="I4173">
        <v>10</v>
      </c>
      <c r="J4173">
        <v>30</v>
      </c>
    </row>
    <row r="4174" spans="1:10" x14ac:dyDescent="0.25">
      <c r="A4174" t="s">
        <v>24</v>
      </c>
      <c r="B4174" t="s">
        <v>19</v>
      </c>
      <c r="C4174" t="s">
        <v>18</v>
      </c>
      <c r="D4174" t="s">
        <v>17</v>
      </c>
      <c r="E4174">
        <v>3.66300366300366E-3</v>
      </c>
      <c r="F4174">
        <v>0.74985047503296698</v>
      </c>
      <c r="G4174">
        <v>126.396245479583</v>
      </c>
      <c r="H4174">
        <v>8</v>
      </c>
      <c r="I4174">
        <v>8</v>
      </c>
      <c r="J4174">
        <v>30</v>
      </c>
    </row>
    <row r="4175" spans="1:10" x14ac:dyDescent="0.25">
      <c r="A4175" t="s">
        <v>24</v>
      </c>
      <c r="B4175" t="s">
        <v>19</v>
      </c>
      <c r="C4175" t="s">
        <v>18</v>
      </c>
      <c r="D4175" t="s">
        <v>17</v>
      </c>
      <c r="E4175">
        <v>1.1904761904761901E-2</v>
      </c>
      <c r="F4175">
        <v>0.75189791336950496</v>
      </c>
      <c r="G4175">
        <v>189.97778201103199</v>
      </c>
      <c r="H4175">
        <v>18</v>
      </c>
      <c r="I4175">
        <v>20</v>
      </c>
      <c r="J4175">
        <v>30</v>
      </c>
    </row>
    <row r="4176" spans="1:10" x14ac:dyDescent="0.25">
      <c r="A4176" t="s">
        <v>24</v>
      </c>
      <c r="B4176" t="s">
        <v>19</v>
      </c>
      <c r="C4176" t="s">
        <v>18</v>
      </c>
      <c r="D4176" t="s">
        <v>17</v>
      </c>
      <c r="E4176">
        <v>2.3809523809523801E-2</v>
      </c>
      <c r="F4176">
        <v>0.75264986560219704</v>
      </c>
      <c r="G4176">
        <v>191.24442744255001</v>
      </c>
      <c r="H4176">
        <v>18</v>
      </c>
      <c r="I4176">
        <v>20</v>
      </c>
      <c r="J4176">
        <v>30</v>
      </c>
    </row>
    <row r="4177" spans="1:10" x14ac:dyDescent="0.25">
      <c r="A4177" t="s">
        <v>24</v>
      </c>
      <c r="B4177" t="s">
        <v>19</v>
      </c>
      <c r="C4177" t="s">
        <v>18</v>
      </c>
      <c r="D4177" t="s">
        <v>17</v>
      </c>
      <c r="E4177">
        <v>2.1062271062271001E-2</v>
      </c>
      <c r="F4177">
        <v>0.75202590317408402</v>
      </c>
      <c r="G4177">
        <v>280.00944471359202</v>
      </c>
      <c r="H4177">
        <v>24</v>
      </c>
      <c r="I4177">
        <v>30</v>
      </c>
      <c r="J4177">
        <v>30</v>
      </c>
    </row>
    <row r="4178" spans="1:10" x14ac:dyDescent="0.25">
      <c r="A4178" t="s">
        <v>24</v>
      </c>
      <c r="B4178" t="s">
        <v>19</v>
      </c>
      <c r="C4178" t="s">
        <v>18</v>
      </c>
      <c r="D4178" t="s">
        <v>17</v>
      </c>
      <c r="E4178">
        <v>3.3882783882783797E-2</v>
      </c>
      <c r="F4178">
        <v>0.75485249940677601</v>
      </c>
      <c r="G4178">
        <v>337.51264309883101</v>
      </c>
      <c r="H4178">
        <v>42</v>
      </c>
      <c r="I4178">
        <v>55</v>
      </c>
      <c r="J4178">
        <v>30</v>
      </c>
    </row>
    <row r="4179" spans="1:10" x14ac:dyDescent="0.25">
      <c r="A4179" t="s">
        <v>24</v>
      </c>
      <c r="B4179" t="s">
        <v>19</v>
      </c>
      <c r="C4179" t="s">
        <v>18</v>
      </c>
      <c r="D4179" t="s">
        <v>17</v>
      </c>
      <c r="E4179">
        <v>4.4871794871794803E-2</v>
      </c>
      <c r="F4179">
        <v>0.75653038900705105</v>
      </c>
      <c r="G4179">
        <v>399.566419363021</v>
      </c>
      <c r="H4179">
        <v>51</v>
      </c>
      <c r="I4179">
        <v>58</v>
      </c>
      <c r="J4179">
        <v>30</v>
      </c>
    </row>
    <row r="4180" spans="1:10" x14ac:dyDescent="0.25">
      <c r="A4180" t="s">
        <v>24</v>
      </c>
      <c r="B4180" t="s">
        <v>19</v>
      </c>
      <c r="C4180" t="s">
        <v>18</v>
      </c>
      <c r="D4180" t="s">
        <v>17</v>
      </c>
      <c r="E4180">
        <v>0.108974358974358</v>
      </c>
      <c r="F4180">
        <v>0.76696667058260004</v>
      </c>
      <c r="G4180">
        <v>478.87752175331099</v>
      </c>
      <c r="H4180">
        <v>53</v>
      </c>
      <c r="I4180">
        <v>61</v>
      </c>
      <c r="J4180">
        <v>30</v>
      </c>
    </row>
    <row r="4181" spans="1:10" x14ac:dyDescent="0.25">
      <c r="A4181" t="s">
        <v>24</v>
      </c>
      <c r="B4181" t="s">
        <v>19</v>
      </c>
      <c r="C4181" t="s">
        <v>18</v>
      </c>
      <c r="D4181" t="s">
        <v>17</v>
      </c>
      <c r="E4181">
        <v>4.6703296703296697E-2</v>
      </c>
      <c r="F4181">
        <v>0.75576293774560399</v>
      </c>
      <c r="G4181">
        <v>490.27405238151499</v>
      </c>
      <c r="H4181">
        <v>56</v>
      </c>
      <c r="I4181">
        <v>64</v>
      </c>
      <c r="J4181">
        <v>30</v>
      </c>
    </row>
    <row r="4182" spans="1:10" x14ac:dyDescent="0.25">
      <c r="A4182" t="s">
        <v>24</v>
      </c>
      <c r="B4182" t="s">
        <v>19</v>
      </c>
      <c r="C4182" t="s">
        <v>18</v>
      </c>
      <c r="D4182" t="s">
        <v>17</v>
      </c>
      <c r="E4182">
        <v>5.3113553113553098E-2</v>
      </c>
      <c r="F4182">
        <v>0.75910538344835099</v>
      </c>
      <c r="G4182">
        <v>519.85401797294605</v>
      </c>
      <c r="H4182">
        <v>65</v>
      </c>
      <c r="I4182">
        <v>79</v>
      </c>
      <c r="J4182">
        <v>30</v>
      </c>
    </row>
    <row r="4183" spans="1:10" x14ac:dyDescent="0.25">
      <c r="A4183" t="s">
        <v>24</v>
      </c>
      <c r="B4183" t="s">
        <v>19</v>
      </c>
      <c r="C4183" t="s">
        <v>18</v>
      </c>
      <c r="D4183" t="s">
        <v>17</v>
      </c>
      <c r="E4183">
        <v>6.0439560439560398E-2</v>
      </c>
      <c r="F4183">
        <v>0.75763997890705104</v>
      </c>
      <c r="G4183">
        <v>570.23814153671196</v>
      </c>
      <c r="H4183">
        <v>70</v>
      </c>
      <c r="I4183">
        <v>78</v>
      </c>
      <c r="J4183">
        <v>30</v>
      </c>
    </row>
    <row r="4184" spans="1:10" x14ac:dyDescent="0.25">
      <c r="A4184" t="s">
        <v>24</v>
      </c>
      <c r="B4184" t="s">
        <v>19</v>
      </c>
      <c r="C4184" t="s">
        <v>18</v>
      </c>
      <c r="D4184" t="s">
        <v>17</v>
      </c>
      <c r="E4184">
        <v>8.3333333333333301E-2</v>
      </c>
      <c r="F4184">
        <v>0.76411099337628197</v>
      </c>
      <c r="G4184">
        <v>631.00444579124405</v>
      </c>
      <c r="H4184">
        <v>80</v>
      </c>
      <c r="I4184">
        <v>90</v>
      </c>
      <c r="J4184">
        <v>30</v>
      </c>
    </row>
    <row r="4185" spans="1:10" x14ac:dyDescent="0.25">
      <c r="A4185" t="s">
        <v>24</v>
      </c>
      <c r="B4185" t="s">
        <v>19</v>
      </c>
      <c r="C4185" t="s">
        <v>18</v>
      </c>
      <c r="D4185" t="s">
        <v>17</v>
      </c>
      <c r="E4185">
        <v>0.21794871794871701</v>
      </c>
      <c r="F4185">
        <v>0.782601828156959</v>
      </c>
      <c r="G4185">
        <v>648.62435340881302</v>
      </c>
      <c r="H4185">
        <v>80</v>
      </c>
      <c r="I4185">
        <v>102</v>
      </c>
      <c r="J4185">
        <v>30</v>
      </c>
    </row>
    <row r="4186" spans="1:10" x14ac:dyDescent="0.25">
      <c r="A4186" t="s">
        <v>24</v>
      </c>
      <c r="B4186" t="s">
        <v>19</v>
      </c>
      <c r="C4186" t="s">
        <v>18</v>
      </c>
      <c r="D4186" t="s">
        <v>17</v>
      </c>
      <c r="E4186">
        <v>0.195970695970695</v>
      </c>
      <c r="F4186">
        <v>0.77994209403580494</v>
      </c>
      <c r="G4186">
        <v>704.72501015663101</v>
      </c>
      <c r="H4186">
        <v>87</v>
      </c>
      <c r="I4186">
        <v>102</v>
      </c>
      <c r="J4186">
        <v>30</v>
      </c>
    </row>
    <row r="4187" spans="1:10" x14ac:dyDescent="0.25">
      <c r="A4187" t="s">
        <v>24</v>
      </c>
      <c r="B4187" t="s">
        <v>19</v>
      </c>
      <c r="C4187" t="s">
        <v>18</v>
      </c>
      <c r="D4187" t="s">
        <v>17</v>
      </c>
      <c r="E4187">
        <v>0.116300366300366</v>
      </c>
      <c r="F4187">
        <v>0.76554848406849796</v>
      </c>
      <c r="G4187">
        <v>706.273247480392</v>
      </c>
      <c r="H4187">
        <v>101</v>
      </c>
      <c r="I4187">
        <v>118</v>
      </c>
      <c r="J4187">
        <v>30</v>
      </c>
    </row>
    <row r="4188" spans="1:10" x14ac:dyDescent="0.25">
      <c r="A4188" t="s">
        <v>24</v>
      </c>
      <c r="B4188" t="s">
        <v>19</v>
      </c>
      <c r="C4188" t="s">
        <v>18</v>
      </c>
      <c r="D4188" t="s">
        <v>17</v>
      </c>
      <c r="E4188">
        <v>0.124542124542124</v>
      </c>
      <c r="F4188">
        <v>0.76673039713076896</v>
      </c>
      <c r="G4188">
        <v>750.47207999229397</v>
      </c>
      <c r="H4188">
        <v>100</v>
      </c>
      <c r="I4188">
        <v>126</v>
      </c>
      <c r="J4188">
        <v>30</v>
      </c>
    </row>
    <row r="4189" spans="1:10" x14ac:dyDescent="0.25">
      <c r="A4189" t="s">
        <v>24</v>
      </c>
      <c r="B4189" t="s">
        <v>19</v>
      </c>
      <c r="C4189" t="s">
        <v>18</v>
      </c>
      <c r="D4189" t="s">
        <v>17</v>
      </c>
      <c r="E4189">
        <v>0.16025641025640999</v>
      </c>
      <c r="F4189">
        <v>0.77925987537271002</v>
      </c>
      <c r="G4189">
        <v>807.33258700370698</v>
      </c>
      <c r="H4189">
        <v>108</v>
      </c>
      <c r="I4189">
        <v>119</v>
      </c>
      <c r="J4189">
        <v>30</v>
      </c>
    </row>
    <row r="4190" spans="1:10" x14ac:dyDescent="0.25">
      <c r="A4190" t="s">
        <v>24</v>
      </c>
      <c r="B4190" t="s">
        <v>19</v>
      </c>
      <c r="C4190" t="s">
        <v>18</v>
      </c>
      <c r="D4190" t="s">
        <v>17</v>
      </c>
      <c r="E4190">
        <v>0.28296703296703202</v>
      </c>
      <c r="F4190">
        <v>0.79390933978269096</v>
      </c>
      <c r="G4190">
        <v>823.73732876777603</v>
      </c>
      <c r="H4190">
        <v>100</v>
      </c>
      <c r="I4190">
        <v>118</v>
      </c>
      <c r="J4190">
        <v>30</v>
      </c>
    </row>
    <row r="4191" spans="1:10" x14ac:dyDescent="0.25">
      <c r="A4191" t="s">
        <v>24</v>
      </c>
      <c r="B4191" t="s">
        <v>19</v>
      </c>
      <c r="C4191" t="s">
        <v>18</v>
      </c>
      <c r="D4191" t="s">
        <v>17</v>
      </c>
      <c r="E4191">
        <v>0.27197802197802101</v>
      </c>
      <c r="F4191">
        <v>0.79664927252838802</v>
      </c>
      <c r="G4191">
        <v>860.51592302322297</v>
      </c>
      <c r="H4191">
        <v>128</v>
      </c>
      <c r="I4191">
        <v>155</v>
      </c>
      <c r="J4191">
        <v>30</v>
      </c>
    </row>
    <row r="4192" spans="1:10" x14ac:dyDescent="0.25">
      <c r="A4192" t="s">
        <v>24</v>
      </c>
      <c r="B4192" t="s">
        <v>19</v>
      </c>
      <c r="C4192" t="s">
        <v>18</v>
      </c>
      <c r="D4192" t="s">
        <v>17</v>
      </c>
      <c r="E4192">
        <v>0.29029304029303998</v>
      </c>
      <c r="F4192">
        <v>0.79368698963901096</v>
      </c>
      <c r="G4192">
        <v>885.31204748153596</v>
      </c>
      <c r="H4192">
        <v>121</v>
      </c>
      <c r="I4192">
        <v>146</v>
      </c>
      <c r="J4192">
        <v>30</v>
      </c>
    </row>
    <row r="4193" spans="1:10" x14ac:dyDescent="0.25">
      <c r="A4193" t="s">
        <v>24</v>
      </c>
      <c r="B4193" t="s">
        <v>19</v>
      </c>
      <c r="C4193" t="s">
        <v>18</v>
      </c>
      <c r="D4193" t="s">
        <v>17</v>
      </c>
      <c r="E4193">
        <v>0.28205128205128199</v>
      </c>
      <c r="F4193">
        <v>0.79283087243177597</v>
      </c>
      <c r="G4193">
        <v>896.20486879348698</v>
      </c>
      <c r="H4193">
        <v>129</v>
      </c>
      <c r="I4193">
        <v>151</v>
      </c>
      <c r="J4193">
        <v>30</v>
      </c>
    </row>
    <row r="4194" spans="1:10" x14ac:dyDescent="0.25">
      <c r="A4194" t="s">
        <v>24</v>
      </c>
      <c r="B4194" t="s">
        <v>19</v>
      </c>
      <c r="C4194" t="s">
        <v>18</v>
      </c>
      <c r="D4194" t="s">
        <v>17</v>
      </c>
      <c r="E4194">
        <v>0.29395604395604302</v>
      </c>
      <c r="F4194">
        <v>0.79798946024212503</v>
      </c>
      <c r="G4194">
        <v>923.197180271148</v>
      </c>
      <c r="H4194">
        <v>134</v>
      </c>
      <c r="I4194">
        <v>169</v>
      </c>
      <c r="J4194">
        <v>30</v>
      </c>
    </row>
    <row r="4195" spans="1:10" x14ac:dyDescent="0.25">
      <c r="A4195" t="s">
        <v>24</v>
      </c>
      <c r="B4195" t="s">
        <v>19</v>
      </c>
      <c r="C4195" t="s">
        <v>18</v>
      </c>
      <c r="D4195" t="s">
        <v>17</v>
      </c>
      <c r="E4195">
        <v>0.38736263736263699</v>
      </c>
      <c r="F4195">
        <v>0.81592034907069499</v>
      </c>
      <c r="G4195">
        <v>1031.2218854427299</v>
      </c>
      <c r="H4195">
        <v>199</v>
      </c>
      <c r="I4195">
        <v>245</v>
      </c>
      <c r="J4195">
        <v>30</v>
      </c>
    </row>
    <row r="4196" spans="1:10" x14ac:dyDescent="0.25">
      <c r="A4196" t="s">
        <v>24</v>
      </c>
      <c r="B4196" t="s">
        <v>19</v>
      </c>
      <c r="C4196" t="s">
        <v>18</v>
      </c>
      <c r="D4196" t="s">
        <v>17</v>
      </c>
      <c r="E4196">
        <v>0.31593406593406498</v>
      </c>
      <c r="F4196">
        <v>0.80356388076391805</v>
      </c>
      <c r="G4196">
        <v>1032.46703147888</v>
      </c>
      <c r="H4196">
        <v>185</v>
      </c>
      <c r="I4196">
        <v>228</v>
      </c>
      <c r="J4196">
        <v>30</v>
      </c>
    </row>
    <row r="4197" spans="1:10" x14ac:dyDescent="0.25">
      <c r="A4197" t="s">
        <v>24</v>
      </c>
      <c r="B4197" t="s">
        <v>19</v>
      </c>
      <c r="C4197" t="s">
        <v>18</v>
      </c>
      <c r="D4197" t="s">
        <v>17</v>
      </c>
      <c r="E4197">
        <v>0.35805860805860801</v>
      </c>
      <c r="F4197">
        <v>0.80305370377802199</v>
      </c>
      <c r="G4197">
        <v>1086.13751268386</v>
      </c>
      <c r="H4197">
        <v>205</v>
      </c>
      <c r="I4197">
        <v>250</v>
      </c>
      <c r="J4197">
        <v>30</v>
      </c>
    </row>
    <row r="4198" spans="1:10" x14ac:dyDescent="0.25">
      <c r="A4198" t="s">
        <v>24</v>
      </c>
      <c r="B4198" t="s">
        <v>19</v>
      </c>
      <c r="C4198" t="s">
        <v>18</v>
      </c>
      <c r="D4198" t="s">
        <v>17</v>
      </c>
      <c r="E4198">
        <v>0.482600732600732</v>
      </c>
      <c r="F4198">
        <v>0.83561668371126296</v>
      </c>
      <c r="G4198">
        <v>1090.0362062454201</v>
      </c>
      <c r="H4198">
        <v>234</v>
      </c>
      <c r="I4198">
        <v>270</v>
      </c>
      <c r="J4198">
        <v>30</v>
      </c>
    </row>
    <row r="4199" spans="1:10" x14ac:dyDescent="0.25">
      <c r="A4199" t="s">
        <v>24</v>
      </c>
      <c r="B4199" t="s">
        <v>19</v>
      </c>
      <c r="C4199" t="s">
        <v>18</v>
      </c>
      <c r="D4199" t="s">
        <v>17</v>
      </c>
      <c r="E4199">
        <v>0.43131868131868101</v>
      </c>
      <c r="F4199">
        <v>0.82273226327527504</v>
      </c>
      <c r="G4199">
        <v>1097.61769580841</v>
      </c>
      <c r="H4199">
        <v>251</v>
      </c>
      <c r="I4199">
        <v>294</v>
      </c>
      <c r="J4199">
        <v>30</v>
      </c>
    </row>
    <row r="4200" spans="1:10" x14ac:dyDescent="0.25">
      <c r="A4200" t="s">
        <v>24</v>
      </c>
      <c r="B4200" t="s">
        <v>19</v>
      </c>
      <c r="C4200" t="s">
        <v>18</v>
      </c>
      <c r="D4200" t="s">
        <v>17</v>
      </c>
      <c r="E4200">
        <v>0.46794871794871701</v>
      </c>
      <c r="F4200">
        <v>0.82177099962481703</v>
      </c>
      <c r="G4200">
        <v>1101.24079632759</v>
      </c>
      <c r="H4200">
        <v>285</v>
      </c>
      <c r="I4200">
        <v>341</v>
      </c>
      <c r="J4200">
        <v>30</v>
      </c>
    </row>
    <row r="4201" spans="1:10" x14ac:dyDescent="0.25">
      <c r="A4201" t="s">
        <v>24</v>
      </c>
      <c r="B4201" t="s">
        <v>19</v>
      </c>
      <c r="C4201" t="s">
        <v>18</v>
      </c>
      <c r="D4201" t="s">
        <v>17</v>
      </c>
      <c r="E4201">
        <v>0.48076923076923</v>
      </c>
      <c r="F4201">
        <v>0.834490661430769</v>
      </c>
      <c r="G4201">
        <v>1108.93700790405</v>
      </c>
      <c r="H4201">
        <v>278</v>
      </c>
      <c r="I4201">
        <v>345</v>
      </c>
      <c r="J4201">
        <v>30</v>
      </c>
    </row>
    <row r="4202" spans="1:10" x14ac:dyDescent="0.25">
      <c r="A4202" t="s">
        <v>24</v>
      </c>
      <c r="B4202" t="s">
        <v>20</v>
      </c>
      <c r="C4202" t="s">
        <v>12</v>
      </c>
      <c r="D4202" t="s">
        <v>13</v>
      </c>
      <c r="E4202">
        <v>0.99175824175824101</v>
      </c>
      <c r="F4202">
        <v>0.99221041728818604</v>
      </c>
      <c r="G4202">
        <v>495.658644199371</v>
      </c>
      <c r="H4202">
        <v>27</v>
      </c>
      <c r="I4202">
        <v>43</v>
      </c>
      <c r="J4202">
        <v>30</v>
      </c>
    </row>
    <row r="4203" spans="1:10" x14ac:dyDescent="0.25">
      <c r="A4203" t="s">
        <v>24</v>
      </c>
      <c r="B4203" t="s">
        <v>20</v>
      </c>
      <c r="C4203" t="s">
        <v>12</v>
      </c>
      <c r="D4203" t="s">
        <v>13</v>
      </c>
      <c r="E4203">
        <v>0.99542124542124499</v>
      </c>
      <c r="F4203">
        <v>0.99493054233626299</v>
      </c>
      <c r="G4203">
        <v>508.22996044158901</v>
      </c>
      <c r="H4203">
        <v>30</v>
      </c>
      <c r="I4203">
        <v>47</v>
      </c>
      <c r="J4203">
        <v>30</v>
      </c>
    </row>
    <row r="4204" spans="1:10" x14ac:dyDescent="0.25">
      <c r="A4204" t="s">
        <v>24</v>
      </c>
      <c r="B4204" t="s">
        <v>20</v>
      </c>
      <c r="C4204" t="s">
        <v>12</v>
      </c>
      <c r="D4204" t="s">
        <v>13</v>
      </c>
      <c r="E4204">
        <v>0.98901098901098905</v>
      </c>
      <c r="F4204">
        <v>0.99006763719304003</v>
      </c>
      <c r="G4204">
        <v>573.04779815673805</v>
      </c>
      <c r="H4204">
        <v>26</v>
      </c>
      <c r="I4204">
        <v>42</v>
      </c>
      <c r="J4204">
        <v>30</v>
      </c>
    </row>
    <row r="4205" spans="1:10" x14ac:dyDescent="0.25">
      <c r="A4205" t="s">
        <v>24</v>
      </c>
      <c r="B4205" t="s">
        <v>20</v>
      </c>
      <c r="C4205" t="s">
        <v>12</v>
      </c>
      <c r="D4205" t="s">
        <v>13</v>
      </c>
      <c r="E4205">
        <v>0.99267399267399203</v>
      </c>
      <c r="F4205">
        <v>0.99274949179285699</v>
      </c>
      <c r="G4205">
        <v>585.59375381469704</v>
      </c>
      <c r="H4205">
        <v>28</v>
      </c>
      <c r="I4205">
        <v>42</v>
      </c>
      <c r="J4205">
        <v>30</v>
      </c>
    </row>
    <row r="4206" spans="1:10" x14ac:dyDescent="0.25">
      <c r="A4206" t="s">
        <v>24</v>
      </c>
      <c r="B4206" t="s">
        <v>20</v>
      </c>
      <c r="C4206" t="s">
        <v>12</v>
      </c>
      <c r="D4206" t="s">
        <v>13</v>
      </c>
      <c r="E4206">
        <v>0.99358974358974295</v>
      </c>
      <c r="F4206">
        <v>0.994163906061446</v>
      </c>
      <c r="G4206">
        <v>622.18162846565201</v>
      </c>
      <c r="H4206">
        <v>24</v>
      </c>
      <c r="I4206">
        <v>40</v>
      </c>
      <c r="J4206">
        <v>30</v>
      </c>
    </row>
    <row r="4207" spans="1:10" x14ac:dyDescent="0.25">
      <c r="A4207" t="s">
        <v>24</v>
      </c>
      <c r="B4207" t="s">
        <v>20</v>
      </c>
      <c r="C4207" t="s">
        <v>12</v>
      </c>
      <c r="D4207" t="s">
        <v>13</v>
      </c>
      <c r="E4207">
        <v>0.99267399267399203</v>
      </c>
      <c r="F4207">
        <v>0.99420685905421202</v>
      </c>
      <c r="G4207">
        <v>638.65096020698502</v>
      </c>
      <c r="H4207">
        <v>26</v>
      </c>
      <c r="I4207">
        <v>41</v>
      </c>
      <c r="J4207">
        <v>30</v>
      </c>
    </row>
    <row r="4208" spans="1:10" x14ac:dyDescent="0.25">
      <c r="A4208" t="s">
        <v>24</v>
      </c>
      <c r="B4208" t="s">
        <v>20</v>
      </c>
      <c r="C4208" t="s">
        <v>12</v>
      </c>
      <c r="D4208" t="s">
        <v>13</v>
      </c>
      <c r="E4208">
        <v>0.99358974358974295</v>
      </c>
      <c r="F4208">
        <v>0.99365196265915701</v>
      </c>
      <c r="G4208">
        <v>642.85353922843899</v>
      </c>
      <c r="H4208">
        <v>27</v>
      </c>
      <c r="I4208">
        <v>45</v>
      </c>
      <c r="J4208">
        <v>30</v>
      </c>
    </row>
    <row r="4209" spans="1:10" x14ac:dyDescent="0.25">
      <c r="A4209" t="s">
        <v>24</v>
      </c>
      <c r="B4209" t="s">
        <v>20</v>
      </c>
      <c r="C4209" t="s">
        <v>12</v>
      </c>
      <c r="D4209" t="s">
        <v>13</v>
      </c>
      <c r="E4209">
        <v>0.987179487179487</v>
      </c>
      <c r="F4209">
        <v>0.98837042404807596</v>
      </c>
      <c r="G4209">
        <v>664.55830764770496</v>
      </c>
      <c r="H4209">
        <v>30</v>
      </c>
      <c r="I4209">
        <v>49</v>
      </c>
      <c r="J4209">
        <v>30</v>
      </c>
    </row>
    <row r="4210" spans="1:10" x14ac:dyDescent="0.25">
      <c r="A4210" t="s">
        <v>24</v>
      </c>
      <c r="B4210" t="s">
        <v>20</v>
      </c>
      <c r="C4210" t="s">
        <v>12</v>
      </c>
      <c r="D4210" t="s">
        <v>13</v>
      </c>
      <c r="E4210">
        <v>0.98901098901098905</v>
      </c>
      <c r="F4210">
        <v>0.98977121411556701</v>
      </c>
      <c r="G4210">
        <v>669.43703794479302</v>
      </c>
      <c r="H4210">
        <v>28</v>
      </c>
      <c r="I4210">
        <v>45</v>
      </c>
      <c r="J4210">
        <v>30</v>
      </c>
    </row>
    <row r="4211" spans="1:10" x14ac:dyDescent="0.25">
      <c r="A4211" t="s">
        <v>24</v>
      </c>
      <c r="B4211" t="s">
        <v>20</v>
      </c>
      <c r="C4211" t="s">
        <v>12</v>
      </c>
      <c r="D4211" t="s">
        <v>13</v>
      </c>
      <c r="E4211">
        <v>0.99084249084248999</v>
      </c>
      <c r="F4211">
        <v>0.99157815984532904</v>
      </c>
      <c r="G4211">
        <v>673.81700181961003</v>
      </c>
      <c r="H4211">
        <v>26</v>
      </c>
      <c r="I4211">
        <v>44</v>
      </c>
      <c r="J4211">
        <v>30</v>
      </c>
    </row>
    <row r="4212" spans="1:10" x14ac:dyDescent="0.25">
      <c r="A4212" t="s">
        <v>24</v>
      </c>
      <c r="B4212" t="s">
        <v>20</v>
      </c>
      <c r="C4212" t="s">
        <v>12</v>
      </c>
      <c r="D4212" t="s">
        <v>13</v>
      </c>
      <c r="E4212">
        <v>0.98901098901098905</v>
      </c>
      <c r="F4212">
        <v>0.98887041511666596</v>
      </c>
      <c r="G4212">
        <v>683.80522179603497</v>
      </c>
      <c r="H4212">
        <v>28</v>
      </c>
      <c r="I4212">
        <v>46</v>
      </c>
      <c r="J4212">
        <v>30</v>
      </c>
    </row>
    <row r="4213" spans="1:10" x14ac:dyDescent="0.25">
      <c r="A4213" t="s">
        <v>24</v>
      </c>
      <c r="B4213" t="s">
        <v>20</v>
      </c>
      <c r="C4213" t="s">
        <v>12</v>
      </c>
      <c r="D4213" t="s">
        <v>13</v>
      </c>
      <c r="E4213">
        <v>0.99358974358974295</v>
      </c>
      <c r="F4213">
        <v>0.99356698464945004</v>
      </c>
      <c r="G4213">
        <v>687.64288067817597</v>
      </c>
      <c r="H4213">
        <v>26</v>
      </c>
      <c r="I4213">
        <v>45</v>
      </c>
      <c r="J4213">
        <v>30</v>
      </c>
    </row>
    <row r="4214" spans="1:10" x14ac:dyDescent="0.25">
      <c r="A4214" t="s">
        <v>24</v>
      </c>
      <c r="B4214" t="s">
        <v>20</v>
      </c>
      <c r="C4214" t="s">
        <v>12</v>
      </c>
      <c r="D4214" t="s">
        <v>13</v>
      </c>
      <c r="E4214">
        <v>0.99450549450549397</v>
      </c>
      <c r="F4214">
        <v>0.99425611148662996</v>
      </c>
      <c r="G4214">
        <v>692.24486994743302</v>
      </c>
      <c r="H4214">
        <v>27</v>
      </c>
      <c r="I4214">
        <v>45</v>
      </c>
      <c r="J4214">
        <v>30</v>
      </c>
    </row>
    <row r="4215" spans="1:10" x14ac:dyDescent="0.25">
      <c r="A4215" t="s">
        <v>24</v>
      </c>
      <c r="B4215" t="s">
        <v>20</v>
      </c>
      <c r="C4215" t="s">
        <v>12</v>
      </c>
      <c r="D4215" t="s">
        <v>13</v>
      </c>
      <c r="E4215">
        <v>0.98168498168498097</v>
      </c>
      <c r="F4215">
        <v>0.98182360603076901</v>
      </c>
      <c r="G4215">
        <v>703.50877785682599</v>
      </c>
      <c r="H4215">
        <v>27</v>
      </c>
      <c r="I4215">
        <v>46</v>
      </c>
      <c r="J4215">
        <v>30</v>
      </c>
    </row>
    <row r="4216" spans="1:10" x14ac:dyDescent="0.25">
      <c r="A4216" t="s">
        <v>24</v>
      </c>
      <c r="B4216" t="s">
        <v>20</v>
      </c>
      <c r="C4216" t="s">
        <v>12</v>
      </c>
      <c r="D4216" t="s">
        <v>13</v>
      </c>
      <c r="E4216">
        <v>0.98534798534798496</v>
      </c>
      <c r="F4216">
        <v>0.98558306124184902</v>
      </c>
      <c r="G4216">
        <v>703.97586297988801</v>
      </c>
      <c r="H4216">
        <v>30</v>
      </c>
      <c r="I4216">
        <v>51</v>
      </c>
      <c r="J4216">
        <v>30</v>
      </c>
    </row>
    <row r="4217" spans="1:10" x14ac:dyDescent="0.25">
      <c r="A4217" t="s">
        <v>24</v>
      </c>
      <c r="B4217" t="s">
        <v>20</v>
      </c>
      <c r="C4217" t="s">
        <v>12</v>
      </c>
      <c r="D4217" t="s">
        <v>13</v>
      </c>
      <c r="E4217">
        <v>0.99358974358974295</v>
      </c>
      <c r="F4217">
        <v>0.99416614510467005</v>
      </c>
      <c r="G4217">
        <v>705.43703722953796</v>
      </c>
      <c r="H4217">
        <v>26</v>
      </c>
      <c r="I4217">
        <v>44</v>
      </c>
      <c r="J4217">
        <v>30</v>
      </c>
    </row>
    <row r="4218" spans="1:10" x14ac:dyDescent="0.25">
      <c r="A4218" t="s">
        <v>24</v>
      </c>
      <c r="B4218" t="s">
        <v>20</v>
      </c>
      <c r="C4218" t="s">
        <v>12</v>
      </c>
      <c r="D4218" t="s">
        <v>13</v>
      </c>
      <c r="E4218">
        <v>0.99175824175824101</v>
      </c>
      <c r="F4218">
        <v>0.99297743498324098</v>
      </c>
      <c r="G4218">
        <v>706.96933794021595</v>
      </c>
      <c r="H4218">
        <v>30</v>
      </c>
      <c r="I4218">
        <v>49</v>
      </c>
      <c r="J4218">
        <v>30</v>
      </c>
    </row>
    <row r="4219" spans="1:10" x14ac:dyDescent="0.25">
      <c r="A4219" t="s">
        <v>24</v>
      </c>
      <c r="B4219" t="s">
        <v>20</v>
      </c>
      <c r="C4219" t="s">
        <v>12</v>
      </c>
      <c r="D4219" t="s">
        <v>13</v>
      </c>
      <c r="E4219">
        <v>0.99084249084248999</v>
      </c>
      <c r="F4219">
        <v>0.99184717644303999</v>
      </c>
      <c r="G4219">
        <v>716.07522296905495</v>
      </c>
      <c r="H4219">
        <v>30</v>
      </c>
      <c r="I4219">
        <v>51</v>
      </c>
      <c r="J4219">
        <v>30</v>
      </c>
    </row>
    <row r="4220" spans="1:10" x14ac:dyDescent="0.25">
      <c r="A4220" t="s">
        <v>24</v>
      </c>
      <c r="B4220" t="s">
        <v>20</v>
      </c>
      <c r="C4220" t="s">
        <v>12</v>
      </c>
      <c r="D4220" t="s">
        <v>13</v>
      </c>
      <c r="E4220">
        <v>0.98901098901098905</v>
      </c>
      <c r="F4220">
        <v>0.98960866655082402</v>
      </c>
      <c r="G4220">
        <v>718.61637997627201</v>
      </c>
      <c r="H4220">
        <v>29</v>
      </c>
      <c r="I4220">
        <v>46</v>
      </c>
      <c r="J4220">
        <v>30</v>
      </c>
    </row>
    <row r="4221" spans="1:10" x14ac:dyDescent="0.25">
      <c r="A4221" t="s">
        <v>24</v>
      </c>
      <c r="B4221" t="s">
        <v>20</v>
      </c>
      <c r="C4221" t="s">
        <v>12</v>
      </c>
      <c r="D4221" t="s">
        <v>13</v>
      </c>
      <c r="E4221">
        <v>0.99725274725274704</v>
      </c>
      <c r="F4221">
        <v>0.99700408869194102</v>
      </c>
      <c r="G4221">
        <v>719.76835942268303</v>
      </c>
      <c r="H4221">
        <v>27</v>
      </c>
      <c r="I4221">
        <v>45</v>
      </c>
      <c r="J4221">
        <v>30</v>
      </c>
    </row>
    <row r="4222" spans="1:10" x14ac:dyDescent="0.25">
      <c r="A4222" t="s">
        <v>24</v>
      </c>
      <c r="B4222" t="s">
        <v>20</v>
      </c>
      <c r="C4222" t="s">
        <v>12</v>
      </c>
      <c r="D4222" t="s">
        <v>13</v>
      </c>
      <c r="E4222">
        <v>0.99084249084248999</v>
      </c>
      <c r="F4222">
        <v>0.99127192657628205</v>
      </c>
      <c r="G4222">
        <v>721.33435392379704</v>
      </c>
      <c r="H4222">
        <v>32</v>
      </c>
      <c r="I4222">
        <v>52</v>
      </c>
      <c r="J4222">
        <v>30</v>
      </c>
    </row>
    <row r="4223" spans="1:10" x14ac:dyDescent="0.25">
      <c r="A4223" t="s">
        <v>24</v>
      </c>
      <c r="B4223" t="s">
        <v>20</v>
      </c>
      <c r="C4223" t="s">
        <v>12</v>
      </c>
      <c r="D4223" t="s">
        <v>13</v>
      </c>
      <c r="E4223">
        <v>0.98626373626373598</v>
      </c>
      <c r="F4223">
        <v>0.98636094663498097</v>
      </c>
      <c r="G4223">
        <v>722.00868892669598</v>
      </c>
      <c r="H4223">
        <v>29</v>
      </c>
      <c r="I4223">
        <v>48</v>
      </c>
      <c r="J4223">
        <v>30</v>
      </c>
    </row>
    <row r="4224" spans="1:10" x14ac:dyDescent="0.25">
      <c r="A4224" t="s">
        <v>24</v>
      </c>
      <c r="B4224" t="s">
        <v>20</v>
      </c>
      <c r="C4224" t="s">
        <v>12</v>
      </c>
      <c r="D4224" t="s">
        <v>13</v>
      </c>
      <c r="E4224">
        <v>0.98901098901098905</v>
      </c>
      <c r="F4224">
        <v>0.98868841128360796</v>
      </c>
      <c r="G4224">
        <v>723.07801055908203</v>
      </c>
      <c r="H4224">
        <v>28</v>
      </c>
      <c r="I4224">
        <v>48</v>
      </c>
      <c r="J4224">
        <v>30</v>
      </c>
    </row>
    <row r="4225" spans="1:10" x14ac:dyDescent="0.25">
      <c r="A4225" t="s">
        <v>24</v>
      </c>
      <c r="B4225" t="s">
        <v>20</v>
      </c>
      <c r="C4225" t="s">
        <v>12</v>
      </c>
      <c r="D4225" t="s">
        <v>13</v>
      </c>
      <c r="E4225">
        <v>0.98992673992673996</v>
      </c>
      <c r="F4225">
        <v>0.99220503137170302</v>
      </c>
      <c r="G4225">
        <v>725.46777153015103</v>
      </c>
      <c r="H4225">
        <v>28</v>
      </c>
      <c r="I4225">
        <v>47</v>
      </c>
      <c r="J4225">
        <v>30</v>
      </c>
    </row>
    <row r="4226" spans="1:10" x14ac:dyDescent="0.25">
      <c r="A4226" t="s">
        <v>24</v>
      </c>
      <c r="B4226" t="s">
        <v>20</v>
      </c>
      <c r="C4226" t="s">
        <v>12</v>
      </c>
      <c r="D4226" t="s">
        <v>13</v>
      </c>
      <c r="E4226">
        <v>0.99084249084248999</v>
      </c>
      <c r="F4226">
        <v>0.99072507312756397</v>
      </c>
      <c r="G4226">
        <v>729.97484397888104</v>
      </c>
      <c r="H4226">
        <v>30</v>
      </c>
      <c r="I4226">
        <v>51</v>
      </c>
      <c r="J4226">
        <v>30</v>
      </c>
    </row>
    <row r="4227" spans="1:10" x14ac:dyDescent="0.25">
      <c r="A4227" t="s">
        <v>24</v>
      </c>
      <c r="B4227" t="s">
        <v>20</v>
      </c>
      <c r="C4227" t="s">
        <v>12</v>
      </c>
      <c r="D4227" t="s">
        <v>13</v>
      </c>
      <c r="E4227">
        <v>0.98809523809523803</v>
      </c>
      <c r="F4227">
        <v>0.98874298152893703</v>
      </c>
      <c r="G4227">
        <v>732.432637453079</v>
      </c>
      <c r="H4227">
        <v>29</v>
      </c>
      <c r="I4227">
        <v>49</v>
      </c>
      <c r="J4227">
        <v>30</v>
      </c>
    </row>
    <row r="4228" spans="1:10" x14ac:dyDescent="0.25">
      <c r="A4228" t="s">
        <v>24</v>
      </c>
      <c r="B4228" t="s">
        <v>20</v>
      </c>
      <c r="C4228" t="s">
        <v>12</v>
      </c>
      <c r="D4228" t="s">
        <v>13</v>
      </c>
      <c r="E4228">
        <v>0.98626373626373598</v>
      </c>
      <c r="F4228">
        <v>0.98782453074844301</v>
      </c>
      <c r="G4228">
        <v>738.21743392944302</v>
      </c>
      <c r="H4228">
        <v>29</v>
      </c>
      <c r="I4228">
        <v>51</v>
      </c>
      <c r="J4228">
        <v>30</v>
      </c>
    </row>
    <row r="4229" spans="1:10" x14ac:dyDescent="0.25">
      <c r="A4229" t="s">
        <v>24</v>
      </c>
      <c r="B4229" t="s">
        <v>20</v>
      </c>
      <c r="C4229" t="s">
        <v>12</v>
      </c>
      <c r="D4229" t="s">
        <v>13</v>
      </c>
      <c r="E4229">
        <v>0.99084249084248999</v>
      </c>
      <c r="F4229">
        <v>0.99081308486575004</v>
      </c>
      <c r="G4229">
        <v>739.48838376998901</v>
      </c>
      <c r="H4229">
        <v>28</v>
      </c>
      <c r="I4229">
        <v>44</v>
      </c>
      <c r="J4229">
        <v>30</v>
      </c>
    </row>
    <row r="4230" spans="1:10" x14ac:dyDescent="0.25">
      <c r="A4230" t="s">
        <v>24</v>
      </c>
      <c r="B4230" t="s">
        <v>20</v>
      </c>
      <c r="C4230" t="s">
        <v>12</v>
      </c>
      <c r="D4230" t="s">
        <v>13</v>
      </c>
      <c r="E4230">
        <v>0.99267399267399203</v>
      </c>
      <c r="F4230">
        <v>0.992631659485531</v>
      </c>
      <c r="G4230">
        <v>740.81060338020302</v>
      </c>
      <c r="H4230">
        <v>28</v>
      </c>
      <c r="I4230">
        <v>45</v>
      </c>
      <c r="J4230">
        <v>30</v>
      </c>
    </row>
    <row r="4231" spans="1:10" x14ac:dyDescent="0.25">
      <c r="A4231" t="s">
        <v>24</v>
      </c>
      <c r="B4231" t="s">
        <v>20</v>
      </c>
      <c r="C4231" t="s">
        <v>12</v>
      </c>
      <c r="D4231" t="s">
        <v>13</v>
      </c>
      <c r="E4231">
        <v>0.99084249084248999</v>
      </c>
      <c r="F4231">
        <v>0.99453378258379099</v>
      </c>
      <c r="G4231">
        <v>742.34761381149201</v>
      </c>
      <c r="H4231">
        <v>34</v>
      </c>
      <c r="I4231">
        <v>54</v>
      </c>
      <c r="J4231">
        <v>30</v>
      </c>
    </row>
    <row r="4232" spans="1:10" x14ac:dyDescent="0.25">
      <c r="A4232" t="s">
        <v>24</v>
      </c>
      <c r="B4232" t="s">
        <v>20</v>
      </c>
      <c r="C4232" t="s">
        <v>12</v>
      </c>
      <c r="D4232" t="s">
        <v>14</v>
      </c>
      <c r="E4232">
        <v>0</v>
      </c>
      <c r="F4232">
        <v>0.75</v>
      </c>
      <c r="G4232">
        <v>7.0816342830657897</v>
      </c>
      <c r="H4232">
        <v>1</v>
      </c>
      <c r="I4232">
        <v>1</v>
      </c>
      <c r="J4232">
        <v>30</v>
      </c>
    </row>
    <row r="4233" spans="1:10" x14ac:dyDescent="0.25">
      <c r="A4233" t="s">
        <v>24</v>
      </c>
      <c r="B4233" t="s">
        <v>20</v>
      </c>
      <c r="C4233" t="s">
        <v>12</v>
      </c>
      <c r="D4233" t="s">
        <v>14</v>
      </c>
      <c r="E4233">
        <v>9.1575091575091499E-4</v>
      </c>
      <c r="F4233">
        <v>0.74991235977564097</v>
      </c>
      <c r="G4233">
        <v>7.1001265048980704</v>
      </c>
      <c r="H4233">
        <v>1</v>
      </c>
      <c r="I4233">
        <v>1</v>
      </c>
      <c r="J4233">
        <v>30</v>
      </c>
    </row>
    <row r="4234" spans="1:10" x14ac:dyDescent="0.25">
      <c r="A4234" t="s">
        <v>24</v>
      </c>
      <c r="B4234" t="s">
        <v>20</v>
      </c>
      <c r="C4234" t="s">
        <v>12</v>
      </c>
      <c r="D4234" t="s">
        <v>14</v>
      </c>
      <c r="E4234">
        <v>9.1575091575091499E-4</v>
      </c>
      <c r="F4234">
        <v>0.74991235977564097</v>
      </c>
      <c r="G4234">
        <v>7.2771871089935303</v>
      </c>
      <c r="H4234">
        <v>1</v>
      </c>
      <c r="I4234">
        <v>1</v>
      </c>
      <c r="J4234">
        <v>30</v>
      </c>
    </row>
    <row r="4235" spans="1:10" x14ac:dyDescent="0.25">
      <c r="A4235" t="s">
        <v>24</v>
      </c>
      <c r="B4235" t="s">
        <v>20</v>
      </c>
      <c r="C4235" t="s">
        <v>12</v>
      </c>
      <c r="D4235" t="s">
        <v>14</v>
      </c>
      <c r="E4235">
        <v>0</v>
      </c>
      <c r="F4235">
        <v>0.75</v>
      </c>
      <c r="G4235">
        <v>7.3606870174407897</v>
      </c>
      <c r="H4235">
        <v>1</v>
      </c>
      <c r="I4235">
        <v>1</v>
      </c>
      <c r="J4235">
        <v>30</v>
      </c>
    </row>
    <row r="4236" spans="1:10" x14ac:dyDescent="0.25">
      <c r="A4236" t="s">
        <v>24</v>
      </c>
      <c r="B4236" t="s">
        <v>20</v>
      </c>
      <c r="C4236" t="s">
        <v>12</v>
      </c>
      <c r="D4236" t="s">
        <v>14</v>
      </c>
      <c r="E4236">
        <v>0</v>
      </c>
      <c r="F4236">
        <v>0.75</v>
      </c>
      <c r="G4236">
        <v>7.3574206829071001</v>
      </c>
      <c r="H4236">
        <v>1</v>
      </c>
      <c r="I4236">
        <v>1</v>
      </c>
      <c r="J4236">
        <v>30</v>
      </c>
    </row>
    <row r="4237" spans="1:10" x14ac:dyDescent="0.25">
      <c r="A4237" t="s">
        <v>24</v>
      </c>
      <c r="B4237" t="s">
        <v>20</v>
      </c>
      <c r="C4237" t="s">
        <v>12</v>
      </c>
      <c r="D4237" t="s">
        <v>14</v>
      </c>
      <c r="E4237">
        <v>0</v>
      </c>
      <c r="F4237">
        <v>0.75</v>
      </c>
      <c r="G4237">
        <v>7.43808889389038</v>
      </c>
      <c r="H4237">
        <v>1</v>
      </c>
      <c r="I4237">
        <v>1</v>
      </c>
      <c r="J4237">
        <v>30</v>
      </c>
    </row>
    <row r="4238" spans="1:10" x14ac:dyDescent="0.25">
      <c r="A4238" t="s">
        <v>24</v>
      </c>
      <c r="B4238" t="s">
        <v>20</v>
      </c>
      <c r="C4238" t="s">
        <v>12</v>
      </c>
      <c r="D4238" t="s">
        <v>14</v>
      </c>
      <c r="E4238">
        <v>0</v>
      </c>
      <c r="F4238">
        <v>0.749733835728846</v>
      </c>
      <c r="G4238">
        <v>7.4268674850463796</v>
      </c>
      <c r="H4238">
        <v>1</v>
      </c>
      <c r="I4238">
        <v>1</v>
      </c>
      <c r="J4238">
        <v>30</v>
      </c>
    </row>
    <row r="4239" spans="1:10" x14ac:dyDescent="0.25">
      <c r="A4239" t="s">
        <v>24</v>
      </c>
      <c r="B4239" t="s">
        <v>20</v>
      </c>
      <c r="C4239" t="s">
        <v>12</v>
      </c>
      <c r="D4239" t="s">
        <v>14</v>
      </c>
      <c r="E4239">
        <v>3.66300366300366E-3</v>
      </c>
      <c r="F4239">
        <v>0.74992673992673997</v>
      </c>
      <c r="G4239">
        <v>7.5890767574310303</v>
      </c>
      <c r="H4239">
        <v>1</v>
      </c>
      <c r="I4239">
        <v>1</v>
      </c>
      <c r="J4239">
        <v>30</v>
      </c>
    </row>
    <row r="4240" spans="1:10" x14ac:dyDescent="0.25">
      <c r="A4240" t="s">
        <v>24</v>
      </c>
      <c r="B4240" t="s">
        <v>20</v>
      </c>
      <c r="C4240" t="s">
        <v>12</v>
      </c>
      <c r="D4240" t="s">
        <v>14</v>
      </c>
      <c r="E4240">
        <v>1.83150183150183E-3</v>
      </c>
      <c r="F4240">
        <v>0.75007326007326003</v>
      </c>
      <c r="G4240">
        <v>8.5340428352355904</v>
      </c>
      <c r="H4240">
        <v>1</v>
      </c>
      <c r="I4240">
        <v>1</v>
      </c>
      <c r="J4240">
        <v>30</v>
      </c>
    </row>
    <row r="4241" spans="1:10" x14ac:dyDescent="0.25">
      <c r="A4241" t="s">
        <v>24</v>
      </c>
      <c r="B4241" t="s">
        <v>20</v>
      </c>
      <c r="C4241" t="s">
        <v>12</v>
      </c>
      <c r="D4241" t="s">
        <v>14</v>
      </c>
      <c r="E4241">
        <v>1.83150183150183E-3</v>
      </c>
      <c r="F4241">
        <v>0.74982471955128205</v>
      </c>
      <c r="G4241">
        <v>8.5533695220947195</v>
      </c>
      <c r="H4241">
        <v>1</v>
      </c>
      <c r="I4241">
        <v>1</v>
      </c>
      <c r="J4241">
        <v>30</v>
      </c>
    </row>
    <row r="4242" spans="1:10" x14ac:dyDescent="0.25">
      <c r="A4242" t="s">
        <v>24</v>
      </c>
      <c r="B4242" t="s">
        <v>20</v>
      </c>
      <c r="C4242" t="s">
        <v>12</v>
      </c>
      <c r="D4242" t="s">
        <v>14</v>
      </c>
      <c r="E4242">
        <v>0</v>
      </c>
      <c r="F4242">
        <v>0.749755859375</v>
      </c>
      <c r="G4242">
        <v>8.6145665645599294</v>
      </c>
      <c r="H4242">
        <v>1</v>
      </c>
      <c r="I4242">
        <v>1</v>
      </c>
      <c r="J4242">
        <v>30</v>
      </c>
    </row>
    <row r="4243" spans="1:10" x14ac:dyDescent="0.25">
      <c r="A4243" t="s">
        <v>24</v>
      </c>
      <c r="B4243" t="s">
        <v>20</v>
      </c>
      <c r="C4243" t="s">
        <v>12</v>
      </c>
      <c r="D4243" t="s">
        <v>14</v>
      </c>
      <c r="E4243">
        <v>9.1575091575091499E-4</v>
      </c>
      <c r="F4243">
        <v>0.75004349816849802</v>
      </c>
      <c r="G4243">
        <v>9.98756599426269</v>
      </c>
      <c r="H4243">
        <v>1</v>
      </c>
      <c r="I4243">
        <v>1</v>
      </c>
      <c r="J4243">
        <v>30</v>
      </c>
    </row>
    <row r="4244" spans="1:10" x14ac:dyDescent="0.25">
      <c r="A4244" t="s">
        <v>24</v>
      </c>
      <c r="B4244" t="s">
        <v>20</v>
      </c>
      <c r="C4244" t="s">
        <v>12</v>
      </c>
      <c r="D4244" t="s">
        <v>14</v>
      </c>
      <c r="E4244">
        <v>9.1575091575091499E-4</v>
      </c>
      <c r="F4244">
        <v>0.75007568257500001</v>
      </c>
      <c r="G4244">
        <v>9.9913773536682093</v>
      </c>
      <c r="H4244">
        <v>1</v>
      </c>
      <c r="I4244">
        <v>1</v>
      </c>
      <c r="J4244">
        <v>30</v>
      </c>
    </row>
    <row r="4245" spans="1:10" x14ac:dyDescent="0.25">
      <c r="A4245" t="s">
        <v>24</v>
      </c>
      <c r="B4245" t="s">
        <v>20</v>
      </c>
      <c r="C4245" t="s">
        <v>12</v>
      </c>
      <c r="D4245" t="s">
        <v>14</v>
      </c>
      <c r="E4245">
        <v>9.1575091575091499E-4</v>
      </c>
      <c r="F4245">
        <v>0.75007568257500001</v>
      </c>
      <c r="G4245">
        <v>10.640936136245699</v>
      </c>
      <c r="H4245">
        <v>1</v>
      </c>
      <c r="I4245">
        <v>1</v>
      </c>
      <c r="J4245">
        <v>30</v>
      </c>
    </row>
    <row r="4246" spans="1:10" x14ac:dyDescent="0.25">
      <c r="A4246" t="s">
        <v>24</v>
      </c>
      <c r="B4246" t="s">
        <v>20</v>
      </c>
      <c r="C4246" t="s">
        <v>12</v>
      </c>
      <c r="D4246" t="s">
        <v>14</v>
      </c>
      <c r="E4246">
        <v>0</v>
      </c>
      <c r="F4246">
        <v>0.75</v>
      </c>
      <c r="G4246">
        <v>11.1452579498291</v>
      </c>
      <c r="H4246">
        <v>1</v>
      </c>
      <c r="I4246">
        <v>1</v>
      </c>
      <c r="J4246">
        <v>30</v>
      </c>
    </row>
    <row r="4247" spans="1:10" x14ac:dyDescent="0.25">
      <c r="A4247" t="s">
        <v>24</v>
      </c>
      <c r="B4247" t="s">
        <v>20</v>
      </c>
      <c r="C4247" t="s">
        <v>12</v>
      </c>
      <c r="D4247" t="s">
        <v>14</v>
      </c>
      <c r="E4247">
        <v>0</v>
      </c>
      <c r="F4247">
        <v>0.75</v>
      </c>
      <c r="G4247">
        <v>12.2647647857666</v>
      </c>
      <c r="H4247">
        <v>1</v>
      </c>
      <c r="I4247">
        <v>1</v>
      </c>
      <c r="J4247">
        <v>30</v>
      </c>
    </row>
    <row r="4248" spans="1:10" x14ac:dyDescent="0.25">
      <c r="A4248" t="s">
        <v>24</v>
      </c>
      <c r="B4248" t="s">
        <v>20</v>
      </c>
      <c r="C4248" t="s">
        <v>12</v>
      </c>
      <c r="D4248" t="s">
        <v>14</v>
      </c>
      <c r="E4248">
        <v>0</v>
      </c>
      <c r="F4248">
        <v>0.75</v>
      </c>
      <c r="G4248">
        <v>14.052615404129</v>
      </c>
      <c r="H4248">
        <v>1</v>
      </c>
      <c r="I4248">
        <v>1</v>
      </c>
      <c r="J4248">
        <v>30</v>
      </c>
    </row>
    <row r="4249" spans="1:10" x14ac:dyDescent="0.25">
      <c r="A4249" t="s">
        <v>24</v>
      </c>
      <c r="B4249" t="s">
        <v>20</v>
      </c>
      <c r="C4249" t="s">
        <v>12</v>
      </c>
      <c r="D4249" t="s">
        <v>14</v>
      </c>
      <c r="E4249">
        <v>0</v>
      </c>
      <c r="F4249">
        <v>0.75</v>
      </c>
      <c r="G4249">
        <v>14.075784206390299</v>
      </c>
      <c r="H4249">
        <v>1</v>
      </c>
      <c r="I4249">
        <v>1</v>
      </c>
      <c r="J4249">
        <v>30</v>
      </c>
    </row>
    <row r="4250" spans="1:10" x14ac:dyDescent="0.25">
      <c r="A4250" t="s">
        <v>24</v>
      </c>
      <c r="B4250" t="s">
        <v>20</v>
      </c>
      <c r="C4250" t="s">
        <v>12</v>
      </c>
      <c r="D4250" t="s">
        <v>14</v>
      </c>
      <c r="E4250">
        <v>9.1575091575091499E-4</v>
      </c>
      <c r="F4250">
        <v>0.75007568257500001</v>
      </c>
      <c r="G4250">
        <v>14.1090495586395</v>
      </c>
      <c r="H4250">
        <v>1</v>
      </c>
      <c r="I4250">
        <v>1</v>
      </c>
      <c r="J4250">
        <v>30</v>
      </c>
    </row>
    <row r="4251" spans="1:10" x14ac:dyDescent="0.25">
      <c r="A4251" t="s">
        <v>24</v>
      </c>
      <c r="B4251" t="s">
        <v>20</v>
      </c>
      <c r="C4251" t="s">
        <v>12</v>
      </c>
      <c r="D4251" t="s">
        <v>14</v>
      </c>
      <c r="E4251">
        <v>9.1575091575091499E-4</v>
      </c>
      <c r="F4251">
        <v>0.75007568257500001</v>
      </c>
      <c r="G4251">
        <v>14.1658413410186</v>
      </c>
      <c r="H4251">
        <v>1</v>
      </c>
      <c r="I4251">
        <v>1</v>
      </c>
      <c r="J4251">
        <v>30</v>
      </c>
    </row>
    <row r="4252" spans="1:10" x14ac:dyDescent="0.25">
      <c r="A4252" t="s">
        <v>24</v>
      </c>
      <c r="B4252" t="s">
        <v>20</v>
      </c>
      <c r="C4252" t="s">
        <v>12</v>
      </c>
      <c r="D4252" t="s">
        <v>14</v>
      </c>
      <c r="E4252">
        <v>0</v>
      </c>
      <c r="F4252">
        <v>0.75</v>
      </c>
      <c r="G4252">
        <v>15.0143647193908</v>
      </c>
      <c r="H4252">
        <v>1</v>
      </c>
      <c r="I4252">
        <v>1</v>
      </c>
      <c r="J4252">
        <v>30</v>
      </c>
    </row>
    <row r="4253" spans="1:10" x14ac:dyDescent="0.25">
      <c r="A4253" t="s">
        <v>24</v>
      </c>
      <c r="B4253" t="s">
        <v>20</v>
      </c>
      <c r="C4253" t="s">
        <v>12</v>
      </c>
      <c r="D4253" t="s">
        <v>14</v>
      </c>
      <c r="E4253">
        <v>9.1575091575091499E-4</v>
      </c>
      <c r="F4253">
        <v>0.75007568257500001</v>
      </c>
      <c r="G4253">
        <v>14.9858927726745</v>
      </c>
      <c r="H4253">
        <v>1</v>
      </c>
      <c r="I4253">
        <v>1</v>
      </c>
      <c r="J4253">
        <v>30</v>
      </c>
    </row>
    <row r="4254" spans="1:10" x14ac:dyDescent="0.25">
      <c r="A4254" t="s">
        <v>24</v>
      </c>
      <c r="B4254" t="s">
        <v>20</v>
      </c>
      <c r="C4254" t="s">
        <v>12</v>
      </c>
      <c r="D4254" t="s">
        <v>14</v>
      </c>
      <c r="E4254">
        <v>9.1575091575091499E-4</v>
      </c>
      <c r="F4254">
        <v>0.75007568257500001</v>
      </c>
      <c r="G4254">
        <v>15.1472947597503</v>
      </c>
      <c r="H4254">
        <v>1</v>
      </c>
      <c r="I4254">
        <v>1</v>
      </c>
      <c r="J4254">
        <v>30</v>
      </c>
    </row>
    <row r="4255" spans="1:10" x14ac:dyDescent="0.25">
      <c r="A4255" t="s">
        <v>24</v>
      </c>
      <c r="B4255" t="s">
        <v>20</v>
      </c>
      <c r="C4255" t="s">
        <v>12</v>
      </c>
      <c r="D4255" t="s">
        <v>14</v>
      </c>
      <c r="E4255">
        <v>0</v>
      </c>
      <c r="F4255">
        <v>0.75</v>
      </c>
      <c r="G4255">
        <v>15.1399176120758</v>
      </c>
      <c r="H4255">
        <v>1</v>
      </c>
      <c r="I4255">
        <v>1</v>
      </c>
      <c r="J4255">
        <v>30</v>
      </c>
    </row>
    <row r="4256" spans="1:10" x14ac:dyDescent="0.25">
      <c r="A4256" t="s">
        <v>24</v>
      </c>
      <c r="B4256" t="s">
        <v>20</v>
      </c>
      <c r="C4256" t="s">
        <v>12</v>
      </c>
      <c r="D4256" t="s">
        <v>14</v>
      </c>
      <c r="E4256">
        <v>9.1575091575091499E-4</v>
      </c>
      <c r="F4256">
        <v>0.75007568257500001</v>
      </c>
      <c r="G4256">
        <v>15.240372896194399</v>
      </c>
      <c r="H4256">
        <v>1</v>
      </c>
      <c r="I4256">
        <v>1</v>
      </c>
      <c r="J4256">
        <v>30</v>
      </c>
    </row>
    <row r="4257" spans="1:10" x14ac:dyDescent="0.25">
      <c r="A4257" t="s">
        <v>24</v>
      </c>
      <c r="B4257" t="s">
        <v>20</v>
      </c>
      <c r="C4257" t="s">
        <v>12</v>
      </c>
      <c r="D4257" t="s">
        <v>14</v>
      </c>
      <c r="E4257">
        <v>0</v>
      </c>
      <c r="F4257">
        <v>0.75</v>
      </c>
      <c r="G4257">
        <v>15.4303698539733</v>
      </c>
      <c r="H4257">
        <v>1</v>
      </c>
      <c r="I4257">
        <v>1</v>
      </c>
      <c r="J4257">
        <v>30</v>
      </c>
    </row>
    <row r="4258" spans="1:10" x14ac:dyDescent="0.25">
      <c r="A4258" t="s">
        <v>24</v>
      </c>
      <c r="B4258" t="s">
        <v>20</v>
      </c>
      <c r="C4258" t="s">
        <v>12</v>
      </c>
      <c r="D4258" t="s">
        <v>14</v>
      </c>
      <c r="E4258">
        <v>0</v>
      </c>
      <c r="F4258">
        <v>0.75</v>
      </c>
      <c r="G4258">
        <v>15.468100786209099</v>
      </c>
      <c r="H4258">
        <v>1</v>
      </c>
      <c r="I4258">
        <v>1</v>
      </c>
      <c r="J4258">
        <v>30</v>
      </c>
    </row>
    <row r="4259" spans="1:10" x14ac:dyDescent="0.25">
      <c r="A4259" t="s">
        <v>24</v>
      </c>
      <c r="B4259" t="s">
        <v>20</v>
      </c>
      <c r="C4259" t="s">
        <v>12</v>
      </c>
      <c r="D4259" t="s">
        <v>14</v>
      </c>
      <c r="E4259">
        <v>0</v>
      </c>
      <c r="F4259">
        <v>0.75</v>
      </c>
      <c r="G4259">
        <v>15.4906902313232</v>
      </c>
      <c r="H4259">
        <v>1</v>
      </c>
      <c r="I4259">
        <v>1</v>
      </c>
      <c r="J4259">
        <v>30</v>
      </c>
    </row>
    <row r="4260" spans="1:10" x14ac:dyDescent="0.25">
      <c r="A4260" t="s">
        <v>24</v>
      </c>
      <c r="B4260" t="s">
        <v>20</v>
      </c>
      <c r="C4260" t="s">
        <v>12</v>
      </c>
      <c r="D4260" t="s">
        <v>14</v>
      </c>
      <c r="E4260">
        <v>0</v>
      </c>
      <c r="F4260">
        <v>0.75</v>
      </c>
      <c r="G4260">
        <v>15.569132566452</v>
      </c>
      <c r="H4260">
        <v>1</v>
      </c>
      <c r="I4260">
        <v>1</v>
      </c>
      <c r="J4260">
        <v>30</v>
      </c>
    </row>
    <row r="4261" spans="1:10" x14ac:dyDescent="0.25">
      <c r="A4261" t="s">
        <v>24</v>
      </c>
      <c r="B4261" t="s">
        <v>20</v>
      </c>
      <c r="C4261" t="s">
        <v>12</v>
      </c>
      <c r="D4261" t="s">
        <v>14</v>
      </c>
      <c r="E4261">
        <v>0</v>
      </c>
      <c r="F4261">
        <v>0.75</v>
      </c>
      <c r="G4261">
        <v>15.4851512908935</v>
      </c>
      <c r="H4261">
        <v>1</v>
      </c>
      <c r="I4261">
        <v>1</v>
      </c>
      <c r="J4261">
        <v>30</v>
      </c>
    </row>
    <row r="4262" spans="1:10" x14ac:dyDescent="0.25">
      <c r="A4262" t="s">
        <v>24</v>
      </c>
      <c r="B4262" t="s">
        <v>20</v>
      </c>
      <c r="C4262" t="s">
        <v>12</v>
      </c>
      <c r="D4262" t="s">
        <v>15</v>
      </c>
      <c r="E4262">
        <v>0</v>
      </c>
      <c r="F4262">
        <v>0.75</v>
      </c>
      <c r="G4262">
        <v>104.46978092193601</v>
      </c>
      <c r="H4262">
        <v>0</v>
      </c>
      <c r="I4262">
        <v>0</v>
      </c>
      <c r="J4262">
        <v>30</v>
      </c>
    </row>
    <row r="4263" spans="1:10" x14ac:dyDescent="0.25">
      <c r="A4263" t="s">
        <v>24</v>
      </c>
      <c r="B4263" t="s">
        <v>20</v>
      </c>
      <c r="C4263" t="s">
        <v>12</v>
      </c>
      <c r="D4263" t="s">
        <v>15</v>
      </c>
      <c r="E4263">
        <v>0</v>
      </c>
      <c r="F4263">
        <v>0.75</v>
      </c>
      <c r="G4263">
        <v>107.34955763816799</v>
      </c>
      <c r="H4263">
        <v>0</v>
      </c>
      <c r="I4263">
        <v>0</v>
      </c>
      <c r="J4263">
        <v>30</v>
      </c>
    </row>
    <row r="4264" spans="1:10" x14ac:dyDescent="0.25">
      <c r="A4264" t="s">
        <v>24</v>
      </c>
      <c r="B4264" t="s">
        <v>20</v>
      </c>
      <c r="C4264" t="s">
        <v>12</v>
      </c>
      <c r="D4264" t="s">
        <v>15</v>
      </c>
      <c r="E4264">
        <v>0</v>
      </c>
      <c r="F4264">
        <v>0.75</v>
      </c>
      <c r="G4264">
        <v>109.368720054626</v>
      </c>
      <c r="H4264">
        <v>0</v>
      </c>
      <c r="I4264">
        <v>0</v>
      </c>
      <c r="J4264">
        <v>30</v>
      </c>
    </row>
    <row r="4265" spans="1:10" x14ac:dyDescent="0.25">
      <c r="A4265" t="s">
        <v>24</v>
      </c>
      <c r="B4265" t="s">
        <v>20</v>
      </c>
      <c r="C4265" t="s">
        <v>12</v>
      </c>
      <c r="D4265" t="s">
        <v>15</v>
      </c>
      <c r="E4265">
        <v>0</v>
      </c>
      <c r="F4265">
        <v>0.75</v>
      </c>
      <c r="G4265">
        <v>110.937942981719</v>
      </c>
      <c r="H4265">
        <v>0</v>
      </c>
      <c r="I4265">
        <v>0</v>
      </c>
      <c r="J4265">
        <v>30</v>
      </c>
    </row>
    <row r="4266" spans="1:10" x14ac:dyDescent="0.25">
      <c r="A4266" t="s">
        <v>24</v>
      </c>
      <c r="B4266" t="s">
        <v>20</v>
      </c>
      <c r="C4266" t="s">
        <v>12</v>
      </c>
      <c r="D4266" t="s">
        <v>15</v>
      </c>
      <c r="E4266">
        <v>0</v>
      </c>
      <c r="F4266">
        <v>0.75</v>
      </c>
      <c r="G4266">
        <v>111.628679752349</v>
      </c>
      <c r="H4266">
        <v>0</v>
      </c>
      <c r="I4266">
        <v>0</v>
      </c>
      <c r="J4266">
        <v>30</v>
      </c>
    </row>
    <row r="4267" spans="1:10" x14ac:dyDescent="0.25">
      <c r="A4267" t="s">
        <v>24</v>
      </c>
      <c r="B4267" t="s">
        <v>20</v>
      </c>
      <c r="C4267" t="s">
        <v>12</v>
      </c>
      <c r="D4267" t="s">
        <v>15</v>
      </c>
      <c r="E4267">
        <v>0</v>
      </c>
      <c r="F4267">
        <v>0.75</v>
      </c>
      <c r="G4267">
        <v>115.481593132019</v>
      </c>
      <c r="H4267">
        <v>0</v>
      </c>
      <c r="I4267">
        <v>0</v>
      </c>
      <c r="J4267">
        <v>30</v>
      </c>
    </row>
    <row r="4268" spans="1:10" x14ac:dyDescent="0.25">
      <c r="A4268" t="s">
        <v>24</v>
      </c>
      <c r="B4268" t="s">
        <v>20</v>
      </c>
      <c r="C4268" t="s">
        <v>12</v>
      </c>
      <c r="D4268" t="s">
        <v>15</v>
      </c>
      <c r="E4268">
        <v>0</v>
      </c>
      <c r="F4268">
        <v>0.75</v>
      </c>
      <c r="G4268">
        <v>116.288388729095</v>
      </c>
      <c r="H4268">
        <v>0</v>
      </c>
      <c r="I4268">
        <v>0</v>
      </c>
      <c r="J4268">
        <v>30</v>
      </c>
    </row>
    <row r="4269" spans="1:10" x14ac:dyDescent="0.25">
      <c r="A4269" t="s">
        <v>24</v>
      </c>
      <c r="B4269" t="s">
        <v>20</v>
      </c>
      <c r="C4269" t="s">
        <v>12</v>
      </c>
      <c r="D4269" t="s">
        <v>15</v>
      </c>
      <c r="E4269">
        <v>0</v>
      </c>
      <c r="F4269">
        <v>0.75</v>
      </c>
      <c r="G4269">
        <v>124.073727846145</v>
      </c>
      <c r="H4269">
        <v>0</v>
      </c>
      <c r="I4269">
        <v>0</v>
      </c>
      <c r="J4269">
        <v>30</v>
      </c>
    </row>
    <row r="4270" spans="1:10" x14ac:dyDescent="0.25">
      <c r="A4270" t="s">
        <v>24</v>
      </c>
      <c r="B4270" t="s">
        <v>20</v>
      </c>
      <c r="C4270" t="s">
        <v>12</v>
      </c>
      <c r="D4270" t="s">
        <v>15</v>
      </c>
      <c r="E4270">
        <v>0</v>
      </c>
      <c r="F4270">
        <v>0.75</v>
      </c>
      <c r="G4270">
        <v>123.990043401718</v>
      </c>
      <c r="H4270">
        <v>0</v>
      </c>
      <c r="I4270">
        <v>0</v>
      </c>
      <c r="J4270">
        <v>30</v>
      </c>
    </row>
    <row r="4271" spans="1:10" x14ac:dyDescent="0.25">
      <c r="A4271" t="s">
        <v>24</v>
      </c>
      <c r="B4271" t="s">
        <v>20</v>
      </c>
      <c r="C4271" t="s">
        <v>12</v>
      </c>
      <c r="D4271" t="s">
        <v>15</v>
      </c>
      <c r="E4271">
        <v>0</v>
      </c>
      <c r="F4271">
        <v>0.75</v>
      </c>
      <c r="G4271">
        <v>125.29798913002</v>
      </c>
      <c r="H4271">
        <v>0</v>
      </c>
      <c r="I4271">
        <v>0</v>
      </c>
      <c r="J4271">
        <v>30</v>
      </c>
    </row>
    <row r="4272" spans="1:10" x14ac:dyDescent="0.25">
      <c r="A4272" t="s">
        <v>24</v>
      </c>
      <c r="B4272" t="s">
        <v>20</v>
      </c>
      <c r="C4272" t="s">
        <v>12</v>
      </c>
      <c r="D4272" t="s">
        <v>15</v>
      </c>
      <c r="E4272">
        <v>0</v>
      </c>
      <c r="F4272">
        <v>0.75</v>
      </c>
      <c r="G4272">
        <v>133.18131375312799</v>
      </c>
      <c r="H4272">
        <v>0</v>
      </c>
      <c r="I4272">
        <v>0</v>
      </c>
      <c r="J4272">
        <v>30</v>
      </c>
    </row>
    <row r="4273" spans="1:10" x14ac:dyDescent="0.25">
      <c r="A4273" t="s">
        <v>24</v>
      </c>
      <c r="B4273" t="s">
        <v>20</v>
      </c>
      <c r="C4273" t="s">
        <v>12</v>
      </c>
      <c r="D4273" t="s">
        <v>15</v>
      </c>
      <c r="E4273">
        <v>0</v>
      </c>
      <c r="F4273">
        <v>0.75</v>
      </c>
      <c r="G4273">
        <v>138.72082161903299</v>
      </c>
      <c r="H4273">
        <v>0</v>
      </c>
      <c r="I4273">
        <v>0</v>
      </c>
      <c r="J4273">
        <v>30</v>
      </c>
    </row>
    <row r="4274" spans="1:10" x14ac:dyDescent="0.25">
      <c r="A4274" t="s">
        <v>24</v>
      </c>
      <c r="B4274" t="s">
        <v>20</v>
      </c>
      <c r="C4274" t="s">
        <v>12</v>
      </c>
      <c r="D4274" t="s">
        <v>15</v>
      </c>
      <c r="E4274">
        <v>0</v>
      </c>
      <c r="F4274">
        <v>0.75</v>
      </c>
      <c r="G4274">
        <v>139.499825954437</v>
      </c>
      <c r="H4274">
        <v>0</v>
      </c>
      <c r="I4274">
        <v>0</v>
      </c>
      <c r="J4274">
        <v>30</v>
      </c>
    </row>
    <row r="4275" spans="1:10" x14ac:dyDescent="0.25">
      <c r="A4275" t="s">
        <v>24</v>
      </c>
      <c r="B4275" t="s">
        <v>20</v>
      </c>
      <c r="C4275" t="s">
        <v>12</v>
      </c>
      <c r="D4275" t="s">
        <v>15</v>
      </c>
      <c r="E4275">
        <v>0</v>
      </c>
      <c r="F4275">
        <v>0.75</v>
      </c>
      <c r="G4275">
        <v>139.92561006546001</v>
      </c>
      <c r="H4275">
        <v>0</v>
      </c>
      <c r="I4275">
        <v>0</v>
      </c>
      <c r="J4275">
        <v>30</v>
      </c>
    </row>
    <row r="4276" spans="1:10" x14ac:dyDescent="0.25">
      <c r="A4276" t="s">
        <v>24</v>
      </c>
      <c r="B4276" t="s">
        <v>20</v>
      </c>
      <c r="C4276" t="s">
        <v>12</v>
      </c>
      <c r="D4276" t="s">
        <v>15</v>
      </c>
      <c r="E4276">
        <v>0</v>
      </c>
      <c r="F4276">
        <v>0.75</v>
      </c>
      <c r="G4276">
        <v>180.15730404853801</v>
      </c>
      <c r="H4276">
        <v>1</v>
      </c>
      <c r="I4276">
        <v>3</v>
      </c>
      <c r="J4276">
        <v>30</v>
      </c>
    </row>
    <row r="4277" spans="1:10" x14ac:dyDescent="0.25">
      <c r="A4277" t="s">
        <v>24</v>
      </c>
      <c r="B4277" t="s">
        <v>20</v>
      </c>
      <c r="C4277" t="s">
        <v>12</v>
      </c>
      <c r="D4277" t="s">
        <v>15</v>
      </c>
      <c r="E4277">
        <v>0</v>
      </c>
      <c r="F4277">
        <v>0.75</v>
      </c>
      <c r="G4277">
        <v>184.45880794525101</v>
      </c>
      <c r="H4277">
        <v>1</v>
      </c>
      <c r="I4277">
        <v>4</v>
      </c>
      <c r="J4277">
        <v>30</v>
      </c>
    </row>
    <row r="4278" spans="1:10" x14ac:dyDescent="0.25">
      <c r="A4278" t="s">
        <v>24</v>
      </c>
      <c r="B4278" t="s">
        <v>20</v>
      </c>
      <c r="C4278" t="s">
        <v>12</v>
      </c>
      <c r="D4278" t="s">
        <v>15</v>
      </c>
      <c r="E4278">
        <v>9.1575091575091499E-4</v>
      </c>
      <c r="F4278">
        <v>0.75004349816849802</v>
      </c>
      <c r="G4278">
        <v>194.64258193969701</v>
      </c>
      <c r="H4278">
        <v>1</v>
      </c>
      <c r="I4278">
        <v>4</v>
      </c>
      <c r="J4278">
        <v>30</v>
      </c>
    </row>
    <row r="4279" spans="1:10" x14ac:dyDescent="0.25">
      <c r="A4279" t="s">
        <v>24</v>
      </c>
      <c r="B4279" t="s">
        <v>20</v>
      </c>
      <c r="C4279" t="s">
        <v>12</v>
      </c>
      <c r="D4279" t="s">
        <v>15</v>
      </c>
      <c r="E4279">
        <v>0</v>
      </c>
      <c r="F4279">
        <v>0.75</v>
      </c>
      <c r="G4279">
        <v>195.96470665931699</v>
      </c>
      <c r="H4279">
        <v>1</v>
      </c>
      <c r="I4279">
        <v>4</v>
      </c>
      <c r="J4279">
        <v>30</v>
      </c>
    </row>
    <row r="4280" spans="1:10" x14ac:dyDescent="0.25">
      <c r="A4280" t="s">
        <v>24</v>
      </c>
      <c r="B4280" t="s">
        <v>20</v>
      </c>
      <c r="C4280" t="s">
        <v>12</v>
      </c>
      <c r="D4280" t="s">
        <v>15</v>
      </c>
      <c r="E4280">
        <v>0</v>
      </c>
      <c r="F4280">
        <v>0.75</v>
      </c>
      <c r="G4280">
        <v>196.31880354881201</v>
      </c>
      <c r="H4280">
        <v>1</v>
      </c>
      <c r="I4280">
        <v>4</v>
      </c>
      <c r="J4280">
        <v>30</v>
      </c>
    </row>
    <row r="4281" spans="1:10" x14ac:dyDescent="0.25">
      <c r="A4281" t="s">
        <v>24</v>
      </c>
      <c r="B4281" t="s">
        <v>20</v>
      </c>
      <c r="C4281" t="s">
        <v>12</v>
      </c>
      <c r="D4281" t="s">
        <v>15</v>
      </c>
      <c r="E4281">
        <v>9.1575091575091499E-4</v>
      </c>
      <c r="F4281">
        <v>0.74999542124542096</v>
      </c>
      <c r="G4281">
        <v>201.40893697738599</v>
      </c>
      <c r="H4281">
        <v>1</v>
      </c>
      <c r="I4281">
        <v>4</v>
      </c>
      <c r="J4281">
        <v>30</v>
      </c>
    </row>
    <row r="4282" spans="1:10" x14ac:dyDescent="0.25">
      <c r="A4282" t="s">
        <v>24</v>
      </c>
      <c r="B4282" t="s">
        <v>20</v>
      </c>
      <c r="C4282" t="s">
        <v>12</v>
      </c>
      <c r="D4282" t="s">
        <v>15</v>
      </c>
      <c r="E4282">
        <v>0</v>
      </c>
      <c r="F4282">
        <v>0.75</v>
      </c>
      <c r="G4282">
        <v>202.02210354804899</v>
      </c>
      <c r="H4282">
        <v>1</v>
      </c>
      <c r="I4282">
        <v>4</v>
      </c>
      <c r="J4282">
        <v>30</v>
      </c>
    </row>
    <row r="4283" spans="1:10" x14ac:dyDescent="0.25">
      <c r="A4283" t="s">
        <v>24</v>
      </c>
      <c r="B4283" t="s">
        <v>20</v>
      </c>
      <c r="C4283" t="s">
        <v>12</v>
      </c>
      <c r="D4283" t="s">
        <v>15</v>
      </c>
      <c r="E4283">
        <v>0</v>
      </c>
      <c r="F4283">
        <v>0.75</v>
      </c>
      <c r="G4283">
        <v>204.58401775360099</v>
      </c>
      <c r="H4283">
        <v>1</v>
      </c>
      <c r="I4283">
        <v>4</v>
      </c>
      <c r="J4283">
        <v>30</v>
      </c>
    </row>
    <row r="4284" spans="1:10" x14ac:dyDescent="0.25">
      <c r="A4284" t="s">
        <v>24</v>
      </c>
      <c r="B4284" t="s">
        <v>20</v>
      </c>
      <c r="C4284" t="s">
        <v>12</v>
      </c>
      <c r="D4284" t="s">
        <v>15</v>
      </c>
      <c r="E4284">
        <v>0</v>
      </c>
      <c r="F4284">
        <v>0.75</v>
      </c>
      <c r="G4284">
        <v>222.56500720977701</v>
      </c>
      <c r="H4284">
        <v>2</v>
      </c>
      <c r="I4284">
        <v>6</v>
      </c>
      <c r="J4284">
        <v>30</v>
      </c>
    </row>
    <row r="4285" spans="1:10" x14ac:dyDescent="0.25">
      <c r="A4285" t="s">
        <v>24</v>
      </c>
      <c r="B4285" t="s">
        <v>20</v>
      </c>
      <c r="C4285" t="s">
        <v>12</v>
      </c>
      <c r="D4285" t="s">
        <v>15</v>
      </c>
      <c r="E4285">
        <v>9.1575091575091499E-4</v>
      </c>
      <c r="F4285">
        <v>0.75006502134944997</v>
      </c>
      <c r="G4285">
        <v>234.438164710998</v>
      </c>
      <c r="H4285">
        <v>2</v>
      </c>
      <c r="I4285">
        <v>5</v>
      </c>
      <c r="J4285">
        <v>30</v>
      </c>
    </row>
    <row r="4286" spans="1:10" x14ac:dyDescent="0.25">
      <c r="A4286" t="s">
        <v>24</v>
      </c>
      <c r="B4286" t="s">
        <v>20</v>
      </c>
      <c r="C4286" t="s">
        <v>12</v>
      </c>
      <c r="D4286" t="s">
        <v>15</v>
      </c>
      <c r="E4286">
        <v>0</v>
      </c>
      <c r="F4286">
        <v>0.75</v>
      </c>
      <c r="G4286">
        <v>238.187674999237</v>
      </c>
      <c r="H4286">
        <v>2</v>
      </c>
      <c r="I4286">
        <v>7</v>
      </c>
      <c r="J4286">
        <v>30</v>
      </c>
    </row>
    <row r="4287" spans="1:10" x14ac:dyDescent="0.25">
      <c r="A4287" t="s">
        <v>24</v>
      </c>
      <c r="B4287" t="s">
        <v>20</v>
      </c>
      <c r="C4287" t="s">
        <v>12</v>
      </c>
      <c r="D4287" t="s">
        <v>15</v>
      </c>
      <c r="E4287">
        <v>9.1575091575091499E-4</v>
      </c>
      <c r="F4287">
        <v>0.74999542124542096</v>
      </c>
      <c r="G4287">
        <v>238.95289087295501</v>
      </c>
      <c r="H4287">
        <v>2</v>
      </c>
      <c r="I4287">
        <v>7</v>
      </c>
      <c r="J4287">
        <v>30</v>
      </c>
    </row>
    <row r="4288" spans="1:10" x14ac:dyDescent="0.25">
      <c r="A4288" t="s">
        <v>24</v>
      </c>
      <c r="B4288" t="s">
        <v>20</v>
      </c>
      <c r="C4288" t="s">
        <v>12</v>
      </c>
      <c r="D4288" t="s">
        <v>15</v>
      </c>
      <c r="E4288">
        <v>9.1575091575091499E-4</v>
      </c>
      <c r="F4288">
        <v>0.74998849231785703</v>
      </c>
      <c r="G4288">
        <v>259.373546600341</v>
      </c>
      <c r="H4288">
        <v>4</v>
      </c>
      <c r="I4288">
        <v>10</v>
      </c>
      <c r="J4288">
        <v>30</v>
      </c>
    </row>
    <row r="4289" spans="1:10" x14ac:dyDescent="0.25">
      <c r="A4289" t="s">
        <v>24</v>
      </c>
      <c r="B4289" t="s">
        <v>20</v>
      </c>
      <c r="C4289" t="s">
        <v>12</v>
      </c>
      <c r="D4289" t="s">
        <v>15</v>
      </c>
      <c r="E4289">
        <v>1.83150183150183E-3</v>
      </c>
      <c r="F4289">
        <v>0.75008699633699605</v>
      </c>
      <c r="G4289">
        <v>270.03367948532099</v>
      </c>
      <c r="H4289">
        <v>5</v>
      </c>
      <c r="I4289">
        <v>15</v>
      </c>
      <c r="J4289">
        <v>30</v>
      </c>
    </row>
    <row r="4290" spans="1:10" x14ac:dyDescent="0.25">
      <c r="A4290" t="s">
        <v>24</v>
      </c>
      <c r="B4290" t="s">
        <v>20</v>
      </c>
      <c r="C4290" t="s">
        <v>12</v>
      </c>
      <c r="D4290" t="s">
        <v>15</v>
      </c>
      <c r="E4290">
        <v>9.1575091575091499E-4</v>
      </c>
      <c r="F4290">
        <v>0.74999542124542096</v>
      </c>
      <c r="G4290">
        <v>276.74310135841301</v>
      </c>
      <c r="H4290">
        <v>5</v>
      </c>
      <c r="I4290">
        <v>15</v>
      </c>
      <c r="J4290">
        <v>30</v>
      </c>
    </row>
    <row r="4291" spans="1:10" x14ac:dyDescent="0.25">
      <c r="A4291" t="s">
        <v>24</v>
      </c>
      <c r="B4291" t="s">
        <v>20</v>
      </c>
      <c r="C4291" t="s">
        <v>12</v>
      </c>
      <c r="D4291" t="s">
        <v>15</v>
      </c>
      <c r="E4291">
        <v>0</v>
      </c>
      <c r="F4291">
        <v>0.74995192307692304</v>
      </c>
      <c r="G4291">
        <v>278.02402567863402</v>
      </c>
      <c r="H4291">
        <v>6</v>
      </c>
      <c r="I4291">
        <v>17</v>
      </c>
      <c r="J4291">
        <v>30</v>
      </c>
    </row>
    <row r="4292" spans="1:10" x14ac:dyDescent="0.25">
      <c r="A4292" t="s">
        <v>24</v>
      </c>
      <c r="B4292" t="s">
        <v>20</v>
      </c>
      <c r="C4292" t="s">
        <v>12</v>
      </c>
      <c r="D4292" t="s">
        <v>16</v>
      </c>
      <c r="E4292">
        <v>0</v>
      </c>
      <c r="F4292">
        <v>0.75</v>
      </c>
      <c r="G4292">
        <v>6.39216804504394</v>
      </c>
      <c r="H4292">
        <v>0</v>
      </c>
      <c r="I4292">
        <v>0</v>
      </c>
      <c r="J4292">
        <v>30</v>
      </c>
    </row>
    <row r="4293" spans="1:10" x14ac:dyDescent="0.25">
      <c r="A4293" t="s">
        <v>24</v>
      </c>
      <c r="B4293" t="s">
        <v>20</v>
      </c>
      <c r="C4293" t="s">
        <v>12</v>
      </c>
      <c r="D4293" t="s">
        <v>16</v>
      </c>
      <c r="E4293">
        <v>0</v>
      </c>
      <c r="F4293">
        <v>0.75</v>
      </c>
      <c r="G4293">
        <v>6.6084434986114502</v>
      </c>
      <c r="H4293">
        <v>0</v>
      </c>
      <c r="I4293">
        <v>0</v>
      </c>
      <c r="J4293">
        <v>30</v>
      </c>
    </row>
    <row r="4294" spans="1:10" x14ac:dyDescent="0.25">
      <c r="A4294" t="s">
        <v>24</v>
      </c>
      <c r="B4294" t="s">
        <v>20</v>
      </c>
      <c r="C4294" t="s">
        <v>12</v>
      </c>
      <c r="D4294" t="s">
        <v>16</v>
      </c>
      <c r="E4294">
        <v>0</v>
      </c>
      <c r="F4294">
        <v>0.75</v>
      </c>
      <c r="G4294">
        <v>6.5980596542358398</v>
      </c>
      <c r="H4294">
        <v>0</v>
      </c>
      <c r="I4294">
        <v>0</v>
      </c>
      <c r="J4294">
        <v>30</v>
      </c>
    </row>
    <row r="4295" spans="1:10" x14ac:dyDescent="0.25">
      <c r="A4295" t="s">
        <v>24</v>
      </c>
      <c r="B4295" t="s">
        <v>20</v>
      </c>
      <c r="C4295" t="s">
        <v>12</v>
      </c>
      <c r="D4295" t="s">
        <v>16</v>
      </c>
      <c r="E4295">
        <v>0</v>
      </c>
      <c r="F4295">
        <v>0.75</v>
      </c>
      <c r="G4295">
        <v>7.2979271411895699</v>
      </c>
      <c r="H4295">
        <v>0</v>
      </c>
      <c r="I4295">
        <v>0</v>
      </c>
      <c r="J4295">
        <v>30</v>
      </c>
    </row>
    <row r="4296" spans="1:10" x14ac:dyDescent="0.25">
      <c r="A4296" t="s">
        <v>24</v>
      </c>
      <c r="B4296" t="s">
        <v>20</v>
      </c>
      <c r="C4296" t="s">
        <v>12</v>
      </c>
      <c r="D4296" t="s">
        <v>16</v>
      </c>
      <c r="E4296">
        <v>0</v>
      </c>
      <c r="F4296">
        <v>0.75</v>
      </c>
      <c r="G4296">
        <v>7.4041614532470703</v>
      </c>
      <c r="H4296">
        <v>0</v>
      </c>
      <c r="I4296">
        <v>0</v>
      </c>
      <c r="J4296">
        <v>30</v>
      </c>
    </row>
    <row r="4297" spans="1:10" x14ac:dyDescent="0.25">
      <c r="A4297" t="s">
        <v>24</v>
      </c>
      <c r="B4297" t="s">
        <v>20</v>
      </c>
      <c r="C4297" t="s">
        <v>12</v>
      </c>
      <c r="D4297" t="s">
        <v>16</v>
      </c>
      <c r="E4297">
        <v>0</v>
      </c>
      <c r="F4297">
        <v>0.75</v>
      </c>
      <c r="G4297">
        <v>7.8067526817321697</v>
      </c>
      <c r="H4297">
        <v>0</v>
      </c>
      <c r="I4297">
        <v>0</v>
      </c>
      <c r="J4297">
        <v>30</v>
      </c>
    </row>
    <row r="4298" spans="1:10" x14ac:dyDescent="0.25">
      <c r="A4298" t="s">
        <v>24</v>
      </c>
      <c r="B4298" t="s">
        <v>20</v>
      </c>
      <c r="C4298" t="s">
        <v>12</v>
      </c>
      <c r="D4298" t="s">
        <v>16</v>
      </c>
      <c r="E4298">
        <v>0</v>
      </c>
      <c r="F4298">
        <v>0.75</v>
      </c>
      <c r="G4298">
        <v>7.9004456996917698</v>
      </c>
      <c r="H4298">
        <v>0</v>
      </c>
      <c r="I4298">
        <v>0</v>
      </c>
      <c r="J4298">
        <v>30</v>
      </c>
    </row>
    <row r="4299" spans="1:10" x14ac:dyDescent="0.25">
      <c r="A4299" t="s">
        <v>24</v>
      </c>
      <c r="B4299" t="s">
        <v>20</v>
      </c>
      <c r="C4299" t="s">
        <v>12</v>
      </c>
      <c r="D4299" t="s">
        <v>16</v>
      </c>
      <c r="E4299">
        <v>0</v>
      </c>
      <c r="F4299">
        <v>0.75</v>
      </c>
      <c r="G4299">
        <v>8.2411556243896396</v>
      </c>
      <c r="H4299">
        <v>0</v>
      </c>
      <c r="I4299">
        <v>0</v>
      </c>
      <c r="J4299">
        <v>30</v>
      </c>
    </row>
    <row r="4300" spans="1:10" x14ac:dyDescent="0.25">
      <c r="A4300" t="s">
        <v>24</v>
      </c>
      <c r="B4300" t="s">
        <v>20</v>
      </c>
      <c r="C4300" t="s">
        <v>12</v>
      </c>
      <c r="D4300" t="s">
        <v>16</v>
      </c>
      <c r="E4300">
        <v>0</v>
      </c>
      <c r="F4300">
        <v>0.75</v>
      </c>
      <c r="G4300">
        <v>8.4048712253570503</v>
      </c>
      <c r="H4300">
        <v>0</v>
      </c>
      <c r="I4300">
        <v>0</v>
      </c>
      <c r="J4300">
        <v>30</v>
      </c>
    </row>
    <row r="4301" spans="1:10" x14ac:dyDescent="0.25">
      <c r="A4301" t="s">
        <v>24</v>
      </c>
      <c r="B4301" t="s">
        <v>20</v>
      </c>
      <c r="C4301" t="s">
        <v>12</v>
      </c>
      <c r="D4301" t="s">
        <v>16</v>
      </c>
      <c r="E4301">
        <v>0</v>
      </c>
      <c r="F4301">
        <v>0.75</v>
      </c>
      <c r="G4301">
        <v>8.6766338348388601</v>
      </c>
      <c r="H4301">
        <v>0</v>
      </c>
      <c r="I4301">
        <v>0</v>
      </c>
      <c r="J4301">
        <v>30</v>
      </c>
    </row>
    <row r="4302" spans="1:10" x14ac:dyDescent="0.25">
      <c r="A4302" t="s">
        <v>24</v>
      </c>
      <c r="B4302" t="s">
        <v>20</v>
      </c>
      <c r="C4302" t="s">
        <v>12</v>
      </c>
      <c r="D4302" t="s">
        <v>16</v>
      </c>
      <c r="E4302">
        <v>0</v>
      </c>
      <c r="F4302">
        <v>0.75</v>
      </c>
      <c r="G4302">
        <v>8.6204538345336896</v>
      </c>
      <c r="H4302">
        <v>0</v>
      </c>
      <c r="I4302">
        <v>0</v>
      </c>
      <c r="J4302">
        <v>30</v>
      </c>
    </row>
    <row r="4303" spans="1:10" x14ac:dyDescent="0.25">
      <c r="A4303" t="s">
        <v>24</v>
      </c>
      <c r="B4303" t="s">
        <v>20</v>
      </c>
      <c r="C4303" t="s">
        <v>12</v>
      </c>
      <c r="D4303" t="s">
        <v>16</v>
      </c>
      <c r="E4303">
        <v>0</v>
      </c>
      <c r="F4303">
        <v>0.75</v>
      </c>
      <c r="G4303">
        <v>8.7155435085296595</v>
      </c>
      <c r="H4303">
        <v>0</v>
      </c>
      <c r="I4303">
        <v>0</v>
      </c>
      <c r="J4303">
        <v>30</v>
      </c>
    </row>
    <row r="4304" spans="1:10" x14ac:dyDescent="0.25">
      <c r="A4304" t="s">
        <v>24</v>
      </c>
      <c r="B4304" t="s">
        <v>20</v>
      </c>
      <c r="C4304" t="s">
        <v>12</v>
      </c>
      <c r="D4304" t="s">
        <v>16</v>
      </c>
      <c r="E4304">
        <v>0</v>
      </c>
      <c r="F4304">
        <v>0.75</v>
      </c>
      <c r="G4304">
        <v>8.6373789310455305</v>
      </c>
      <c r="H4304">
        <v>0</v>
      </c>
      <c r="I4304">
        <v>0</v>
      </c>
      <c r="J4304">
        <v>30</v>
      </c>
    </row>
    <row r="4305" spans="1:10" x14ac:dyDescent="0.25">
      <c r="A4305" t="s">
        <v>24</v>
      </c>
      <c r="B4305" t="s">
        <v>20</v>
      </c>
      <c r="C4305" t="s">
        <v>12</v>
      </c>
      <c r="D4305" t="s">
        <v>16</v>
      </c>
      <c r="E4305">
        <v>0</v>
      </c>
      <c r="F4305">
        <v>0.75</v>
      </c>
      <c r="G4305">
        <v>8.8725349903106601</v>
      </c>
      <c r="H4305">
        <v>0</v>
      </c>
      <c r="I4305">
        <v>0</v>
      </c>
      <c r="J4305">
        <v>30</v>
      </c>
    </row>
    <row r="4306" spans="1:10" x14ac:dyDescent="0.25">
      <c r="A4306" t="s">
        <v>24</v>
      </c>
      <c r="B4306" t="s">
        <v>20</v>
      </c>
      <c r="C4306" t="s">
        <v>12</v>
      </c>
      <c r="D4306" t="s">
        <v>16</v>
      </c>
      <c r="E4306">
        <v>0</v>
      </c>
      <c r="F4306">
        <v>0.75</v>
      </c>
      <c r="G4306">
        <v>8.8238720893859792</v>
      </c>
      <c r="H4306">
        <v>0</v>
      </c>
      <c r="I4306">
        <v>0</v>
      </c>
      <c r="J4306">
        <v>30</v>
      </c>
    </row>
    <row r="4307" spans="1:10" x14ac:dyDescent="0.25">
      <c r="A4307" t="s">
        <v>24</v>
      </c>
      <c r="B4307" t="s">
        <v>20</v>
      </c>
      <c r="C4307" t="s">
        <v>12</v>
      </c>
      <c r="D4307" t="s">
        <v>16</v>
      </c>
      <c r="E4307">
        <v>0</v>
      </c>
      <c r="F4307">
        <v>0.75</v>
      </c>
      <c r="G4307">
        <v>8.8314740657806396</v>
      </c>
      <c r="H4307">
        <v>0</v>
      </c>
      <c r="I4307">
        <v>0</v>
      </c>
      <c r="J4307">
        <v>30</v>
      </c>
    </row>
    <row r="4308" spans="1:10" x14ac:dyDescent="0.25">
      <c r="A4308" t="s">
        <v>24</v>
      </c>
      <c r="B4308" t="s">
        <v>20</v>
      </c>
      <c r="C4308" t="s">
        <v>12</v>
      </c>
      <c r="D4308" t="s">
        <v>16</v>
      </c>
      <c r="E4308">
        <v>0</v>
      </c>
      <c r="F4308">
        <v>0.75</v>
      </c>
      <c r="G4308">
        <v>8.9221553802490199</v>
      </c>
      <c r="H4308">
        <v>0</v>
      </c>
      <c r="I4308">
        <v>0</v>
      </c>
      <c r="J4308">
        <v>30</v>
      </c>
    </row>
    <row r="4309" spans="1:10" x14ac:dyDescent="0.25">
      <c r="A4309" t="s">
        <v>24</v>
      </c>
      <c r="B4309" t="s">
        <v>20</v>
      </c>
      <c r="C4309" t="s">
        <v>12</v>
      </c>
      <c r="D4309" t="s">
        <v>16</v>
      </c>
      <c r="E4309">
        <v>0</v>
      </c>
      <c r="F4309">
        <v>0.75</v>
      </c>
      <c r="G4309">
        <v>9.0616652965545601</v>
      </c>
      <c r="H4309">
        <v>0</v>
      </c>
      <c r="I4309">
        <v>0</v>
      </c>
      <c r="J4309">
        <v>30</v>
      </c>
    </row>
    <row r="4310" spans="1:10" x14ac:dyDescent="0.25">
      <c r="A4310" t="s">
        <v>24</v>
      </c>
      <c r="B4310" t="s">
        <v>20</v>
      </c>
      <c r="C4310" t="s">
        <v>12</v>
      </c>
      <c r="D4310" t="s">
        <v>16</v>
      </c>
      <c r="E4310">
        <v>0</v>
      </c>
      <c r="F4310">
        <v>0.75</v>
      </c>
      <c r="G4310">
        <v>9.0357868671417201</v>
      </c>
      <c r="H4310">
        <v>0</v>
      </c>
      <c r="I4310">
        <v>0</v>
      </c>
      <c r="J4310">
        <v>30</v>
      </c>
    </row>
    <row r="4311" spans="1:10" x14ac:dyDescent="0.25">
      <c r="A4311" t="s">
        <v>24</v>
      </c>
      <c r="B4311" t="s">
        <v>20</v>
      </c>
      <c r="C4311" t="s">
        <v>12</v>
      </c>
      <c r="D4311" t="s">
        <v>16</v>
      </c>
      <c r="E4311">
        <v>0</v>
      </c>
      <c r="F4311">
        <v>0.75</v>
      </c>
      <c r="G4311">
        <v>9.0616517066955495</v>
      </c>
      <c r="H4311">
        <v>0</v>
      </c>
      <c r="I4311">
        <v>0</v>
      </c>
      <c r="J4311">
        <v>30</v>
      </c>
    </row>
    <row r="4312" spans="1:10" x14ac:dyDescent="0.25">
      <c r="A4312" t="s">
        <v>24</v>
      </c>
      <c r="B4312" t="s">
        <v>20</v>
      </c>
      <c r="C4312" t="s">
        <v>12</v>
      </c>
      <c r="D4312" t="s">
        <v>16</v>
      </c>
      <c r="E4312">
        <v>0</v>
      </c>
      <c r="F4312">
        <v>0.75</v>
      </c>
      <c r="G4312">
        <v>9.1746056079864502</v>
      </c>
      <c r="H4312">
        <v>0</v>
      </c>
      <c r="I4312">
        <v>0</v>
      </c>
      <c r="J4312">
        <v>30</v>
      </c>
    </row>
    <row r="4313" spans="1:10" x14ac:dyDescent="0.25">
      <c r="A4313" t="s">
        <v>24</v>
      </c>
      <c r="B4313" t="s">
        <v>20</v>
      </c>
      <c r="C4313" t="s">
        <v>12</v>
      </c>
      <c r="D4313" t="s">
        <v>16</v>
      </c>
      <c r="E4313">
        <v>0</v>
      </c>
      <c r="F4313">
        <v>0.75</v>
      </c>
      <c r="G4313">
        <v>9.2150850296020508</v>
      </c>
      <c r="H4313">
        <v>0</v>
      </c>
      <c r="I4313">
        <v>0</v>
      </c>
      <c r="J4313">
        <v>30</v>
      </c>
    </row>
    <row r="4314" spans="1:10" x14ac:dyDescent="0.25">
      <c r="A4314" t="s">
        <v>24</v>
      </c>
      <c r="B4314" t="s">
        <v>20</v>
      </c>
      <c r="C4314" t="s">
        <v>12</v>
      </c>
      <c r="D4314" t="s">
        <v>16</v>
      </c>
      <c r="E4314">
        <v>0</v>
      </c>
      <c r="F4314">
        <v>0.75</v>
      </c>
      <c r="G4314">
        <v>9.2051343917846609</v>
      </c>
      <c r="H4314">
        <v>0</v>
      </c>
      <c r="I4314">
        <v>0</v>
      </c>
      <c r="J4314">
        <v>30</v>
      </c>
    </row>
    <row r="4315" spans="1:10" x14ac:dyDescent="0.25">
      <c r="A4315" t="s">
        <v>24</v>
      </c>
      <c r="B4315" t="s">
        <v>20</v>
      </c>
      <c r="C4315" t="s">
        <v>12</v>
      </c>
      <c r="D4315" t="s">
        <v>16</v>
      </c>
      <c r="E4315">
        <v>0</v>
      </c>
      <c r="F4315">
        <v>0.75</v>
      </c>
      <c r="G4315">
        <v>9.1629986763000399</v>
      </c>
      <c r="H4315">
        <v>0</v>
      </c>
      <c r="I4315">
        <v>0</v>
      </c>
      <c r="J4315">
        <v>30</v>
      </c>
    </row>
    <row r="4316" spans="1:10" x14ac:dyDescent="0.25">
      <c r="A4316" t="s">
        <v>24</v>
      </c>
      <c r="B4316" t="s">
        <v>20</v>
      </c>
      <c r="C4316" t="s">
        <v>12</v>
      </c>
      <c r="D4316" t="s">
        <v>16</v>
      </c>
      <c r="E4316">
        <v>0</v>
      </c>
      <c r="F4316">
        <v>0.75</v>
      </c>
      <c r="G4316">
        <v>9.2818269729614205</v>
      </c>
      <c r="H4316">
        <v>0</v>
      </c>
      <c r="I4316">
        <v>0</v>
      </c>
      <c r="J4316">
        <v>30</v>
      </c>
    </row>
    <row r="4317" spans="1:10" x14ac:dyDescent="0.25">
      <c r="A4317" t="s">
        <v>24</v>
      </c>
      <c r="B4317" t="s">
        <v>20</v>
      </c>
      <c r="C4317" t="s">
        <v>12</v>
      </c>
      <c r="D4317" t="s">
        <v>16</v>
      </c>
      <c r="E4317">
        <v>0</v>
      </c>
      <c r="F4317">
        <v>0.75</v>
      </c>
      <c r="G4317">
        <v>9.26550245285034</v>
      </c>
      <c r="H4317">
        <v>0</v>
      </c>
      <c r="I4317">
        <v>0</v>
      </c>
      <c r="J4317">
        <v>30</v>
      </c>
    </row>
    <row r="4318" spans="1:10" x14ac:dyDescent="0.25">
      <c r="A4318" t="s">
        <v>24</v>
      </c>
      <c r="B4318" t="s">
        <v>20</v>
      </c>
      <c r="C4318" t="s">
        <v>12</v>
      </c>
      <c r="D4318" t="s">
        <v>16</v>
      </c>
      <c r="E4318">
        <v>0</v>
      </c>
      <c r="F4318">
        <v>0.75</v>
      </c>
      <c r="G4318">
        <v>9.3069548606872505</v>
      </c>
      <c r="H4318">
        <v>0</v>
      </c>
      <c r="I4318">
        <v>0</v>
      </c>
      <c r="J4318">
        <v>30</v>
      </c>
    </row>
    <row r="4319" spans="1:10" x14ac:dyDescent="0.25">
      <c r="A4319" t="s">
        <v>24</v>
      </c>
      <c r="B4319" t="s">
        <v>20</v>
      </c>
      <c r="C4319" t="s">
        <v>12</v>
      </c>
      <c r="D4319" t="s">
        <v>16</v>
      </c>
      <c r="E4319">
        <v>0</v>
      </c>
      <c r="F4319">
        <v>0.75</v>
      </c>
      <c r="G4319">
        <v>9.3373169898986799</v>
      </c>
      <c r="H4319">
        <v>0</v>
      </c>
      <c r="I4319">
        <v>0</v>
      </c>
      <c r="J4319">
        <v>30</v>
      </c>
    </row>
    <row r="4320" spans="1:10" x14ac:dyDescent="0.25">
      <c r="A4320" t="s">
        <v>24</v>
      </c>
      <c r="B4320" t="s">
        <v>20</v>
      </c>
      <c r="C4320" t="s">
        <v>12</v>
      </c>
      <c r="D4320" t="s">
        <v>16</v>
      </c>
      <c r="E4320">
        <v>0</v>
      </c>
      <c r="F4320">
        <v>0.75</v>
      </c>
      <c r="G4320">
        <v>9.3757047653198207</v>
      </c>
      <c r="H4320">
        <v>0</v>
      </c>
      <c r="I4320">
        <v>0</v>
      </c>
      <c r="J4320">
        <v>30</v>
      </c>
    </row>
    <row r="4321" spans="1:10" x14ac:dyDescent="0.25">
      <c r="A4321" t="s">
        <v>24</v>
      </c>
      <c r="B4321" t="s">
        <v>20</v>
      </c>
      <c r="C4321" t="s">
        <v>12</v>
      </c>
      <c r="D4321" t="s">
        <v>16</v>
      </c>
      <c r="E4321">
        <v>0</v>
      </c>
      <c r="F4321">
        <v>0.75</v>
      </c>
      <c r="G4321">
        <v>9.5306625366210902</v>
      </c>
      <c r="H4321">
        <v>0</v>
      </c>
      <c r="I4321">
        <v>0</v>
      </c>
      <c r="J4321">
        <v>30</v>
      </c>
    </row>
    <row r="4322" spans="1:10" x14ac:dyDescent="0.25">
      <c r="A4322" t="s">
        <v>24</v>
      </c>
      <c r="B4322" t="s">
        <v>20</v>
      </c>
      <c r="C4322" t="s">
        <v>12</v>
      </c>
      <c r="D4322" t="s">
        <v>17</v>
      </c>
      <c r="E4322">
        <v>0.79212454212454197</v>
      </c>
      <c r="F4322">
        <v>0.86089702223562203</v>
      </c>
      <c r="G4322">
        <v>16798.187682390198</v>
      </c>
      <c r="H4322">
        <v>1267</v>
      </c>
      <c r="I4322">
        <v>1320</v>
      </c>
      <c r="J4322">
        <v>30</v>
      </c>
    </row>
    <row r="4323" spans="1:10" x14ac:dyDescent="0.25">
      <c r="A4323" t="s">
        <v>24</v>
      </c>
      <c r="B4323" t="s">
        <v>20</v>
      </c>
      <c r="C4323" t="s">
        <v>12</v>
      </c>
      <c r="D4323" t="s">
        <v>17</v>
      </c>
      <c r="E4323">
        <v>0.80311355311355304</v>
      </c>
      <c r="F4323">
        <v>0.85991811927545703</v>
      </c>
      <c r="G4323">
        <v>17197.908017396901</v>
      </c>
      <c r="H4323">
        <v>1256</v>
      </c>
      <c r="I4323">
        <v>1321</v>
      </c>
      <c r="J4323">
        <v>30</v>
      </c>
    </row>
    <row r="4324" spans="1:10" x14ac:dyDescent="0.25">
      <c r="A4324" t="s">
        <v>24</v>
      </c>
      <c r="B4324" t="s">
        <v>20</v>
      </c>
      <c r="C4324" t="s">
        <v>12</v>
      </c>
      <c r="D4324" t="s">
        <v>17</v>
      </c>
      <c r="E4324">
        <v>0.78479853479853401</v>
      </c>
      <c r="F4324">
        <v>0.86335590706043897</v>
      </c>
      <c r="G4324">
        <v>17207.448801278999</v>
      </c>
      <c r="H4324">
        <v>1273</v>
      </c>
      <c r="I4324">
        <v>1359</v>
      </c>
      <c r="J4324">
        <v>30</v>
      </c>
    </row>
    <row r="4325" spans="1:10" x14ac:dyDescent="0.25">
      <c r="A4325" t="s">
        <v>24</v>
      </c>
      <c r="B4325" t="s">
        <v>20</v>
      </c>
      <c r="C4325" t="s">
        <v>12</v>
      </c>
      <c r="D4325" t="s">
        <v>17</v>
      </c>
      <c r="E4325">
        <v>0.78754578754578697</v>
      </c>
      <c r="F4325">
        <v>0.85841261496611698</v>
      </c>
      <c r="G4325">
        <v>17377.456973314202</v>
      </c>
      <c r="H4325">
        <v>1251</v>
      </c>
      <c r="I4325">
        <v>1346</v>
      </c>
      <c r="J4325">
        <v>30</v>
      </c>
    </row>
    <row r="4326" spans="1:10" x14ac:dyDescent="0.25">
      <c r="A4326" t="s">
        <v>24</v>
      </c>
      <c r="B4326" t="s">
        <v>20</v>
      </c>
      <c r="C4326" t="s">
        <v>12</v>
      </c>
      <c r="D4326" t="s">
        <v>17</v>
      </c>
      <c r="E4326">
        <v>0.80860805860805796</v>
      </c>
      <c r="F4326">
        <v>0.86668082009560399</v>
      </c>
      <c r="G4326">
        <v>17609.7016496658</v>
      </c>
      <c r="H4326">
        <v>1245</v>
      </c>
      <c r="I4326">
        <v>1360</v>
      </c>
      <c r="J4326">
        <v>30</v>
      </c>
    </row>
    <row r="4327" spans="1:10" x14ac:dyDescent="0.25">
      <c r="A4327" t="s">
        <v>24</v>
      </c>
      <c r="B4327" t="s">
        <v>20</v>
      </c>
      <c r="C4327" t="s">
        <v>12</v>
      </c>
      <c r="D4327" t="s">
        <v>17</v>
      </c>
      <c r="E4327">
        <v>0.79578754578754496</v>
      </c>
      <c r="F4327">
        <v>0.85748093432527495</v>
      </c>
      <c r="G4327">
        <v>17633.486068964001</v>
      </c>
      <c r="H4327">
        <v>1252</v>
      </c>
      <c r="I4327">
        <v>1349</v>
      </c>
      <c r="J4327">
        <v>30</v>
      </c>
    </row>
    <row r="4328" spans="1:10" x14ac:dyDescent="0.25">
      <c r="A4328" t="s">
        <v>24</v>
      </c>
      <c r="B4328" t="s">
        <v>20</v>
      </c>
      <c r="C4328" t="s">
        <v>12</v>
      </c>
      <c r="D4328" t="s">
        <v>17</v>
      </c>
      <c r="E4328">
        <v>0.81043956043956</v>
      </c>
      <c r="F4328">
        <v>0.86322834461336895</v>
      </c>
      <c r="G4328">
        <v>17701.6372935771</v>
      </c>
      <c r="H4328">
        <v>1187</v>
      </c>
      <c r="I4328">
        <v>1282</v>
      </c>
      <c r="J4328">
        <v>30</v>
      </c>
    </row>
    <row r="4329" spans="1:10" x14ac:dyDescent="0.25">
      <c r="A4329" t="s">
        <v>24</v>
      </c>
      <c r="B4329" t="s">
        <v>20</v>
      </c>
      <c r="C4329" t="s">
        <v>12</v>
      </c>
      <c r="D4329" t="s">
        <v>17</v>
      </c>
      <c r="E4329">
        <v>0.80402930402930395</v>
      </c>
      <c r="F4329">
        <v>0.861594092949724</v>
      </c>
      <c r="G4329">
        <v>17849.612780094099</v>
      </c>
      <c r="H4329">
        <v>1212</v>
      </c>
      <c r="I4329">
        <v>1322</v>
      </c>
      <c r="J4329">
        <v>30</v>
      </c>
    </row>
    <row r="4330" spans="1:10" x14ac:dyDescent="0.25">
      <c r="A4330" t="s">
        <v>24</v>
      </c>
      <c r="B4330" t="s">
        <v>20</v>
      </c>
      <c r="C4330" t="s">
        <v>12</v>
      </c>
      <c r="D4330" t="s">
        <v>17</v>
      </c>
      <c r="E4330">
        <v>0.81501831501831501</v>
      </c>
      <c r="F4330">
        <v>0.87492164098800296</v>
      </c>
      <c r="G4330">
        <v>17880.664372682499</v>
      </c>
      <c r="H4330">
        <v>1240</v>
      </c>
      <c r="I4330">
        <v>1346</v>
      </c>
      <c r="J4330">
        <v>30</v>
      </c>
    </row>
    <row r="4331" spans="1:10" x14ac:dyDescent="0.25">
      <c r="A4331" t="s">
        <v>24</v>
      </c>
      <c r="B4331" t="s">
        <v>20</v>
      </c>
      <c r="C4331" t="s">
        <v>12</v>
      </c>
      <c r="D4331" t="s">
        <v>17</v>
      </c>
      <c r="E4331">
        <v>0.76923076923076905</v>
      </c>
      <c r="F4331">
        <v>0.85130596426565897</v>
      </c>
      <c r="G4331">
        <v>17997.587033271699</v>
      </c>
      <c r="H4331">
        <v>1245</v>
      </c>
      <c r="I4331">
        <v>1341</v>
      </c>
      <c r="J4331">
        <v>30</v>
      </c>
    </row>
    <row r="4332" spans="1:10" x14ac:dyDescent="0.25">
      <c r="A4332" t="s">
        <v>24</v>
      </c>
      <c r="B4332" t="s">
        <v>20</v>
      </c>
      <c r="C4332" t="s">
        <v>12</v>
      </c>
      <c r="D4332" t="s">
        <v>17</v>
      </c>
      <c r="E4332">
        <v>0.81227106227106205</v>
      </c>
      <c r="F4332">
        <v>0.87282488667234404</v>
      </c>
      <c r="G4332">
        <v>17999.412115335399</v>
      </c>
      <c r="H4332">
        <v>1292</v>
      </c>
      <c r="I4332">
        <v>1311</v>
      </c>
      <c r="J4332">
        <v>30</v>
      </c>
    </row>
    <row r="4333" spans="1:10" x14ac:dyDescent="0.25">
      <c r="A4333" t="s">
        <v>24</v>
      </c>
      <c r="B4333" t="s">
        <v>20</v>
      </c>
      <c r="C4333" t="s">
        <v>12</v>
      </c>
      <c r="D4333" t="s">
        <v>17</v>
      </c>
      <c r="E4333">
        <v>0.80402930402930395</v>
      </c>
      <c r="F4333">
        <v>0.862735681444597</v>
      </c>
      <c r="G4333">
        <v>18015.029271602602</v>
      </c>
      <c r="H4333">
        <v>1189</v>
      </c>
      <c r="I4333">
        <v>1272</v>
      </c>
      <c r="J4333">
        <v>30</v>
      </c>
    </row>
    <row r="4334" spans="1:10" x14ac:dyDescent="0.25">
      <c r="A4334" t="s">
        <v>24</v>
      </c>
      <c r="B4334" t="s">
        <v>20</v>
      </c>
      <c r="C4334" t="s">
        <v>12</v>
      </c>
      <c r="D4334" t="s">
        <v>17</v>
      </c>
      <c r="E4334">
        <v>0.81135531135531103</v>
      </c>
      <c r="F4334">
        <v>0.86785168666281998</v>
      </c>
      <c r="G4334">
        <v>18042.7934076786</v>
      </c>
      <c r="H4334">
        <v>1281</v>
      </c>
      <c r="I4334">
        <v>1368</v>
      </c>
      <c r="J4334">
        <v>30</v>
      </c>
    </row>
    <row r="4335" spans="1:10" x14ac:dyDescent="0.25">
      <c r="A4335" t="s">
        <v>24</v>
      </c>
      <c r="B4335" t="s">
        <v>20</v>
      </c>
      <c r="C4335" t="s">
        <v>12</v>
      </c>
      <c r="D4335" t="s">
        <v>17</v>
      </c>
      <c r="E4335">
        <v>0.793040293040293</v>
      </c>
      <c r="F4335">
        <v>0.85947119432188501</v>
      </c>
      <c r="G4335">
        <v>18072.0450494289</v>
      </c>
      <c r="H4335">
        <v>1189</v>
      </c>
      <c r="I4335">
        <v>1282</v>
      </c>
      <c r="J4335">
        <v>30</v>
      </c>
    </row>
    <row r="4336" spans="1:10" x14ac:dyDescent="0.25">
      <c r="A4336" t="s">
        <v>24</v>
      </c>
      <c r="B4336" t="s">
        <v>20</v>
      </c>
      <c r="C4336" t="s">
        <v>12</v>
      </c>
      <c r="D4336" t="s">
        <v>17</v>
      </c>
      <c r="E4336">
        <v>0.78754578754578697</v>
      </c>
      <c r="F4336">
        <v>0.85444545960631801</v>
      </c>
      <c r="G4336">
        <v>18211.463033914501</v>
      </c>
      <c r="H4336">
        <v>1227</v>
      </c>
      <c r="I4336">
        <v>1277</v>
      </c>
      <c r="J4336">
        <v>30</v>
      </c>
    </row>
    <row r="4337" spans="1:10" x14ac:dyDescent="0.25">
      <c r="A4337" t="s">
        <v>24</v>
      </c>
      <c r="B4337" t="s">
        <v>20</v>
      </c>
      <c r="C4337" t="s">
        <v>12</v>
      </c>
      <c r="D4337" t="s">
        <v>17</v>
      </c>
      <c r="E4337">
        <v>0.77747252747252704</v>
      </c>
      <c r="F4337">
        <v>0.85562698814111604</v>
      </c>
      <c r="G4337">
        <v>18226.8131558895</v>
      </c>
      <c r="H4337">
        <v>1230</v>
      </c>
      <c r="I4337">
        <v>1338</v>
      </c>
      <c r="J4337">
        <v>30</v>
      </c>
    </row>
    <row r="4338" spans="1:10" x14ac:dyDescent="0.25">
      <c r="A4338" t="s">
        <v>24</v>
      </c>
      <c r="B4338" t="s">
        <v>20</v>
      </c>
      <c r="C4338" t="s">
        <v>12</v>
      </c>
      <c r="D4338" t="s">
        <v>17</v>
      </c>
      <c r="E4338">
        <v>0.77197802197802201</v>
      </c>
      <c r="F4338">
        <v>0.849793745812362</v>
      </c>
      <c r="G4338">
        <v>18302.680292606299</v>
      </c>
      <c r="H4338">
        <v>1253</v>
      </c>
      <c r="I4338">
        <v>1398</v>
      </c>
      <c r="J4338">
        <v>30</v>
      </c>
    </row>
    <row r="4339" spans="1:10" x14ac:dyDescent="0.25">
      <c r="A4339" t="s">
        <v>24</v>
      </c>
      <c r="B4339" t="s">
        <v>20</v>
      </c>
      <c r="C4339" t="s">
        <v>12</v>
      </c>
      <c r="D4339" t="s">
        <v>17</v>
      </c>
      <c r="E4339">
        <v>0.78571428571428503</v>
      </c>
      <c r="F4339">
        <v>0.85366459552893703</v>
      </c>
      <c r="G4339">
        <v>18378.839304447101</v>
      </c>
      <c r="H4339">
        <v>1264</v>
      </c>
      <c r="I4339">
        <v>1321</v>
      </c>
      <c r="J4339">
        <v>30</v>
      </c>
    </row>
    <row r="4340" spans="1:10" x14ac:dyDescent="0.25">
      <c r="A4340" t="s">
        <v>24</v>
      </c>
      <c r="B4340" t="s">
        <v>20</v>
      </c>
      <c r="C4340" t="s">
        <v>12</v>
      </c>
      <c r="D4340" t="s">
        <v>17</v>
      </c>
      <c r="E4340">
        <v>0.79853479853479803</v>
      </c>
      <c r="F4340">
        <v>0.86415155830604395</v>
      </c>
      <c r="G4340">
        <v>18396.123561382199</v>
      </c>
      <c r="H4340">
        <v>1261</v>
      </c>
      <c r="I4340">
        <v>1333</v>
      </c>
      <c r="J4340">
        <v>30</v>
      </c>
    </row>
    <row r="4341" spans="1:10" x14ac:dyDescent="0.25">
      <c r="A4341" t="s">
        <v>24</v>
      </c>
      <c r="B4341" t="s">
        <v>20</v>
      </c>
      <c r="C4341" t="s">
        <v>12</v>
      </c>
      <c r="D4341" t="s">
        <v>17</v>
      </c>
      <c r="E4341">
        <v>0.80311355311355304</v>
      </c>
      <c r="F4341">
        <v>0.87024346754679505</v>
      </c>
      <c r="G4341">
        <v>18425.587774991898</v>
      </c>
      <c r="H4341">
        <v>1254</v>
      </c>
      <c r="I4341">
        <v>1360</v>
      </c>
      <c r="J4341">
        <v>30</v>
      </c>
    </row>
    <row r="4342" spans="1:10" x14ac:dyDescent="0.25">
      <c r="A4342" t="s">
        <v>24</v>
      </c>
      <c r="B4342" t="s">
        <v>20</v>
      </c>
      <c r="C4342" t="s">
        <v>12</v>
      </c>
      <c r="D4342" t="s">
        <v>17</v>
      </c>
      <c r="E4342">
        <v>0.80036630036629997</v>
      </c>
      <c r="F4342">
        <v>0.86450206931877205</v>
      </c>
      <c r="G4342">
        <v>18445.864959239902</v>
      </c>
      <c r="H4342">
        <v>1259</v>
      </c>
      <c r="I4342">
        <v>1350</v>
      </c>
      <c r="J4342">
        <v>30</v>
      </c>
    </row>
    <row r="4343" spans="1:10" x14ac:dyDescent="0.25">
      <c r="A4343" t="s">
        <v>24</v>
      </c>
      <c r="B4343" t="s">
        <v>20</v>
      </c>
      <c r="C4343" t="s">
        <v>12</v>
      </c>
      <c r="D4343" t="s">
        <v>17</v>
      </c>
      <c r="E4343">
        <v>0.79761904761904701</v>
      </c>
      <c r="F4343">
        <v>0.85722431227243501</v>
      </c>
      <c r="G4343">
        <v>18461.917770147302</v>
      </c>
      <c r="H4343">
        <v>1249</v>
      </c>
      <c r="I4343">
        <v>1317</v>
      </c>
      <c r="J4343">
        <v>30</v>
      </c>
    </row>
    <row r="4344" spans="1:10" x14ac:dyDescent="0.25">
      <c r="A4344" t="s">
        <v>24</v>
      </c>
      <c r="B4344" t="s">
        <v>20</v>
      </c>
      <c r="C4344" t="s">
        <v>12</v>
      </c>
      <c r="D4344" t="s">
        <v>17</v>
      </c>
      <c r="E4344">
        <v>0.79395604395604302</v>
      </c>
      <c r="F4344">
        <v>0.858142826373259</v>
      </c>
      <c r="G4344">
        <v>18472.960186958298</v>
      </c>
      <c r="H4344">
        <v>1220</v>
      </c>
      <c r="I4344">
        <v>1333</v>
      </c>
      <c r="J4344">
        <v>30</v>
      </c>
    </row>
    <row r="4345" spans="1:10" x14ac:dyDescent="0.25">
      <c r="A4345" t="s">
        <v>24</v>
      </c>
      <c r="B4345" t="s">
        <v>20</v>
      </c>
      <c r="C4345" t="s">
        <v>12</v>
      </c>
      <c r="D4345" t="s">
        <v>17</v>
      </c>
      <c r="E4345">
        <v>0.793040293040293</v>
      </c>
      <c r="F4345">
        <v>0.86224258853131897</v>
      </c>
      <c r="G4345">
        <v>18481.5829315185</v>
      </c>
      <c r="H4345">
        <v>1301</v>
      </c>
      <c r="I4345">
        <v>1402</v>
      </c>
      <c r="J4345">
        <v>30</v>
      </c>
    </row>
    <row r="4346" spans="1:10" x14ac:dyDescent="0.25">
      <c r="A4346" t="s">
        <v>24</v>
      </c>
      <c r="B4346" t="s">
        <v>20</v>
      </c>
      <c r="C4346" t="s">
        <v>12</v>
      </c>
      <c r="D4346" t="s">
        <v>17</v>
      </c>
      <c r="E4346">
        <v>0.82234432234432198</v>
      </c>
      <c r="F4346">
        <v>0.87741674111602497</v>
      </c>
      <c r="G4346">
        <v>18488.099725723201</v>
      </c>
      <c r="H4346">
        <v>1255</v>
      </c>
      <c r="I4346">
        <v>1372</v>
      </c>
      <c r="J4346">
        <v>30</v>
      </c>
    </row>
    <row r="4347" spans="1:10" x14ac:dyDescent="0.25">
      <c r="A4347" t="s">
        <v>24</v>
      </c>
      <c r="B4347" t="s">
        <v>20</v>
      </c>
      <c r="C4347" t="s">
        <v>12</v>
      </c>
      <c r="D4347" t="s">
        <v>17</v>
      </c>
      <c r="E4347">
        <v>0.79670329670329598</v>
      </c>
      <c r="F4347">
        <v>0.86003396475613503</v>
      </c>
      <c r="G4347">
        <v>18489.2654492855</v>
      </c>
      <c r="H4347">
        <v>1245</v>
      </c>
      <c r="I4347">
        <v>1355</v>
      </c>
      <c r="J4347">
        <v>30</v>
      </c>
    </row>
    <row r="4348" spans="1:10" x14ac:dyDescent="0.25">
      <c r="A4348" t="s">
        <v>24</v>
      </c>
      <c r="B4348" t="s">
        <v>20</v>
      </c>
      <c r="C4348" t="s">
        <v>12</v>
      </c>
      <c r="D4348" t="s">
        <v>17</v>
      </c>
      <c r="E4348">
        <v>0.79761904761904701</v>
      </c>
      <c r="F4348">
        <v>0.86333123267536604</v>
      </c>
      <c r="G4348">
        <v>18498.447046995101</v>
      </c>
      <c r="H4348">
        <v>1194</v>
      </c>
      <c r="I4348">
        <v>1304</v>
      </c>
      <c r="J4348">
        <v>30</v>
      </c>
    </row>
    <row r="4349" spans="1:10" x14ac:dyDescent="0.25">
      <c r="A4349" t="s">
        <v>24</v>
      </c>
      <c r="B4349" t="s">
        <v>20</v>
      </c>
      <c r="C4349" t="s">
        <v>12</v>
      </c>
      <c r="D4349" t="s">
        <v>17</v>
      </c>
      <c r="E4349">
        <v>0.79761904761904701</v>
      </c>
      <c r="F4349">
        <v>0.86373449157518301</v>
      </c>
      <c r="G4349">
        <v>18500.1843171119</v>
      </c>
      <c r="H4349">
        <v>1317</v>
      </c>
      <c r="I4349">
        <v>1390</v>
      </c>
      <c r="J4349">
        <v>30</v>
      </c>
    </row>
    <row r="4350" spans="1:10" x14ac:dyDescent="0.25">
      <c r="A4350" t="s">
        <v>24</v>
      </c>
      <c r="B4350" t="s">
        <v>20</v>
      </c>
      <c r="C4350" t="s">
        <v>12</v>
      </c>
      <c r="D4350" t="s">
        <v>17</v>
      </c>
      <c r="E4350">
        <v>0.79487179487179405</v>
      </c>
      <c r="F4350">
        <v>0.86450388529139199</v>
      </c>
      <c r="G4350">
        <v>18566.7508563995</v>
      </c>
      <c r="H4350">
        <v>1316</v>
      </c>
      <c r="I4350">
        <v>1418</v>
      </c>
      <c r="J4350">
        <v>30</v>
      </c>
    </row>
    <row r="4351" spans="1:10" x14ac:dyDescent="0.25">
      <c r="A4351" t="s">
        <v>24</v>
      </c>
      <c r="B4351" t="s">
        <v>20</v>
      </c>
      <c r="C4351" t="s">
        <v>12</v>
      </c>
      <c r="D4351" t="s">
        <v>17</v>
      </c>
      <c r="E4351">
        <v>0.77747252747252704</v>
      </c>
      <c r="F4351">
        <v>0.85098992396703199</v>
      </c>
      <c r="G4351">
        <v>18579.170230150201</v>
      </c>
      <c r="H4351">
        <v>1257</v>
      </c>
      <c r="I4351">
        <v>1347</v>
      </c>
      <c r="J4351">
        <v>30</v>
      </c>
    </row>
    <row r="4352" spans="1:10" x14ac:dyDescent="0.25">
      <c r="A4352" t="s">
        <v>24</v>
      </c>
      <c r="B4352" t="s">
        <v>20</v>
      </c>
      <c r="C4352" t="s">
        <v>18</v>
      </c>
      <c r="D4352" t="s">
        <v>13</v>
      </c>
      <c r="E4352">
        <v>0.212454212454212</v>
      </c>
      <c r="F4352">
        <v>0.79933327482197802</v>
      </c>
      <c r="G4352">
        <v>513.501291751861</v>
      </c>
      <c r="H4352">
        <v>14</v>
      </c>
      <c r="I4352">
        <v>27</v>
      </c>
      <c r="J4352">
        <v>30</v>
      </c>
    </row>
    <row r="4353" spans="1:10" x14ac:dyDescent="0.25">
      <c r="A4353" t="s">
        <v>24</v>
      </c>
      <c r="B4353" t="s">
        <v>20</v>
      </c>
      <c r="C4353" t="s">
        <v>18</v>
      </c>
      <c r="D4353" t="s">
        <v>13</v>
      </c>
      <c r="E4353">
        <v>0.98626373626373598</v>
      </c>
      <c r="F4353">
        <v>0.98709865904935801</v>
      </c>
      <c r="G4353">
        <v>580.122562170028</v>
      </c>
      <c r="H4353">
        <v>21</v>
      </c>
      <c r="I4353">
        <v>36</v>
      </c>
      <c r="J4353">
        <v>30</v>
      </c>
    </row>
    <row r="4354" spans="1:10" x14ac:dyDescent="0.25">
      <c r="A4354" t="s">
        <v>24</v>
      </c>
      <c r="B4354" t="s">
        <v>20</v>
      </c>
      <c r="C4354" t="s">
        <v>18</v>
      </c>
      <c r="D4354" t="s">
        <v>13</v>
      </c>
      <c r="E4354">
        <v>0.99084249084248999</v>
      </c>
      <c r="F4354">
        <v>0.991694240163003</v>
      </c>
      <c r="G4354">
        <v>626.33088850975003</v>
      </c>
      <c r="H4354">
        <v>23</v>
      </c>
      <c r="I4354">
        <v>39</v>
      </c>
      <c r="J4354">
        <v>30</v>
      </c>
    </row>
    <row r="4355" spans="1:10" x14ac:dyDescent="0.25">
      <c r="A4355" t="s">
        <v>24</v>
      </c>
      <c r="B4355" t="s">
        <v>20</v>
      </c>
      <c r="C4355" t="s">
        <v>18</v>
      </c>
      <c r="D4355" t="s">
        <v>13</v>
      </c>
      <c r="E4355">
        <v>0.99084249084248999</v>
      </c>
      <c r="F4355">
        <v>0.991403955672985</v>
      </c>
      <c r="G4355">
        <v>667.71245479583695</v>
      </c>
      <c r="H4355">
        <v>23</v>
      </c>
      <c r="I4355">
        <v>38</v>
      </c>
      <c r="J4355">
        <v>30</v>
      </c>
    </row>
    <row r="4356" spans="1:10" x14ac:dyDescent="0.25">
      <c r="A4356" t="s">
        <v>24</v>
      </c>
      <c r="B4356" t="s">
        <v>20</v>
      </c>
      <c r="C4356" t="s">
        <v>18</v>
      </c>
      <c r="D4356" t="s">
        <v>13</v>
      </c>
      <c r="E4356">
        <v>0.99542124542124499</v>
      </c>
      <c r="F4356">
        <v>0.99632684899606205</v>
      </c>
      <c r="G4356">
        <v>674.32615613937298</v>
      </c>
      <c r="H4356">
        <v>24</v>
      </c>
      <c r="I4356">
        <v>41</v>
      </c>
      <c r="J4356">
        <v>30</v>
      </c>
    </row>
    <row r="4357" spans="1:10" x14ac:dyDescent="0.25">
      <c r="A4357" t="s">
        <v>24</v>
      </c>
      <c r="B4357" t="s">
        <v>20</v>
      </c>
      <c r="C4357" t="s">
        <v>18</v>
      </c>
      <c r="D4357" t="s">
        <v>13</v>
      </c>
      <c r="E4357">
        <v>0.99175824175824101</v>
      </c>
      <c r="F4357">
        <v>0.99157913220155602</v>
      </c>
      <c r="G4357">
        <v>687.05604124069202</v>
      </c>
      <c r="H4357">
        <v>22</v>
      </c>
      <c r="I4357">
        <v>41</v>
      </c>
      <c r="J4357">
        <v>30</v>
      </c>
    </row>
    <row r="4358" spans="1:10" x14ac:dyDescent="0.25">
      <c r="A4358" t="s">
        <v>24</v>
      </c>
      <c r="B4358" t="s">
        <v>20</v>
      </c>
      <c r="C4358" t="s">
        <v>18</v>
      </c>
      <c r="D4358" t="s">
        <v>13</v>
      </c>
      <c r="E4358">
        <v>0.98992673992673996</v>
      </c>
      <c r="F4358">
        <v>0.99072186819642805</v>
      </c>
      <c r="G4358">
        <v>669.33111238479603</v>
      </c>
      <c r="H4358">
        <v>25</v>
      </c>
      <c r="I4358">
        <v>43</v>
      </c>
      <c r="J4358">
        <v>30</v>
      </c>
    </row>
    <row r="4359" spans="1:10" x14ac:dyDescent="0.25">
      <c r="A4359" t="s">
        <v>24</v>
      </c>
      <c r="B4359" t="s">
        <v>20</v>
      </c>
      <c r="C4359" t="s">
        <v>18</v>
      </c>
      <c r="D4359" t="s">
        <v>13</v>
      </c>
      <c r="E4359">
        <v>0.99084249084248999</v>
      </c>
      <c r="F4359">
        <v>0.99088811332152005</v>
      </c>
      <c r="G4359">
        <v>673.03325891494706</v>
      </c>
      <c r="H4359">
        <v>22</v>
      </c>
      <c r="I4359">
        <v>40</v>
      </c>
      <c r="J4359">
        <v>30</v>
      </c>
    </row>
    <row r="4360" spans="1:10" x14ac:dyDescent="0.25">
      <c r="A4360" t="s">
        <v>24</v>
      </c>
      <c r="B4360" t="s">
        <v>20</v>
      </c>
      <c r="C4360" t="s">
        <v>18</v>
      </c>
      <c r="D4360" t="s">
        <v>13</v>
      </c>
      <c r="E4360">
        <v>0.98992673992673996</v>
      </c>
      <c r="F4360">
        <v>0.99117608797683099</v>
      </c>
      <c r="G4360">
        <v>677.90547323226895</v>
      </c>
      <c r="H4360">
        <v>21</v>
      </c>
      <c r="I4360">
        <v>36</v>
      </c>
      <c r="J4360">
        <v>30</v>
      </c>
    </row>
    <row r="4361" spans="1:10" x14ac:dyDescent="0.25">
      <c r="A4361" t="s">
        <v>24</v>
      </c>
      <c r="B4361" t="s">
        <v>20</v>
      </c>
      <c r="C4361" t="s">
        <v>18</v>
      </c>
      <c r="D4361" t="s">
        <v>13</v>
      </c>
      <c r="E4361">
        <v>0.99084249084248999</v>
      </c>
      <c r="F4361">
        <v>0.99149907860961495</v>
      </c>
      <c r="G4361">
        <v>679.09377193450905</v>
      </c>
      <c r="H4361">
        <v>22</v>
      </c>
      <c r="I4361">
        <v>40</v>
      </c>
      <c r="J4361">
        <v>30</v>
      </c>
    </row>
    <row r="4362" spans="1:10" x14ac:dyDescent="0.25">
      <c r="A4362" t="s">
        <v>24</v>
      </c>
      <c r="B4362" t="s">
        <v>20</v>
      </c>
      <c r="C4362" t="s">
        <v>18</v>
      </c>
      <c r="D4362" t="s">
        <v>13</v>
      </c>
      <c r="E4362">
        <v>0.99450549450549397</v>
      </c>
      <c r="F4362">
        <v>0.99446567060247204</v>
      </c>
      <c r="G4362">
        <v>697.32204341888405</v>
      </c>
      <c r="H4362">
        <v>25</v>
      </c>
      <c r="I4362">
        <v>41</v>
      </c>
      <c r="J4362">
        <v>30</v>
      </c>
    </row>
    <row r="4363" spans="1:10" x14ac:dyDescent="0.25">
      <c r="A4363" t="s">
        <v>24</v>
      </c>
      <c r="B4363" t="s">
        <v>20</v>
      </c>
      <c r="C4363" t="s">
        <v>18</v>
      </c>
      <c r="D4363" t="s">
        <v>13</v>
      </c>
      <c r="E4363">
        <v>0.98992673992673996</v>
      </c>
      <c r="F4363">
        <v>0.99105188772417496</v>
      </c>
      <c r="G4363">
        <v>700.51421618461598</v>
      </c>
      <c r="H4363">
        <v>22</v>
      </c>
      <c r="I4363">
        <v>38</v>
      </c>
      <c r="J4363">
        <v>30</v>
      </c>
    </row>
    <row r="4364" spans="1:10" x14ac:dyDescent="0.25">
      <c r="A4364" t="s">
        <v>24</v>
      </c>
      <c r="B4364" t="s">
        <v>20</v>
      </c>
      <c r="C4364" t="s">
        <v>18</v>
      </c>
      <c r="D4364" t="s">
        <v>13</v>
      </c>
      <c r="E4364">
        <v>0.98351648351648302</v>
      </c>
      <c r="F4364">
        <v>0.98747343236510898</v>
      </c>
      <c r="G4364">
        <v>703.51531219482399</v>
      </c>
      <c r="H4364">
        <v>25</v>
      </c>
      <c r="I4364">
        <v>40</v>
      </c>
      <c r="J4364">
        <v>30</v>
      </c>
    </row>
    <row r="4365" spans="1:10" x14ac:dyDescent="0.25">
      <c r="A4365" t="s">
        <v>24</v>
      </c>
      <c r="B4365" t="s">
        <v>20</v>
      </c>
      <c r="C4365" t="s">
        <v>18</v>
      </c>
      <c r="D4365" t="s">
        <v>13</v>
      </c>
      <c r="E4365">
        <v>0.98809523809523803</v>
      </c>
      <c r="F4365">
        <v>0.98790172500393703</v>
      </c>
      <c r="G4365">
        <v>710.71655106544495</v>
      </c>
      <c r="H4365">
        <v>25</v>
      </c>
      <c r="I4365">
        <v>41</v>
      </c>
      <c r="J4365">
        <v>30</v>
      </c>
    </row>
    <row r="4366" spans="1:10" x14ac:dyDescent="0.25">
      <c r="A4366" t="s">
        <v>24</v>
      </c>
      <c r="B4366" t="s">
        <v>20</v>
      </c>
      <c r="C4366" t="s">
        <v>18</v>
      </c>
      <c r="D4366" t="s">
        <v>13</v>
      </c>
      <c r="E4366">
        <v>0.99084249084248999</v>
      </c>
      <c r="F4366">
        <v>0.99047448311501796</v>
      </c>
      <c r="G4366">
        <v>693.67778539657502</v>
      </c>
      <c r="H4366">
        <v>23</v>
      </c>
      <c r="I4366">
        <v>40</v>
      </c>
      <c r="J4366">
        <v>30</v>
      </c>
    </row>
    <row r="4367" spans="1:10" x14ac:dyDescent="0.25">
      <c r="A4367" t="s">
        <v>24</v>
      </c>
      <c r="B4367" t="s">
        <v>20</v>
      </c>
      <c r="C4367" t="s">
        <v>18</v>
      </c>
      <c r="D4367" t="s">
        <v>13</v>
      </c>
      <c r="E4367">
        <v>0.987179487179487</v>
      </c>
      <c r="F4367">
        <v>0.98880427544670302</v>
      </c>
      <c r="G4367">
        <v>721.76468634605396</v>
      </c>
      <c r="H4367">
        <v>26</v>
      </c>
      <c r="I4367">
        <v>45</v>
      </c>
      <c r="J4367">
        <v>30</v>
      </c>
    </row>
    <row r="4368" spans="1:10" x14ac:dyDescent="0.25">
      <c r="A4368" t="s">
        <v>24</v>
      </c>
      <c r="B4368" t="s">
        <v>20</v>
      </c>
      <c r="C4368" t="s">
        <v>18</v>
      </c>
      <c r="D4368" t="s">
        <v>13</v>
      </c>
      <c r="E4368">
        <v>0.98168498168498097</v>
      </c>
      <c r="F4368">
        <v>0.98292034429999997</v>
      </c>
      <c r="G4368">
        <v>722.37791109085003</v>
      </c>
      <c r="H4368">
        <v>21</v>
      </c>
      <c r="I4368">
        <v>37</v>
      </c>
      <c r="J4368">
        <v>30</v>
      </c>
    </row>
    <row r="4369" spans="1:10" x14ac:dyDescent="0.25">
      <c r="A4369" t="s">
        <v>24</v>
      </c>
      <c r="B4369" t="s">
        <v>20</v>
      </c>
      <c r="C4369" t="s">
        <v>18</v>
      </c>
      <c r="D4369" t="s">
        <v>13</v>
      </c>
      <c r="E4369">
        <v>0.99267399267399203</v>
      </c>
      <c r="F4369">
        <v>0.99315506749542104</v>
      </c>
      <c r="G4369">
        <v>731.40509557723999</v>
      </c>
      <c r="H4369">
        <v>24</v>
      </c>
      <c r="I4369">
        <v>44</v>
      </c>
      <c r="J4369">
        <v>30</v>
      </c>
    </row>
    <row r="4370" spans="1:10" x14ac:dyDescent="0.25">
      <c r="A4370" t="s">
        <v>24</v>
      </c>
      <c r="B4370" t="s">
        <v>20</v>
      </c>
      <c r="C4370" t="s">
        <v>18</v>
      </c>
      <c r="D4370" t="s">
        <v>13</v>
      </c>
      <c r="E4370">
        <v>0.99267399267399203</v>
      </c>
      <c r="F4370">
        <v>0.99324091432536599</v>
      </c>
      <c r="G4370">
        <v>715.50696659088101</v>
      </c>
      <c r="H4370">
        <v>25</v>
      </c>
      <c r="I4370">
        <v>42</v>
      </c>
      <c r="J4370">
        <v>30</v>
      </c>
    </row>
    <row r="4371" spans="1:10" x14ac:dyDescent="0.25">
      <c r="A4371" t="s">
        <v>24</v>
      </c>
      <c r="B4371" t="s">
        <v>20</v>
      </c>
      <c r="C4371" t="s">
        <v>18</v>
      </c>
      <c r="D4371" t="s">
        <v>13</v>
      </c>
      <c r="E4371">
        <v>0.99358974358974295</v>
      </c>
      <c r="F4371">
        <v>0.99342076103113497</v>
      </c>
      <c r="G4371">
        <v>716.15660047531105</v>
      </c>
      <c r="H4371">
        <v>22</v>
      </c>
      <c r="I4371">
        <v>38</v>
      </c>
      <c r="J4371">
        <v>30</v>
      </c>
    </row>
    <row r="4372" spans="1:10" x14ac:dyDescent="0.25">
      <c r="A4372" t="s">
        <v>24</v>
      </c>
      <c r="B4372" t="s">
        <v>20</v>
      </c>
      <c r="C4372" t="s">
        <v>18</v>
      </c>
      <c r="D4372" t="s">
        <v>13</v>
      </c>
      <c r="E4372">
        <v>0.98992673992673996</v>
      </c>
      <c r="F4372">
        <v>0.98934273836950504</v>
      </c>
      <c r="G4372">
        <v>723.51806402206398</v>
      </c>
      <c r="H4372">
        <v>26</v>
      </c>
      <c r="I4372">
        <v>42</v>
      </c>
      <c r="J4372">
        <v>30</v>
      </c>
    </row>
    <row r="4373" spans="1:10" x14ac:dyDescent="0.25">
      <c r="A4373" t="s">
        <v>24</v>
      </c>
      <c r="B4373" t="s">
        <v>20</v>
      </c>
      <c r="C4373" t="s">
        <v>18</v>
      </c>
      <c r="D4373" t="s">
        <v>13</v>
      </c>
      <c r="E4373">
        <v>0.98443223443223404</v>
      </c>
      <c r="F4373">
        <v>0.98571186693809498</v>
      </c>
      <c r="G4373">
        <v>726.27654552459705</v>
      </c>
      <c r="H4373">
        <v>22</v>
      </c>
      <c r="I4373">
        <v>36</v>
      </c>
      <c r="J4373">
        <v>30</v>
      </c>
    </row>
    <row r="4374" spans="1:10" x14ac:dyDescent="0.25">
      <c r="A4374" t="s">
        <v>24</v>
      </c>
      <c r="B4374" t="s">
        <v>20</v>
      </c>
      <c r="C4374" t="s">
        <v>18</v>
      </c>
      <c r="D4374" t="s">
        <v>13</v>
      </c>
      <c r="E4374">
        <v>0.98992673992673996</v>
      </c>
      <c r="F4374">
        <v>0.99111698142701399</v>
      </c>
      <c r="G4374">
        <v>726.63238644599903</v>
      </c>
      <c r="H4374">
        <v>23</v>
      </c>
      <c r="I4374">
        <v>44</v>
      </c>
      <c r="J4374">
        <v>30</v>
      </c>
    </row>
    <row r="4375" spans="1:10" x14ac:dyDescent="0.25">
      <c r="A4375" t="s">
        <v>24</v>
      </c>
      <c r="B4375" t="s">
        <v>20</v>
      </c>
      <c r="C4375" t="s">
        <v>18</v>
      </c>
      <c r="D4375" t="s">
        <v>13</v>
      </c>
      <c r="E4375">
        <v>0.982600732600732</v>
      </c>
      <c r="F4375">
        <v>0.98616533109258198</v>
      </c>
      <c r="G4375">
        <v>727.06326746940601</v>
      </c>
      <c r="H4375">
        <v>25</v>
      </c>
      <c r="I4375">
        <v>44</v>
      </c>
      <c r="J4375">
        <v>30</v>
      </c>
    </row>
    <row r="4376" spans="1:10" x14ac:dyDescent="0.25">
      <c r="A4376" t="s">
        <v>24</v>
      </c>
      <c r="B4376" t="s">
        <v>20</v>
      </c>
      <c r="C4376" t="s">
        <v>18</v>
      </c>
      <c r="D4376" t="s">
        <v>13</v>
      </c>
      <c r="E4376">
        <v>0.98626373626373598</v>
      </c>
      <c r="F4376">
        <v>0.98821877493388199</v>
      </c>
      <c r="G4376">
        <v>731.00202202796902</v>
      </c>
      <c r="H4376">
        <v>24</v>
      </c>
      <c r="I4376">
        <v>41</v>
      </c>
      <c r="J4376">
        <v>30</v>
      </c>
    </row>
    <row r="4377" spans="1:10" x14ac:dyDescent="0.25">
      <c r="A4377" t="s">
        <v>24</v>
      </c>
      <c r="B4377" t="s">
        <v>20</v>
      </c>
      <c r="C4377" t="s">
        <v>18</v>
      </c>
      <c r="D4377" t="s">
        <v>13</v>
      </c>
      <c r="E4377">
        <v>0.98534798534798496</v>
      </c>
      <c r="F4377">
        <v>0.98683663043259995</v>
      </c>
      <c r="G4377">
        <v>750.72746491432099</v>
      </c>
      <c r="H4377">
        <v>26</v>
      </c>
      <c r="I4377">
        <v>43</v>
      </c>
      <c r="J4377">
        <v>30</v>
      </c>
    </row>
    <row r="4378" spans="1:10" x14ac:dyDescent="0.25">
      <c r="A4378" t="s">
        <v>24</v>
      </c>
      <c r="B4378" t="s">
        <v>20</v>
      </c>
      <c r="C4378" t="s">
        <v>18</v>
      </c>
      <c r="D4378" t="s">
        <v>13</v>
      </c>
      <c r="E4378">
        <v>0.98809523809523803</v>
      </c>
      <c r="F4378">
        <v>0.98931774580851595</v>
      </c>
      <c r="G4378">
        <v>752.259698152542</v>
      </c>
      <c r="H4378">
        <v>26</v>
      </c>
      <c r="I4378">
        <v>43</v>
      </c>
      <c r="J4378">
        <v>30</v>
      </c>
    </row>
    <row r="4379" spans="1:10" x14ac:dyDescent="0.25">
      <c r="A4379" t="s">
        <v>24</v>
      </c>
      <c r="B4379" t="s">
        <v>20</v>
      </c>
      <c r="C4379" t="s">
        <v>18</v>
      </c>
      <c r="D4379" t="s">
        <v>13</v>
      </c>
      <c r="E4379">
        <v>0.99175824175824101</v>
      </c>
      <c r="F4379">
        <v>0.99161472638195902</v>
      </c>
      <c r="G4379">
        <v>734.74701404571499</v>
      </c>
      <c r="H4379">
        <v>24</v>
      </c>
      <c r="I4379">
        <v>41</v>
      </c>
      <c r="J4379">
        <v>30</v>
      </c>
    </row>
    <row r="4380" spans="1:10" x14ac:dyDescent="0.25">
      <c r="A4380" t="s">
        <v>24</v>
      </c>
      <c r="B4380" t="s">
        <v>20</v>
      </c>
      <c r="C4380" t="s">
        <v>18</v>
      </c>
      <c r="D4380" t="s">
        <v>13</v>
      </c>
      <c r="E4380">
        <v>0.99267399267399203</v>
      </c>
      <c r="F4380">
        <v>0.99298331366446801</v>
      </c>
      <c r="G4380">
        <v>755.02546763420105</v>
      </c>
      <c r="H4380">
        <v>24</v>
      </c>
      <c r="I4380">
        <v>40</v>
      </c>
      <c r="J4380">
        <v>30</v>
      </c>
    </row>
    <row r="4381" spans="1:10" x14ac:dyDescent="0.25">
      <c r="A4381" t="s">
        <v>24</v>
      </c>
      <c r="B4381" t="s">
        <v>20</v>
      </c>
      <c r="C4381" t="s">
        <v>18</v>
      </c>
      <c r="D4381" t="s">
        <v>13</v>
      </c>
      <c r="E4381">
        <v>0.982600732600732</v>
      </c>
      <c r="F4381">
        <v>0.98359910541840601</v>
      </c>
      <c r="G4381">
        <v>740.28024864196698</v>
      </c>
      <c r="H4381">
        <v>25</v>
      </c>
      <c r="I4381">
        <v>41</v>
      </c>
      <c r="J4381">
        <v>30</v>
      </c>
    </row>
    <row r="4382" spans="1:10" x14ac:dyDescent="0.25">
      <c r="A4382" t="s">
        <v>24</v>
      </c>
      <c r="B4382" t="s">
        <v>20</v>
      </c>
      <c r="C4382" t="s">
        <v>18</v>
      </c>
      <c r="D4382" t="s">
        <v>14</v>
      </c>
      <c r="E4382">
        <v>9.1575091575091499E-4</v>
      </c>
      <c r="F4382">
        <v>0.74991235977564097</v>
      </c>
      <c r="G4382">
        <v>7.3904154300689697</v>
      </c>
      <c r="H4382">
        <v>1</v>
      </c>
      <c r="I4382">
        <v>1</v>
      </c>
      <c r="J4382">
        <v>30</v>
      </c>
    </row>
    <row r="4383" spans="1:10" x14ac:dyDescent="0.25">
      <c r="A4383" t="s">
        <v>24</v>
      </c>
      <c r="B4383" t="s">
        <v>20</v>
      </c>
      <c r="C4383" t="s">
        <v>18</v>
      </c>
      <c r="D4383" t="s">
        <v>14</v>
      </c>
      <c r="E4383">
        <v>1.83150183150183E-3</v>
      </c>
      <c r="F4383">
        <v>0.75007586129349801</v>
      </c>
      <c r="G4383">
        <v>7.9689056873321498</v>
      </c>
      <c r="H4383">
        <v>1</v>
      </c>
      <c r="I4383">
        <v>1</v>
      </c>
      <c r="J4383">
        <v>30</v>
      </c>
    </row>
    <row r="4384" spans="1:10" x14ac:dyDescent="0.25">
      <c r="A4384" t="s">
        <v>24</v>
      </c>
      <c r="B4384" t="s">
        <v>20</v>
      </c>
      <c r="C4384" t="s">
        <v>18</v>
      </c>
      <c r="D4384" t="s">
        <v>14</v>
      </c>
      <c r="E4384">
        <v>0</v>
      </c>
      <c r="F4384">
        <v>0.749755859375</v>
      </c>
      <c r="G4384">
        <v>8.2764899730682302</v>
      </c>
      <c r="H4384">
        <v>1</v>
      </c>
      <c r="I4384">
        <v>1</v>
      </c>
      <c r="J4384">
        <v>30</v>
      </c>
    </row>
    <row r="4385" spans="1:10" x14ac:dyDescent="0.25">
      <c r="A4385" t="s">
        <v>24</v>
      </c>
      <c r="B4385" t="s">
        <v>20</v>
      </c>
      <c r="C4385" t="s">
        <v>18</v>
      </c>
      <c r="D4385" t="s">
        <v>14</v>
      </c>
      <c r="E4385">
        <v>0</v>
      </c>
      <c r="F4385">
        <v>0.75</v>
      </c>
      <c r="G4385">
        <v>10.7892618179321</v>
      </c>
      <c r="H4385">
        <v>1</v>
      </c>
      <c r="I4385">
        <v>1</v>
      </c>
      <c r="J4385">
        <v>30</v>
      </c>
    </row>
    <row r="4386" spans="1:10" x14ac:dyDescent="0.25">
      <c r="A4386" t="s">
        <v>24</v>
      </c>
      <c r="B4386" t="s">
        <v>20</v>
      </c>
      <c r="C4386" t="s">
        <v>18</v>
      </c>
      <c r="D4386" t="s">
        <v>14</v>
      </c>
      <c r="E4386">
        <v>0</v>
      </c>
      <c r="F4386">
        <v>0.75</v>
      </c>
      <c r="G4386">
        <v>10.975356578826901</v>
      </c>
      <c r="H4386">
        <v>1</v>
      </c>
      <c r="I4386">
        <v>1</v>
      </c>
      <c r="J4386">
        <v>30</v>
      </c>
    </row>
    <row r="4387" spans="1:10" x14ac:dyDescent="0.25">
      <c r="A4387" t="s">
        <v>24</v>
      </c>
      <c r="B4387" t="s">
        <v>20</v>
      </c>
      <c r="C4387" t="s">
        <v>18</v>
      </c>
      <c r="D4387" t="s">
        <v>14</v>
      </c>
      <c r="E4387">
        <v>9.1575091575091499E-4</v>
      </c>
      <c r="F4387">
        <v>0.74991235977564097</v>
      </c>
      <c r="G4387">
        <v>10.9439463615417</v>
      </c>
      <c r="H4387">
        <v>1</v>
      </c>
      <c r="I4387">
        <v>1</v>
      </c>
      <c r="J4387">
        <v>30</v>
      </c>
    </row>
    <row r="4388" spans="1:10" x14ac:dyDescent="0.25">
      <c r="A4388" t="s">
        <v>24</v>
      </c>
      <c r="B4388" t="s">
        <v>20</v>
      </c>
      <c r="C4388" t="s">
        <v>18</v>
      </c>
      <c r="D4388" t="s">
        <v>14</v>
      </c>
      <c r="E4388">
        <v>9.1575091575091499E-4</v>
      </c>
      <c r="F4388">
        <v>0.75007568257500001</v>
      </c>
      <c r="G4388">
        <v>12.918762683868399</v>
      </c>
      <c r="H4388">
        <v>1</v>
      </c>
      <c r="I4388">
        <v>1</v>
      </c>
      <c r="J4388">
        <v>30</v>
      </c>
    </row>
    <row r="4389" spans="1:10" x14ac:dyDescent="0.25">
      <c r="A4389" t="s">
        <v>24</v>
      </c>
      <c r="B4389" t="s">
        <v>20</v>
      </c>
      <c r="C4389" t="s">
        <v>18</v>
      </c>
      <c r="D4389" t="s">
        <v>14</v>
      </c>
      <c r="E4389">
        <v>0</v>
      </c>
      <c r="F4389">
        <v>0.75</v>
      </c>
      <c r="G4389">
        <v>15.075728893280001</v>
      </c>
      <c r="H4389">
        <v>1</v>
      </c>
      <c r="I4389">
        <v>1</v>
      </c>
      <c r="J4389">
        <v>30</v>
      </c>
    </row>
    <row r="4390" spans="1:10" x14ac:dyDescent="0.25">
      <c r="A4390" t="s">
        <v>24</v>
      </c>
      <c r="B4390" t="s">
        <v>20</v>
      </c>
      <c r="C4390" t="s">
        <v>18</v>
      </c>
      <c r="D4390" t="s">
        <v>14</v>
      </c>
      <c r="E4390">
        <v>0</v>
      </c>
      <c r="F4390">
        <v>0.75</v>
      </c>
      <c r="G4390">
        <v>15.1512064933776</v>
      </c>
      <c r="H4390">
        <v>1</v>
      </c>
      <c r="I4390">
        <v>1</v>
      </c>
      <c r="J4390">
        <v>30</v>
      </c>
    </row>
    <row r="4391" spans="1:10" x14ac:dyDescent="0.25">
      <c r="A4391" t="s">
        <v>24</v>
      </c>
      <c r="B4391" t="s">
        <v>20</v>
      </c>
      <c r="C4391" t="s">
        <v>18</v>
      </c>
      <c r="D4391" t="s">
        <v>14</v>
      </c>
      <c r="E4391">
        <v>0</v>
      </c>
      <c r="F4391">
        <v>0.75</v>
      </c>
      <c r="G4391">
        <v>16.123105049133301</v>
      </c>
      <c r="H4391">
        <v>1</v>
      </c>
      <c r="I4391">
        <v>1</v>
      </c>
      <c r="J4391">
        <v>30</v>
      </c>
    </row>
    <row r="4392" spans="1:10" x14ac:dyDescent="0.25">
      <c r="A4392" t="s">
        <v>24</v>
      </c>
      <c r="B4392" t="s">
        <v>20</v>
      </c>
      <c r="C4392" t="s">
        <v>18</v>
      </c>
      <c r="D4392" t="s">
        <v>14</v>
      </c>
      <c r="E4392">
        <v>1.83150183150183E-3</v>
      </c>
      <c r="F4392">
        <v>0.75008699633699605</v>
      </c>
      <c r="G4392">
        <v>16.595932483673</v>
      </c>
      <c r="H4392">
        <v>1</v>
      </c>
      <c r="I4392">
        <v>1</v>
      </c>
      <c r="J4392">
        <v>30</v>
      </c>
    </row>
    <row r="4393" spans="1:10" x14ac:dyDescent="0.25">
      <c r="A4393" t="s">
        <v>24</v>
      </c>
      <c r="B4393" t="s">
        <v>20</v>
      </c>
      <c r="C4393" t="s">
        <v>18</v>
      </c>
      <c r="D4393" t="s">
        <v>14</v>
      </c>
      <c r="E4393">
        <v>0</v>
      </c>
      <c r="F4393">
        <v>0.75</v>
      </c>
      <c r="G4393">
        <v>16.732280254363999</v>
      </c>
      <c r="H4393">
        <v>1</v>
      </c>
      <c r="I4393">
        <v>1</v>
      </c>
      <c r="J4393">
        <v>30</v>
      </c>
    </row>
    <row r="4394" spans="1:10" x14ac:dyDescent="0.25">
      <c r="A4394" t="s">
        <v>24</v>
      </c>
      <c r="B4394" t="s">
        <v>20</v>
      </c>
      <c r="C4394" t="s">
        <v>18</v>
      </c>
      <c r="D4394" t="s">
        <v>14</v>
      </c>
      <c r="E4394">
        <v>0</v>
      </c>
      <c r="F4394">
        <v>0.75</v>
      </c>
      <c r="G4394">
        <v>16.714742898941001</v>
      </c>
      <c r="H4394">
        <v>1</v>
      </c>
      <c r="I4394">
        <v>1</v>
      </c>
      <c r="J4394">
        <v>30</v>
      </c>
    </row>
    <row r="4395" spans="1:10" x14ac:dyDescent="0.25">
      <c r="A4395" t="s">
        <v>24</v>
      </c>
      <c r="B4395" t="s">
        <v>20</v>
      </c>
      <c r="C4395" t="s">
        <v>18</v>
      </c>
      <c r="D4395" t="s">
        <v>14</v>
      </c>
      <c r="E4395">
        <v>0</v>
      </c>
      <c r="F4395">
        <v>0.75</v>
      </c>
      <c r="G4395">
        <v>16.906974792480401</v>
      </c>
      <c r="H4395">
        <v>1</v>
      </c>
      <c r="I4395">
        <v>1</v>
      </c>
      <c r="J4395">
        <v>30</v>
      </c>
    </row>
    <row r="4396" spans="1:10" x14ac:dyDescent="0.25">
      <c r="A4396" t="s">
        <v>24</v>
      </c>
      <c r="B4396" t="s">
        <v>20</v>
      </c>
      <c r="C4396" t="s">
        <v>18</v>
      </c>
      <c r="D4396" t="s">
        <v>14</v>
      </c>
      <c r="E4396">
        <v>0</v>
      </c>
      <c r="F4396">
        <v>0.75</v>
      </c>
      <c r="G4396">
        <v>17.021228551864599</v>
      </c>
      <c r="H4396">
        <v>1</v>
      </c>
      <c r="I4396">
        <v>1</v>
      </c>
      <c r="J4396">
        <v>30</v>
      </c>
    </row>
    <row r="4397" spans="1:10" x14ac:dyDescent="0.25">
      <c r="A4397" t="s">
        <v>24</v>
      </c>
      <c r="B4397" t="s">
        <v>20</v>
      </c>
      <c r="C4397" t="s">
        <v>18</v>
      </c>
      <c r="D4397" t="s">
        <v>14</v>
      </c>
      <c r="E4397">
        <v>0</v>
      </c>
      <c r="F4397">
        <v>0.75</v>
      </c>
      <c r="G4397">
        <v>17.476298332214299</v>
      </c>
      <c r="H4397">
        <v>1</v>
      </c>
      <c r="I4397">
        <v>1</v>
      </c>
      <c r="J4397">
        <v>30</v>
      </c>
    </row>
    <row r="4398" spans="1:10" x14ac:dyDescent="0.25">
      <c r="A4398" t="s">
        <v>24</v>
      </c>
      <c r="B4398" t="s">
        <v>20</v>
      </c>
      <c r="C4398" t="s">
        <v>18</v>
      </c>
      <c r="D4398" t="s">
        <v>14</v>
      </c>
      <c r="E4398">
        <v>9.1575091575091499E-4</v>
      </c>
      <c r="F4398">
        <v>0.75007568257500001</v>
      </c>
      <c r="G4398">
        <v>17.453527212142902</v>
      </c>
      <c r="H4398">
        <v>1</v>
      </c>
      <c r="I4398">
        <v>1</v>
      </c>
      <c r="J4398">
        <v>30</v>
      </c>
    </row>
    <row r="4399" spans="1:10" x14ac:dyDescent="0.25">
      <c r="A4399" t="s">
        <v>24</v>
      </c>
      <c r="B4399" t="s">
        <v>20</v>
      </c>
      <c r="C4399" t="s">
        <v>18</v>
      </c>
      <c r="D4399" t="s">
        <v>14</v>
      </c>
      <c r="E4399">
        <v>0</v>
      </c>
      <c r="F4399">
        <v>0.75</v>
      </c>
      <c r="G4399">
        <v>17.586237192153899</v>
      </c>
      <c r="H4399">
        <v>1</v>
      </c>
      <c r="I4399">
        <v>1</v>
      </c>
      <c r="J4399">
        <v>30</v>
      </c>
    </row>
    <row r="4400" spans="1:10" x14ac:dyDescent="0.25">
      <c r="A4400" t="s">
        <v>24</v>
      </c>
      <c r="B4400" t="s">
        <v>20</v>
      </c>
      <c r="C4400" t="s">
        <v>18</v>
      </c>
      <c r="D4400" t="s">
        <v>14</v>
      </c>
      <c r="E4400">
        <v>1.83150183150183E-3</v>
      </c>
      <c r="F4400">
        <v>0.75008699633699605</v>
      </c>
      <c r="G4400">
        <v>17.5878183841705</v>
      </c>
      <c r="H4400">
        <v>1</v>
      </c>
      <c r="I4400">
        <v>1</v>
      </c>
      <c r="J4400">
        <v>30</v>
      </c>
    </row>
    <row r="4401" spans="1:10" x14ac:dyDescent="0.25">
      <c r="A4401" t="s">
        <v>24</v>
      </c>
      <c r="B4401" t="s">
        <v>20</v>
      </c>
      <c r="C4401" t="s">
        <v>18</v>
      </c>
      <c r="D4401" t="s">
        <v>14</v>
      </c>
      <c r="E4401">
        <v>0</v>
      </c>
      <c r="F4401">
        <v>0.75</v>
      </c>
      <c r="G4401">
        <v>17.5982761383056</v>
      </c>
      <c r="H4401">
        <v>1</v>
      </c>
      <c r="I4401">
        <v>1</v>
      </c>
      <c r="J4401">
        <v>30</v>
      </c>
    </row>
    <row r="4402" spans="1:10" x14ac:dyDescent="0.25">
      <c r="A4402" t="s">
        <v>24</v>
      </c>
      <c r="B4402" t="s">
        <v>20</v>
      </c>
      <c r="C4402" t="s">
        <v>18</v>
      </c>
      <c r="D4402" t="s">
        <v>14</v>
      </c>
      <c r="E4402">
        <v>9.1575091575091499E-4</v>
      </c>
      <c r="F4402">
        <v>0.75004349816849802</v>
      </c>
      <c r="G4402">
        <v>17.7617843151092</v>
      </c>
      <c r="H4402">
        <v>1</v>
      </c>
      <c r="I4402">
        <v>1</v>
      </c>
      <c r="J4402">
        <v>30</v>
      </c>
    </row>
    <row r="4403" spans="1:10" x14ac:dyDescent="0.25">
      <c r="A4403" t="s">
        <v>24</v>
      </c>
      <c r="B4403" t="s">
        <v>20</v>
      </c>
      <c r="C4403" t="s">
        <v>18</v>
      </c>
      <c r="D4403" t="s">
        <v>14</v>
      </c>
      <c r="E4403">
        <v>0</v>
      </c>
      <c r="F4403">
        <v>0.75</v>
      </c>
      <c r="G4403">
        <v>18.088002443313599</v>
      </c>
      <c r="H4403">
        <v>1</v>
      </c>
      <c r="I4403">
        <v>1</v>
      </c>
      <c r="J4403">
        <v>30</v>
      </c>
    </row>
    <row r="4404" spans="1:10" x14ac:dyDescent="0.25">
      <c r="A4404" t="s">
        <v>24</v>
      </c>
      <c r="B4404" t="s">
        <v>20</v>
      </c>
      <c r="C4404" t="s">
        <v>18</v>
      </c>
      <c r="D4404" t="s">
        <v>14</v>
      </c>
      <c r="E4404">
        <v>9.1575091575091499E-4</v>
      </c>
      <c r="F4404">
        <v>0.75007568257500001</v>
      </c>
      <c r="G4404">
        <v>18.099298000335601</v>
      </c>
      <c r="H4404">
        <v>1</v>
      </c>
      <c r="I4404">
        <v>1</v>
      </c>
      <c r="J4404">
        <v>30</v>
      </c>
    </row>
    <row r="4405" spans="1:10" x14ac:dyDescent="0.25">
      <c r="A4405" t="s">
        <v>24</v>
      </c>
      <c r="B4405" t="s">
        <v>20</v>
      </c>
      <c r="C4405" t="s">
        <v>18</v>
      </c>
      <c r="D4405" t="s">
        <v>14</v>
      </c>
      <c r="E4405">
        <v>0</v>
      </c>
      <c r="F4405">
        <v>0.75</v>
      </c>
      <c r="G4405">
        <v>18.014905691146801</v>
      </c>
      <c r="H4405">
        <v>1</v>
      </c>
      <c r="I4405">
        <v>1</v>
      </c>
      <c r="J4405">
        <v>30</v>
      </c>
    </row>
    <row r="4406" spans="1:10" x14ac:dyDescent="0.25">
      <c r="A4406" t="s">
        <v>24</v>
      </c>
      <c r="B4406" t="s">
        <v>20</v>
      </c>
      <c r="C4406" t="s">
        <v>18</v>
      </c>
      <c r="D4406" t="s">
        <v>14</v>
      </c>
      <c r="E4406">
        <v>0</v>
      </c>
      <c r="F4406">
        <v>0.75</v>
      </c>
      <c r="G4406">
        <v>18.213988542556699</v>
      </c>
      <c r="H4406">
        <v>1</v>
      </c>
      <c r="I4406">
        <v>1</v>
      </c>
      <c r="J4406">
        <v>30</v>
      </c>
    </row>
    <row r="4407" spans="1:10" x14ac:dyDescent="0.25">
      <c r="A4407" t="s">
        <v>24</v>
      </c>
      <c r="B4407" t="s">
        <v>20</v>
      </c>
      <c r="C4407" t="s">
        <v>18</v>
      </c>
      <c r="D4407" t="s">
        <v>14</v>
      </c>
      <c r="E4407">
        <v>9.1575091575091499E-4</v>
      </c>
      <c r="F4407">
        <v>0.75007568257500001</v>
      </c>
      <c r="G4407">
        <v>18.1077029705047</v>
      </c>
      <c r="H4407">
        <v>1</v>
      </c>
      <c r="I4407">
        <v>1</v>
      </c>
      <c r="J4407">
        <v>30</v>
      </c>
    </row>
    <row r="4408" spans="1:10" x14ac:dyDescent="0.25">
      <c r="A4408" t="s">
        <v>24</v>
      </c>
      <c r="B4408" t="s">
        <v>20</v>
      </c>
      <c r="C4408" t="s">
        <v>18</v>
      </c>
      <c r="D4408" t="s">
        <v>14</v>
      </c>
      <c r="E4408">
        <v>0</v>
      </c>
      <c r="F4408">
        <v>0.75</v>
      </c>
      <c r="G4408">
        <v>18.223978757858202</v>
      </c>
      <c r="H4408">
        <v>1</v>
      </c>
      <c r="I4408">
        <v>1</v>
      </c>
      <c r="J4408">
        <v>30</v>
      </c>
    </row>
    <row r="4409" spans="1:10" x14ac:dyDescent="0.25">
      <c r="A4409" t="s">
        <v>24</v>
      </c>
      <c r="B4409" t="s">
        <v>20</v>
      </c>
      <c r="C4409" t="s">
        <v>18</v>
      </c>
      <c r="D4409" t="s">
        <v>14</v>
      </c>
      <c r="E4409">
        <v>0</v>
      </c>
      <c r="F4409">
        <v>0.75</v>
      </c>
      <c r="G4409">
        <v>18.367845058441102</v>
      </c>
      <c r="H4409">
        <v>1</v>
      </c>
      <c r="I4409">
        <v>1</v>
      </c>
      <c r="J4409">
        <v>30</v>
      </c>
    </row>
    <row r="4410" spans="1:10" x14ac:dyDescent="0.25">
      <c r="A4410" t="s">
        <v>24</v>
      </c>
      <c r="B4410" t="s">
        <v>20</v>
      </c>
      <c r="C4410" t="s">
        <v>18</v>
      </c>
      <c r="D4410" t="s">
        <v>14</v>
      </c>
      <c r="E4410">
        <v>0</v>
      </c>
      <c r="F4410">
        <v>0.75</v>
      </c>
      <c r="G4410">
        <v>18.276985168456999</v>
      </c>
      <c r="H4410">
        <v>1</v>
      </c>
      <c r="I4410">
        <v>1</v>
      </c>
      <c r="J4410">
        <v>30</v>
      </c>
    </row>
    <row r="4411" spans="1:10" x14ac:dyDescent="0.25">
      <c r="A4411" t="s">
        <v>24</v>
      </c>
      <c r="B4411" t="s">
        <v>20</v>
      </c>
      <c r="C4411" t="s">
        <v>18</v>
      </c>
      <c r="D4411" t="s">
        <v>14</v>
      </c>
      <c r="E4411">
        <v>9.1575091575091499E-4</v>
      </c>
      <c r="F4411">
        <v>0.75007568257500001</v>
      </c>
      <c r="G4411">
        <v>18.5033421516418</v>
      </c>
      <c r="H4411">
        <v>1</v>
      </c>
      <c r="I4411">
        <v>1</v>
      </c>
      <c r="J4411">
        <v>30</v>
      </c>
    </row>
    <row r="4412" spans="1:10" x14ac:dyDescent="0.25">
      <c r="A4412" t="s">
        <v>24</v>
      </c>
      <c r="B4412" t="s">
        <v>20</v>
      </c>
      <c r="C4412" t="s">
        <v>18</v>
      </c>
      <c r="D4412" t="s">
        <v>15</v>
      </c>
      <c r="E4412">
        <v>0</v>
      </c>
      <c r="F4412">
        <v>0.75</v>
      </c>
      <c r="G4412">
        <v>101.25364971160801</v>
      </c>
      <c r="H4412">
        <v>0</v>
      </c>
      <c r="I4412">
        <v>0</v>
      </c>
      <c r="J4412">
        <v>30</v>
      </c>
    </row>
    <row r="4413" spans="1:10" x14ac:dyDescent="0.25">
      <c r="A4413" t="s">
        <v>24</v>
      </c>
      <c r="B4413" t="s">
        <v>20</v>
      </c>
      <c r="C4413" t="s">
        <v>18</v>
      </c>
      <c r="D4413" t="s">
        <v>15</v>
      </c>
      <c r="E4413">
        <v>0</v>
      </c>
      <c r="F4413">
        <v>0.75</v>
      </c>
      <c r="G4413">
        <v>104.58533167839001</v>
      </c>
      <c r="H4413">
        <v>0</v>
      </c>
      <c r="I4413">
        <v>0</v>
      </c>
      <c r="J4413">
        <v>30</v>
      </c>
    </row>
    <row r="4414" spans="1:10" x14ac:dyDescent="0.25">
      <c r="A4414" t="s">
        <v>24</v>
      </c>
      <c r="B4414" t="s">
        <v>20</v>
      </c>
      <c r="C4414" t="s">
        <v>18</v>
      </c>
      <c r="D4414" t="s">
        <v>15</v>
      </c>
      <c r="E4414">
        <v>0</v>
      </c>
      <c r="F4414">
        <v>0.75</v>
      </c>
      <c r="G4414">
        <v>108.01413106918299</v>
      </c>
      <c r="H4414">
        <v>0</v>
      </c>
      <c r="I4414">
        <v>0</v>
      </c>
      <c r="J4414">
        <v>30</v>
      </c>
    </row>
    <row r="4415" spans="1:10" x14ac:dyDescent="0.25">
      <c r="A4415" t="s">
        <v>24</v>
      </c>
      <c r="B4415" t="s">
        <v>20</v>
      </c>
      <c r="C4415" t="s">
        <v>18</v>
      </c>
      <c r="D4415" t="s">
        <v>15</v>
      </c>
      <c r="E4415">
        <v>0</v>
      </c>
      <c r="F4415">
        <v>0.75</v>
      </c>
      <c r="G4415">
        <v>108.227605581283</v>
      </c>
      <c r="H4415">
        <v>0</v>
      </c>
      <c r="I4415">
        <v>0</v>
      </c>
      <c r="J4415">
        <v>30</v>
      </c>
    </row>
    <row r="4416" spans="1:10" x14ac:dyDescent="0.25">
      <c r="A4416" t="s">
        <v>24</v>
      </c>
      <c r="B4416" t="s">
        <v>20</v>
      </c>
      <c r="C4416" t="s">
        <v>18</v>
      </c>
      <c r="D4416" t="s">
        <v>15</v>
      </c>
      <c r="E4416">
        <v>0</v>
      </c>
      <c r="F4416">
        <v>0.75</v>
      </c>
      <c r="G4416">
        <v>108.82399892807</v>
      </c>
      <c r="H4416">
        <v>0</v>
      </c>
      <c r="I4416">
        <v>0</v>
      </c>
      <c r="J4416">
        <v>30</v>
      </c>
    </row>
    <row r="4417" spans="1:10" x14ac:dyDescent="0.25">
      <c r="A4417" t="s">
        <v>24</v>
      </c>
      <c r="B4417" t="s">
        <v>20</v>
      </c>
      <c r="C4417" t="s">
        <v>18</v>
      </c>
      <c r="D4417" t="s">
        <v>15</v>
      </c>
      <c r="E4417">
        <v>0</v>
      </c>
      <c r="F4417">
        <v>0.75</v>
      </c>
      <c r="G4417">
        <v>111.00152182578999</v>
      </c>
      <c r="H4417">
        <v>0</v>
      </c>
      <c r="I4417">
        <v>0</v>
      </c>
      <c r="J4417">
        <v>30</v>
      </c>
    </row>
    <row r="4418" spans="1:10" x14ac:dyDescent="0.25">
      <c r="A4418" t="s">
        <v>24</v>
      </c>
      <c r="B4418" t="s">
        <v>20</v>
      </c>
      <c r="C4418" t="s">
        <v>18</v>
      </c>
      <c r="D4418" t="s">
        <v>15</v>
      </c>
      <c r="E4418">
        <v>0</v>
      </c>
      <c r="F4418">
        <v>0.75</v>
      </c>
      <c r="G4418">
        <v>111.22891259193401</v>
      </c>
      <c r="H4418">
        <v>0</v>
      </c>
      <c r="I4418">
        <v>0</v>
      </c>
      <c r="J4418">
        <v>30</v>
      </c>
    </row>
    <row r="4419" spans="1:10" x14ac:dyDescent="0.25">
      <c r="A4419" t="s">
        <v>24</v>
      </c>
      <c r="B4419" t="s">
        <v>20</v>
      </c>
      <c r="C4419" t="s">
        <v>18</v>
      </c>
      <c r="D4419" t="s">
        <v>15</v>
      </c>
      <c r="E4419">
        <v>0</v>
      </c>
      <c r="F4419">
        <v>0.75</v>
      </c>
      <c r="G4419">
        <v>111.35047292709299</v>
      </c>
      <c r="H4419">
        <v>0</v>
      </c>
      <c r="I4419">
        <v>0</v>
      </c>
      <c r="J4419">
        <v>30</v>
      </c>
    </row>
    <row r="4420" spans="1:10" x14ac:dyDescent="0.25">
      <c r="A4420" t="s">
        <v>24</v>
      </c>
      <c r="B4420" t="s">
        <v>20</v>
      </c>
      <c r="C4420" t="s">
        <v>18</v>
      </c>
      <c r="D4420" t="s">
        <v>15</v>
      </c>
      <c r="E4420">
        <v>0</v>
      </c>
      <c r="F4420">
        <v>0.75</v>
      </c>
      <c r="G4420">
        <v>113.16398596763599</v>
      </c>
      <c r="H4420">
        <v>0</v>
      </c>
      <c r="I4420">
        <v>0</v>
      </c>
      <c r="J4420">
        <v>30</v>
      </c>
    </row>
    <row r="4421" spans="1:10" x14ac:dyDescent="0.25">
      <c r="A4421" t="s">
        <v>24</v>
      </c>
      <c r="B4421" t="s">
        <v>20</v>
      </c>
      <c r="C4421" t="s">
        <v>18</v>
      </c>
      <c r="D4421" t="s">
        <v>15</v>
      </c>
      <c r="E4421">
        <v>0</v>
      </c>
      <c r="F4421">
        <v>0.75</v>
      </c>
      <c r="G4421">
        <v>113.267500400543</v>
      </c>
      <c r="H4421">
        <v>0</v>
      </c>
      <c r="I4421">
        <v>0</v>
      </c>
      <c r="J4421">
        <v>30</v>
      </c>
    </row>
    <row r="4422" spans="1:10" x14ac:dyDescent="0.25">
      <c r="A4422" t="s">
        <v>24</v>
      </c>
      <c r="B4422" t="s">
        <v>20</v>
      </c>
      <c r="C4422" t="s">
        <v>18</v>
      </c>
      <c r="D4422" t="s">
        <v>15</v>
      </c>
      <c r="E4422">
        <v>0</v>
      </c>
      <c r="F4422">
        <v>0.75</v>
      </c>
      <c r="G4422">
        <v>113.49116969108501</v>
      </c>
      <c r="H4422">
        <v>0</v>
      </c>
      <c r="I4422">
        <v>0</v>
      </c>
      <c r="J4422">
        <v>30</v>
      </c>
    </row>
    <row r="4423" spans="1:10" x14ac:dyDescent="0.25">
      <c r="A4423" t="s">
        <v>24</v>
      </c>
      <c r="B4423" t="s">
        <v>20</v>
      </c>
      <c r="C4423" t="s">
        <v>18</v>
      </c>
      <c r="D4423" t="s">
        <v>15</v>
      </c>
      <c r="E4423">
        <v>0</v>
      </c>
      <c r="F4423">
        <v>0.75</v>
      </c>
      <c r="G4423">
        <v>118.723066806793</v>
      </c>
      <c r="H4423">
        <v>0</v>
      </c>
      <c r="I4423">
        <v>0</v>
      </c>
      <c r="J4423">
        <v>30</v>
      </c>
    </row>
    <row r="4424" spans="1:10" x14ac:dyDescent="0.25">
      <c r="A4424" t="s">
        <v>24</v>
      </c>
      <c r="B4424" t="s">
        <v>20</v>
      </c>
      <c r="C4424" t="s">
        <v>18</v>
      </c>
      <c r="D4424" t="s">
        <v>15</v>
      </c>
      <c r="E4424">
        <v>0</v>
      </c>
      <c r="F4424">
        <v>0.75</v>
      </c>
      <c r="G4424">
        <v>118.99174451828</v>
      </c>
      <c r="H4424">
        <v>0</v>
      </c>
      <c r="I4424">
        <v>0</v>
      </c>
      <c r="J4424">
        <v>30</v>
      </c>
    </row>
    <row r="4425" spans="1:10" x14ac:dyDescent="0.25">
      <c r="A4425" t="s">
        <v>24</v>
      </c>
      <c r="B4425" t="s">
        <v>20</v>
      </c>
      <c r="C4425" t="s">
        <v>18</v>
      </c>
      <c r="D4425" t="s">
        <v>15</v>
      </c>
      <c r="E4425">
        <v>0</v>
      </c>
      <c r="F4425">
        <v>0.75</v>
      </c>
      <c r="G4425">
        <v>122.561337709426</v>
      </c>
      <c r="H4425">
        <v>0</v>
      </c>
      <c r="I4425">
        <v>0</v>
      </c>
      <c r="J4425">
        <v>30</v>
      </c>
    </row>
    <row r="4426" spans="1:10" x14ac:dyDescent="0.25">
      <c r="A4426" t="s">
        <v>24</v>
      </c>
      <c r="B4426" t="s">
        <v>20</v>
      </c>
      <c r="C4426" t="s">
        <v>18</v>
      </c>
      <c r="D4426" t="s">
        <v>15</v>
      </c>
      <c r="E4426">
        <v>0</v>
      </c>
      <c r="F4426">
        <v>0.75</v>
      </c>
      <c r="G4426">
        <v>123.184585809707</v>
      </c>
      <c r="H4426">
        <v>0</v>
      </c>
      <c r="I4426">
        <v>0</v>
      </c>
      <c r="J4426">
        <v>30</v>
      </c>
    </row>
    <row r="4427" spans="1:10" x14ac:dyDescent="0.25">
      <c r="A4427" t="s">
        <v>24</v>
      </c>
      <c r="B4427" t="s">
        <v>20</v>
      </c>
      <c r="C4427" t="s">
        <v>18</v>
      </c>
      <c r="D4427" t="s">
        <v>15</v>
      </c>
      <c r="E4427">
        <v>0</v>
      </c>
      <c r="F4427">
        <v>0.75</v>
      </c>
      <c r="G4427">
        <v>123.94103574752801</v>
      </c>
      <c r="H4427">
        <v>0</v>
      </c>
      <c r="I4427">
        <v>0</v>
      </c>
      <c r="J4427">
        <v>30</v>
      </c>
    </row>
    <row r="4428" spans="1:10" x14ac:dyDescent="0.25">
      <c r="A4428" t="s">
        <v>24</v>
      </c>
      <c r="B4428" t="s">
        <v>20</v>
      </c>
      <c r="C4428" t="s">
        <v>18</v>
      </c>
      <c r="D4428" t="s">
        <v>15</v>
      </c>
      <c r="E4428">
        <v>0</v>
      </c>
      <c r="F4428">
        <v>0.75</v>
      </c>
      <c r="G4428">
        <v>125.103406667709</v>
      </c>
      <c r="H4428">
        <v>0</v>
      </c>
      <c r="I4428">
        <v>0</v>
      </c>
      <c r="J4428">
        <v>30</v>
      </c>
    </row>
    <row r="4429" spans="1:10" x14ac:dyDescent="0.25">
      <c r="A4429" t="s">
        <v>24</v>
      </c>
      <c r="B4429" t="s">
        <v>20</v>
      </c>
      <c r="C4429" t="s">
        <v>18</v>
      </c>
      <c r="D4429" t="s">
        <v>15</v>
      </c>
      <c r="E4429">
        <v>0</v>
      </c>
      <c r="F4429">
        <v>0.75</v>
      </c>
      <c r="G4429">
        <v>125.553797006607</v>
      </c>
      <c r="H4429">
        <v>0</v>
      </c>
      <c r="I4429">
        <v>0</v>
      </c>
      <c r="J4429">
        <v>30</v>
      </c>
    </row>
    <row r="4430" spans="1:10" x14ac:dyDescent="0.25">
      <c r="A4430" t="s">
        <v>24</v>
      </c>
      <c r="B4430" t="s">
        <v>20</v>
      </c>
      <c r="C4430" t="s">
        <v>18</v>
      </c>
      <c r="D4430" t="s">
        <v>15</v>
      </c>
      <c r="E4430">
        <v>0</v>
      </c>
      <c r="F4430">
        <v>0.75</v>
      </c>
      <c r="G4430">
        <v>127.119420528411</v>
      </c>
      <c r="H4430">
        <v>0</v>
      </c>
      <c r="I4430">
        <v>0</v>
      </c>
      <c r="J4430">
        <v>30</v>
      </c>
    </row>
    <row r="4431" spans="1:10" x14ac:dyDescent="0.25">
      <c r="A4431" t="s">
        <v>24</v>
      </c>
      <c r="B4431" t="s">
        <v>20</v>
      </c>
      <c r="C4431" t="s">
        <v>18</v>
      </c>
      <c r="D4431" t="s">
        <v>15</v>
      </c>
      <c r="E4431">
        <v>0</v>
      </c>
      <c r="F4431">
        <v>0.75</v>
      </c>
      <c r="G4431">
        <v>127.819315433502</v>
      </c>
      <c r="H4431">
        <v>0</v>
      </c>
      <c r="I4431">
        <v>0</v>
      </c>
      <c r="J4431">
        <v>30</v>
      </c>
    </row>
    <row r="4432" spans="1:10" x14ac:dyDescent="0.25">
      <c r="A4432" t="s">
        <v>24</v>
      </c>
      <c r="B4432" t="s">
        <v>20</v>
      </c>
      <c r="C4432" t="s">
        <v>18</v>
      </c>
      <c r="D4432" t="s">
        <v>15</v>
      </c>
      <c r="E4432">
        <v>0</v>
      </c>
      <c r="F4432">
        <v>0.75</v>
      </c>
      <c r="G4432">
        <v>130.98710823059</v>
      </c>
      <c r="H4432">
        <v>0</v>
      </c>
      <c r="I4432">
        <v>0</v>
      </c>
      <c r="J4432">
        <v>30</v>
      </c>
    </row>
    <row r="4433" spans="1:10" x14ac:dyDescent="0.25">
      <c r="A4433" t="s">
        <v>24</v>
      </c>
      <c r="B4433" t="s">
        <v>20</v>
      </c>
      <c r="C4433" t="s">
        <v>18</v>
      </c>
      <c r="D4433" t="s">
        <v>15</v>
      </c>
      <c r="E4433">
        <v>0</v>
      </c>
      <c r="F4433">
        <v>0.74995192307692304</v>
      </c>
      <c r="G4433">
        <v>164.05715966224599</v>
      </c>
      <c r="H4433">
        <v>1</v>
      </c>
      <c r="I4433">
        <v>4</v>
      </c>
      <c r="J4433">
        <v>30</v>
      </c>
    </row>
    <row r="4434" spans="1:10" x14ac:dyDescent="0.25">
      <c r="A4434" t="s">
        <v>24</v>
      </c>
      <c r="B4434" t="s">
        <v>20</v>
      </c>
      <c r="C4434" t="s">
        <v>18</v>
      </c>
      <c r="D4434" t="s">
        <v>15</v>
      </c>
      <c r="E4434">
        <v>9.1575091575091499E-4</v>
      </c>
      <c r="F4434">
        <v>0.75003656924093398</v>
      </c>
      <c r="G4434">
        <v>168.59610033035199</v>
      </c>
      <c r="H4434">
        <v>1</v>
      </c>
      <c r="I4434">
        <v>4</v>
      </c>
      <c r="J4434">
        <v>30</v>
      </c>
    </row>
    <row r="4435" spans="1:10" x14ac:dyDescent="0.25">
      <c r="A4435" t="s">
        <v>24</v>
      </c>
      <c r="B4435" t="s">
        <v>20</v>
      </c>
      <c r="C4435" t="s">
        <v>18</v>
      </c>
      <c r="D4435" t="s">
        <v>15</v>
      </c>
      <c r="E4435">
        <v>9.1575091575091499E-4</v>
      </c>
      <c r="F4435">
        <v>0.75004349816849802</v>
      </c>
      <c r="G4435">
        <v>204.78250408172599</v>
      </c>
      <c r="H4435">
        <v>3</v>
      </c>
      <c r="I4435">
        <v>7</v>
      </c>
      <c r="J4435">
        <v>30</v>
      </c>
    </row>
    <row r="4436" spans="1:10" x14ac:dyDescent="0.25">
      <c r="A4436" t="s">
        <v>24</v>
      </c>
      <c r="B4436" t="s">
        <v>20</v>
      </c>
      <c r="C4436" t="s">
        <v>18</v>
      </c>
      <c r="D4436" t="s">
        <v>15</v>
      </c>
      <c r="E4436">
        <v>9.1575091575091499E-4</v>
      </c>
      <c r="F4436">
        <v>0.75004349816849802</v>
      </c>
      <c r="G4436">
        <v>210.34542012214601</v>
      </c>
      <c r="H4436">
        <v>2</v>
      </c>
      <c r="I4436">
        <v>8</v>
      </c>
      <c r="J4436">
        <v>30</v>
      </c>
    </row>
    <row r="4437" spans="1:10" x14ac:dyDescent="0.25">
      <c r="A4437" t="s">
        <v>24</v>
      </c>
      <c r="B4437" t="s">
        <v>20</v>
      </c>
      <c r="C4437" t="s">
        <v>18</v>
      </c>
      <c r="D4437" t="s">
        <v>15</v>
      </c>
      <c r="E4437">
        <v>0</v>
      </c>
      <c r="F4437">
        <v>0.75</v>
      </c>
      <c r="G4437">
        <v>210.65011835098201</v>
      </c>
      <c r="H4437">
        <v>2</v>
      </c>
      <c r="I4437">
        <v>7</v>
      </c>
      <c r="J4437">
        <v>30</v>
      </c>
    </row>
    <row r="4438" spans="1:10" x14ac:dyDescent="0.25">
      <c r="A4438" t="s">
        <v>24</v>
      </c>
      <c r="B4438" t="s">
        <v>20</v>
      </c>
      <c r="C4438" t="s">
        <v>18</v>
      </c>
      <c r="D4438" t="s">
        <v>15</v>
      </c>
      <c r="E4438">
        <v>0</v>
      </c>
      <c r="F4438">
        <v>0.75</v>
      </c>
      <c r="G4438">
        <v>212.07345581054599</v>
      </c>
      <c r="H4438">
        <v>2</v>
      </c>
      <c r="I4438">
        <v>9</v>
      </c>
      <c r="J4438">
        <v>30</v>
      </c>
    </row>
    <row r="4439" spans="1:10" x14ac:dyDescent="0.25">
      <c r="A4439" t="s">
        <v>24</v>
      </c>
      <c r="B4439" t="s">
        <v>20</v>
      </c>
      <c r="C4439" t="s">
        <v>18</v>
      </c>
      <c r="D4439" t="s">
        <v>15</v>
      </c>
      <c r="E4439">
        <v>0</v>
      </c>
      <c r="F4439">
        <v>0.74995192307692304</v>
      </c>
      <c r="G4439">
        <v>224.52548265457099</v>
      </c>
      <c r="H4439">
        <v>4</v>
      </c>
      <c r="I4439">
        <v>11</v>
      </c>
      <c r="J4439">
        <v>30</v>
      </c>
    </row>
    <row r="4440" spans="1:10" x14ac:dyDescent="0.25">
      <c r="A4440" t="s">
        <v>24</v>
      </c>
      <c r="B4440" t="s">
        <v>20</v>
      </c>
      <c r="C4440" t="s">
        <v>18</v>
      </c>
      <c r="D4440" t="s">
        <v>15</v>
      </c>
      <c r="E4440">
        <v>9.1575091575091499E-4</v>
      </c>
      <c r="F4440">
        <v>0.74999542124542096</v>
      </c>
      <c r="G4440">
        <v>225.23895001411401</v>
      </c>
      <c r="H4440">
        <v>3</v>
      </c>
      <c r="I4440">
        <v>10</v>
      </c>
      <c r="J4440">
        <v>30</v>
      </c>
    </row>
    <row r="4441" spans="1:10" x14ac:dyDescent="0.25">
      <c r="A4441" t="s">
        <v>24</v>
      </c>
      <c r="B4441" t="s">
        <v>20</v>
      </c>
      <c r="C4441" t="s">
        <v>18</v>
      </c>
      <c r="D4441" t="s">
        <v>15</v>
      </c>
      <c r="E4441">
        <v>0</v>
      </c>
      <c r="F4441">
        <v>0.74995192307692304</v>
      </c>
      <c r="G4441">
        <v>231.62709069252</v>
      </c>
      <c r="H4441">
        <v>6</v>
      </c>
      <c r="I4441">
        <v>16</v>
      </c>
      <c r="J4441">
        <v>30</v>
      </c>
    </row>
    <row r="4442" spans="1:10" x14ac:dyDescent="0.25">
      <c r="A4442" t="s">
        <v>24</v>
      </c>
      <c r="B4442" t="s">
        <v>20</v>
      </c>
      <c r="C4442" t="s">
        <v>18</v>
      </c>
      <c r="D4442" t="s">
        <v>16</v>
      </c>
      <c r="E4442">
        <v>0</v>
      </c>
      <c r="F4442">
        <v>0.75</v>
      </c>
      <c r="G4442">
        <v>5.8478505611419598</v>
      </c>
      <c r="H4442">
        <v>0</v>
      </c>
      <c r="I4442">
        <v>0</v>
      </c>
      <c r="J4442">
        <v>30</v>
      </c>
    </row>
    <row r="4443" spans="1:10" x14ac:dyDescent="0.25">
      <c r="A4443" t="s">
        <v>24</v>
      </c>
      <c r="B4443" t="s">
        <v>20</v>
      </c>
      <c r="C4443" t="s">
        <v>18</v>
      </c>
      <c r="D4443" t="s">
        <v>16</v>
      </c>
      <c r="E4443">
        <v>0</v>
      </c>
      <c r="F4443">
        <v>0.75</v>
      </c>
      <c r="G4443">
        <v>6.23722195625305</v>
      </c>
      <c r="H4443">
        <v>0</v>
      </c>
      <c r="I4443">
        <v>0</v>
      </c>
      <c r="J4443">
        <v>30</v>
      </c>
    </row>
    <row r="4444" spans="1:10" x14ac:dyDescent="0.25">
      <c r="A4444" t="s">
        <v>24</v>
      </c>
      <c r="B4444" t="s">
        <v>20</v>
      </c>
      <c r="C4444" t="s">
        <v>18</v>
      </c>
      <c r="D4444" t="s">
        <v>16</v>
      </c>
      <c r="E4444">
        <v>0</v>
      </c>
      <c r="F4444">
        <v>0.75</v>
      </c>
      <c r="G4444">
        <v>6.4282567501068097</v>
      </c>
      <c r="H4444">
        <v>0</v>
      </c>
      <c r="I4444">
        <v>0</v>
      </c>
      <c r="J4444">
        <v>30</v>
      </c>
    </row>
    <row r="4445" spans="1:10" x14ac:dyDescent="0.25">
      <c r="A4445" t="s">
        <v>24</v>
      </c>
      <c r="B4445" t="s">
        <v>20</v>
      </c>
      <c r="C4445" t="s">
        <v>18</v>
      </c>
      <c r="D4445" t="s">
        <v>16</v>
      </c>
      <c r="E4445">
        <v>0</v>
      </c>
      <c r="F4445">
        <v>0.75</v>
      </c>
      <c r="G4445">
        <v>6.7377905845642001</v>
      </c>
      <c r="H4445">
        <v>0</v>
      </c>
      <c r="I4445">
        <v>0</v>
      </c>
      <c r="J4445">
        <v>30</v>
      </c>
    </row>
    <row r="4446" spans="1:10" x14ac:dyDescent="0.25">
      <c r="A4446" t="s">
        <v>24</v>
      </c>
      <c r="B4446" t="s">
        <v>20</v>
      </c>
      <c r="C4446" t="s">
        <v>18</v>
      </c>
      <c r="D4446" t="s">
        <v>16</v>
      </c>
      <c r="E4446">
        <v>0</v>
      </c>
      <c r="F4446">
        <v>0.75</v>
      </c>
      <c r="G4446">
        <v>6.8618469238281197</v>
      </c>
      <c r="H4446">
        <v>0</v>
      </c>
      <c r="I4446">
        <v>0</v>
      </c>
      <c r="J4446">
        <v>30</v>
      </c>
    </row>
    <row r="4447" spans="1:10" x14ac:dyDescent="0.25">
      <c r="A4447" t="s">
        <v>24</v>
      </c>
      <c r="B4447" t="s">
        <v>20</v>
      </c>
      <c r="C4447" t="s">
        <v>18</v>
      </c>
      <c r="D4447" t="s">
        <v>16</v>
      </c>
      <c r="E4447">
        <v>0</v>
      </c>
      <c r="F4447">
        <v>0.75</v>
      </c>
      <c r="G4447">
        <v>6.9543209075927699</v>
      </c>
      <c r="H4447">
        <v>0</v>
      </c>
      <c r="I4447">
        <v>0</v>
      </c>
      <c r="J4447">
        <v>30</v>
      </c>
    </row>
    <row r="4448" spans="1:10" x14ac:dyDescent="0.25">
      <c r="A4448" t="s">
        <v>24</v>
      </c>
      <c r="B4448" t="s">
        <v>20</v>
      </c>
      <c r="C4448" t="s">
        <v>18</v>
      </c>
      <c r="D4448" t="s">
        <v>16</v>
      </c>
      <c r="E4448">
        <v>0</v>
      </c>
      <c r="F4448">
        <v>0.75</v>
      </c>
      <c r="G4448">
        <v>7.0018420219421298</v>
      </c>
      <c r="H4448">
        <v>0</v>
      </c>
      <c r="I4448">
        <v>0</v>
      </c>
      <c r="J4448">
        <v>30</v>
      </c>
    </row>
    <row r="4449" spans="1:10" x14ac:dyDescent="0.25">
      <c r="A4449" t="s">
        <v>24</v>
      </c>
      <c r="B4449" t="s">
        <v>20</v>
      </c>
      <c r="C4449" t="s">
        <v>18</v>
      </c>
      <c r="D4449" t="s">
        <v>16</v>
      </c>
      <c r="E4449">
        <v>0</v>
      </c>
      <c r="F4449">
        <v>0.75</v>
      </c>
      <c r="G4449">
        <v>6.9583439826965297</v>
      </c>
      <c r="H4449">
        <v>0</v>
      </c>
      <c r="I4449">
        <v>0</v>
      </c>
      <c r="J4449">
        <v>30</v>
      </c>
    </row>
    <row r="4450" spans="1:10" x14ac:dyDescent="0.25">
      <c r="A4450" t="s">
        <v>24</v>
      </c>
      <c r="B4450" t="s">
        <v>20</v>
      </c>
      <c r="C4450" t="s">
        <v>18</v>
      </c>
      <c r="D4450" t="s">
        <v>16</v>
      </c>
      <c r="E4450">
        <v>0</v>
      </c>
      <c r="F4450">
        <v>0.75</v>
      </c>
      <c r="G4450">
        <v>7.0692563056945801</v>
      </c>
      <c r="H4450">
        <v>0</v>
      </c>
      <c r="I4450">
        <v>0</v>
      </c>
      <c r="J4450">
        <v>30</v>
      </c>
    </row>
    <row r="4451" spans="1:10" x14ac:dyDescent="0.25">
      <c r="A4451" t="s">
        <v>24</v>
      </c>
      <c r="B4451" t="s">
        <v>20</v>
      </c>
      <c r="C4451" t="s">
        <v>18</v>
      </c>
      <c r="D4451" t="s">
        <v>16</v>
      </c>
      <c r="E4451">
        <v>0</v>
      </c>
      <c r="F4451">
        <v>0.75</v>
      </c>
      <c r="G4451">
        <v>7.0446853637695304</v>
      </c>
      <c r="H4451">
        <v>0</v>
      </c>
      <c r="I4451">
        <v>0</v>
      </c>
      <c r="J4451">
        <v>30</v>
      </c>
    </row>
    <row r="4452" spans="1:10" x14ac:dyDescent="0.25">
      <c r="A4452" t="s">
        <v>24</v>
      </c>
      <c r="B4452" t="s">
        <v>20</v>
      </c>
      <c r="C4452" t="s">
        <v>18</v>
      </c>
      <c r="D4452" t="s">
        <v>16</v>
      </c>
      <c r="E4452">
        <v>0</v>
      </c>
      <c r="F4452">
        <v>0.75</v>
      </c>
      <c r="G4452">
        <v>7.3445181846618599</v>
      </c>
      <c r="H4452">
        <v>0</v>
      </c>
      <c r="I4452">
        <v>0</v>
      </c>
      <c r="J4452">
        <v>30</v>
      </c>
    </row>
    <row r="4453" spans="1:10" x14ac:dyDescent="0.25">
      <c r="A4453" t="s">
        <v>24</v>
      </c>
      <c r="B4453" t="s">
        <v>20</v>
      </c>
      <c r="C4453" t="s">
        <v>18</v>
      </c>
      <c r="D4453" t="s">
        <v>16</v>
      </c>
      <c r="E4453">
        <v>0</v>
      </c>
      <c r="F4453">
        <v>0.75</v>
      </c>
      <c r="G4453">
        <v>7.6208443641662598</v>
      </c>
      <c r="H4453">
        <v>0</v>
      </c>
      <c r="I4453">
        <v>0</v>
      </c>
      <c r="J4453">
        <v>30</v>
      </c>
    </row>
    <row r="4454" spans="1:10" x14ac:dyDescent="0.25">
      <c r="A4454" t="s">
        <v>24</v>
      </c>
      <c r="B4454" t="s">
        <v>20</v>
      </c>
      <c r="C4454" t="s">
        <v>18</v>
      </c>
      <c r="D4454" t="s">
        <v>16</v>
      </c>
      <c r="E4454">
        <v>0</v>
      </c>
      <c r="F4454">
        <v>0.75</v>
      </c>
      <c r="G4454">
        <v>7.9520311355590803</v>
      </c>
      <c r="H4454">
        <v>0</v>
      </c>
      <c r="I4454">
        <v>0</v>
      </c>
      <c r="J4454">
        <v>30</v>
      </c>
    </row>
    <row r="4455" spans="1:10" x14ac:dyDescent="0.25">
      <c r="A4455" t="s">
        <v>24</v>
      </c>
      <c r="B4455" t="s">
        <v>20</v>
      </c>
      <c r="C4455" t="s">
        <v>18</v>
      </c>
      <c r="D4455" t="s">
        <v>16</v>
      </c>
      <c r="E4455">
        <v>0</v>
      </c>
      <c r="F4455">
        <v>0.75</v>
      </c>
      <c r="G4455">
        <v>8.0134315490722603</v>
      </c>
      <c r="H4455">
        <v>0</v>
      </c>
      <c r="I4455">
        <v>0</v>
      </c>
      <c r="J4455">
        <v>30</v>
      </c>
    </row>
    <row r="4456" spans="1:10" x14ac:dyDescent="0.25">
      <c r="A4456" t="s">
        <v>24</v>
      </c>
      <c r="B4456" t="s">
        <v>20</v>
      </c>
      <c r="C4456" t="s">
        <v>18</v>
      </c>
      <c r="D4456" t="s">
        <v>16</v>
      </c>
      <c r="E4456">
        <v>0</v>
      </c>
      <c r="F4456">
        <v>0.75</v>
      </c>
      <c r="G4456">
        <v>8.05818271636962</v>
      </c>
      <c r="H4456">
        <v>0</v>
      </c>
      <c r="I4456">
        <v>0</v>
      </c>
      <c r="J4456">
        <v>30</v>
      </c>
    </row>
    <row r="4457" spans="1:10" x14ac:dyDescent="0.25">
      <c r="A4457" t="s">
        <v>24</v>
      </c>
      <c r="B4457" t="s">
        <v>20</v>
      </c>
      <c r="C4457" t="s">
        <v>18</v>
      </c>
      <c r="D4457" t="s">
        <v>16</v>
      </c>
      <c r="E4457">
        <v>0</v>
      </c>
      <c r="F4457">
        <v>0.75</v>
      </c>
      <c r="G4457">
        <v>8.1870222091674805</v>
      </c>
      <c r="H4457">
        <v>0</v>
      </c>
      <c r="I4457">
        <v>0</v>
      </c>
      <c r="J4457">
        <v>30</v>
      </c>
    </row>
    <row r="4458" spans="1:10" x14ac:dyDescent="0.25">
      <c r="A4458" t="s">
        <v>24</v>
      </c>
      <c r="B4458" t="s">
        <v>20</v>
      </c>
      <c r="C4458" t="s">
        <v>18</v>
      </c>
      <c r="D4458" t="s">
        <v>16</v>
      </c>
      <c r="E4458">
        <v>0</v>
      </c>
      <c r="F4458">
        <v>0.75</v>
      </c>
      <c r="G4458">
        <v>8.1242868900299001</v>
      </c>
      <c r="H4458">
        <v>0</v>
      </c>
      <c r="I4458">
        <v>0</v>
      </c>
      <c r="J4458">
        <v>30</v>
      </c>
    </row>
    <row r="4459" spans="1:10" x14ac:dyDescent="0.25">
      <c r="A4459" t="s">
        <v>24</v>
      </c>
      <c r="B4459" t="s">
        <v>20</v>
      </c>
      <c r="C4459" t="s">
        <v>18</v>
      </c>
      <c r="D4459" t="s">
        <v>16</v>
      </c>
      <c r="E4459">
        <v>0</v>
      </c>
      <c r="F4459">
        <v>0.75</v>
      </c>
      <c r="G4459">
        <v>8.2380359172820992</v>
      </c>
      <c r="H4459">
        <v>0</v>
      </c>
      <c r="I4459">
        <v>0</v>
      </c>
      <c r="J4459">
        <v>30</v>
      </c>
    </row>
    <row r="4460" spans="1:10" x14ac:dyDescent="0.25">
      <c r="A4460" t="s">
        <v>24</v>
      </c>
      <c r="B4460" t="s">
        <v>20</v>
      </c>
      <c r="C4460" t="s">
        <v>18</v>
      </c>
      <c r="D4460" t="s">
        <v>16</v>
      </c>
      <c r="E4460">
        <v>0</v>
      </c>
      <c r="F4460">
        <v>0.75</v>
      </c>
      <c r="G4460">
        <v>8.1247417926788295</v>
      </c>
      <c r="H4460">
        <v>0</v>
      </c>
      <c r="I4460">
        <v>0</v>
      </c>
      <c r="J4460">
        <v>30</v>
      </c>
    </row>
    <row r="4461" spans="1:10" x14ac:dyDescent="0.25">
      <c r="A4461" t="s">
        <v>24</v>
      </c>
      <c r="B4461" t="s">
        <v>20</v>
      </c>
      <c r="C4461" t="s">
        <v>18</v>
      </c>
      <c r="D4461" t="s">
        <v>16</v>
      </c>
      <c r="E4461">
        <v>0</v>
      </c>
      <c r="F4461">
        <v>0.75</v>
      </c>
      <c r="G4461">
        <v>8.1296594142913801</v>
      </c>
      <c r="H4461">
        <v>0</v>
      </c>
      <c r="I4461">
        <v>0</v>
      </c>
      <c r="J4461">
        <v>30</v>
      </c>
    </row>
    <row r="4462" spans="1:10" x14ac:dyDescent="0.25">
      <c r="A4462" t="s">
        <v>24</v>
      </c>
      <c r="B4462" t="s">
        <v>20</v>
      </c>
      <c r="C4462" t="s">
        <v>18</v>
      </c>
      <c r="D4462" t="s">
        <v>16</v>
      </c>
      <c r="E4462">
        <v>0</v>
      </c>
      <c r="F4462">
        <v>0.75</v>
      </c>
      <c r="G4462">
        <v>8.1242990493774396</v>
      </c>
      <c r="H4462">
        <v>0</v>
      </c>
      <c r="I4462">
        <v>0</v>
      </c>
      <c r="J4462">
        <v>30</v>
      </c>
    </row>
    <row r="4463" spans="1:10" x14ac:dyDescent="0.25">
      <c r="A4463" t="s">
        <v>24</v>
      </c>
      <c r="B4463" t="s">
        <v>20</v>
      </c>
      <c r="C4463" t="s">
        <v>18</v>
      </c>
      <c r="D4463" t="s">
        <v>16</v>
      </c>
      <c r="E4463">
        <v>0</v>
      </c>
      <c r="F4463">
        <v>0.75</v>
      </c>
      <c r="G4463">
        <v>8.3059422969818097</v>
      </c>
      <c r="H4463">
        <v>0</v>
      </c>
      <c r="I4463">
        <v>0</v>
      </c>
      <c r="J4463">
        <v>30</v>
      </c>
    </row>
    <row r="4464" spans="1:10" x14ac:dyDescent="0.25">
      <c r="A4464" t="s">
        <v>24</v>
      </c>
      <c r="B4464" t="s">
        <v>20</v>
      </c>
      <c r="C4464" t="s">
        <v>18</v>
      </c>
      <c r="D4464" t="s">
        <v>16</v>
      </c>
      <c r="E4464">
        <v>0</v>
      </c>
      <c r="F4464">
        <v>0.75</v>
      </c>
      <c r="G4464">
        <v>8.2683799266815097</v>
      </c>
      <c r="H4464">
        <v>0</v>
      </c>
      <c r="I4464">
        <v>0</v>
      </c>
      <c r="J4464">
        <v>30</v>
      </c>
    </row>
    <row r="4465" spans="1:10" x14ac:dyDescent="0.25">
      <c r="A4465" t="s">
        <v>24</v>
      </c>
      <c r="B4465" t="s">
        <v>20</v>
      </c>
      <c r="C4465" t="s">
        <v>18</v>
      </c>
      <c r="D4465" t="s">
        <v>16</v>
      </c>
      <c r="E4465">
        <v>0</v>
      </c>
      <c r="F4465">
        <v>0.75</v>
      </c>
      <c r="G4465">
        <v>8.2955188751220703</v>
      </c>
      <c r="H4465">
        <v>0</v>
      </c>
      <c r="I4465">
        <v>0</v>
      </c>
      <c r="J4465">
        <v>30</v>
      </c>
    </row>
    <row r="4466" spans="1:10" x14ac:dyDescent="0.25">
      <c r="A4466" t="s">
        <v>24</v>
      </c>
      <c r="B4466" t="s">
        <v>20</v>
      </c>
      <c r="C4466" t="s">
        <v>18</v>
      </c>
      <c r="D4466" t="s">
        <v>16</v>
      </c>
      <c r="E4466">
        <v>0</v>
      </c>
      <c r="F4466">
        <v>0.75</v>
      </c>
      <c r="G4466">
        <v>8.3925080299377406</v>
      </c>
      <c r="H4466">
        <v>0</v>
      </c>
      <c r="I4466">
        <v>0</v>
      </c>
      <c r="J4466">
        <v>30</v>
      </c>
    </row>
    <row r="4467" spans="1:10" x14ac:dyDescent="0.25">
      <c r="A4467" t="s">
        <v>24</v>
      </c>
      <c r="B4467" t="s">
        <v>20</v>
      </c>
      <c r="C4467" t="s">
        <v>18</v>
      </c>
      <c r="D4467" t="s">
        <v>16</v>
      </c>
      <c r="E4467">
        <v>0</v>
      </c>
      <c r="F4467">
        <v>0.75</v>
      </c>
      <c r="G4467">
        <v>8.4473330974578804</v>
      </c>
      <c r="H4467">
        <v>0</v>
      </c>
      <c r="I4467">
        <v>0</v>
      </c>
      <c r="J4467">
        <v>30</v>
      </c>
    </row>
    <row r="4468" spans="1:10" x14ac:dyDescent="0.25">
      <c r="A4468" t="s">
        <v>24</v>
      </c>
      <c r="B4468" t="s">
        <v>20</v>
      </c>
      <c r="C4468" t="s">
        <v>18</v>
      </c>
      <c r="D4468" t="s">
        <v>16</v>
      </c>
      <c r="E4468">
        <v>0</v>
      </c>
      <c r="F4468">
        <v>0.75</v>
      </c>
      <c r="G4468">
        <v>8.4552516937255806</v>
      </c>
      <c r="H4468">
        <v>0</v>
      </c>
      <c r="I4468">
        <v>0</v>
      </c>
      <c r="J4468">
        <v>30</v>
      </c>
    </row>
    <row r="4469" spans="1:10" x14ac:dyDescent="0.25">
      <c r="A4469" t="s">
        <v>24</v>
      </c>
      <c r="B4469" t="s">
        <v>20</v>
      </c>
      <c r="C4469" t="s">
        <v>18</v>
      </c>
      <c r="D4469" t="s">
        <v>16</v>
      </c>
      <c r="E4469">
        <v>0</v>
      </c>
      <c r="F4469">
        <v>0.75</v>
      </c>
      <c r="G4469">
        <v>8.4435281753540004</v>
      </c>
      <c r="H4469">
        <v>0</v>
      </c>
      <c r="I4469">
        <v>0</v>
      </c>
      <c r="J4469">
        <v>30</v>
      </c>
    </row>
    <row r="4470" spans="1:10" x14ac:dyDescent="0.25">
      <c r="A4470" t="s">
        <v>24</v>
      </c>
      <c r="B4470" t="s">
        <v>20</v>
      </c>
      <c r="C4470" t="s">
        <v>18</v>
      </c>
      <c r="D4470" t="s">
        <v>16</v>
      </c>
      <c r="E4470">
        <v>0</v>
      </c>
      <c r="F4470">
        <v>0.75</v>
      </c>
      <c r="G4470">
        <v>8.4926185607910103</v>
      </c>
      <c r="H4470">
        <v>0</v>
      </c>
      <c r="I4470">
        <v>0</v>
      </c>
      <c r="J4470">
        <v>30</v>
      </c>
    </row>
    <row r="4471" spans="1:10" x14ac:dyDescent="0.25">
      <c r="A4471" t="s">
        <v>24</v>
      </c>
      <c r="B4471" t="s">
        <v>20</v>
      </c>
      <c r="C4471" t="s">
        <v>18</v>
      </c>
      <c r="D4471" t="s">
        <v>16</v>
      </c>
      <c r="E4471">
        <v>0</v>
      </c>
      <c r="F4471">
        <v>0.75</v>
      </c>
      <c r="G4471">
        <v>8.5639407634735107</v>
      </c>
      <c r="H4471">
        <v>0</v>
      </c>
      <c r="I4471">
        <v>0</v>
      </c>
      <c r="J4471">
        <v>30</v>
      </c>
    </row>
    <row r="4472" spans="1:10" x14ac:dyDescent="0.25">
      <c r="A4472" t="s">
        <v>24</v>
      </c>
      <c r="B4472" t="s">
        <v>20</v>
      </c>
      <c r="C4472" t="s">
        <v>18</v>
      </c>
      <c r="D4472" t="s">
        <v>17</v>
      </c>
      <c r="E4472">
        <v>0.82142857142857095</v>
      </c>
      <c r="F4472">
        <v>0.865388825215201</v>
      </c>
      <c r="G4472">
        <v>15211.176469325999</v>
      </c>
      <c r="H4472">
        <v>782</v>
      </c>
      <c r="I4472">
        <v>819</v>
      </c>
      <c r="J4472">
        <v>30</v>
      </c>
    </row>
    <row r="4473" spans="1:10" x14ac:dyDescent="0.25">
      <c r="A4473" t="s">
        <v>24</v>
      </c>
      <c r="B4473" t="s">
        <v>20</v>
      </c>
      <c r="C4473" t="s">
        <v>18</v>
      </c>
      <c r="D4473" t="s">
        <v>17</v>
      </c>
      <c r="E4473">
        <v>0.82234432234432198</v>
      </c>
      <c r="F4473">
        <v>0.86280526394276502</v>
      </c>
      <c r="G4473">
        <v>15541.563119173001</v>
      </c>
      <c r="H4473">
        <v>821</v>
      </c>
      <c r="I4473">
        <v>854</v>
      </c>
      <c r="J4473">
        <v>30</v>
      </c>
    </row>
    <row r="4474" spans="1:10" x14ac:dyDescent="0.25">
      <c r="A4474" t="s">
        <v>24</v>
      </c>
      <c r="B4474" t="s">
        <v>20</v>
      </c>
      <c r="C4474" t="s">
        <v>18</v>
      </c>
      <c r="D4474" t="s">
        <v>17</v>
      </c>
      <c r="E4474">
        <v>0.81868131868131799</v>
      </c>
      <c r="F4474">
        <v>0.86925375350512801</v>
      </c>
      <c r="G4474">
        <v>15880.121115922901</v>
      </c>
      <c r="H4474">
        <v>817</v>
      </c>
      <c r="I4474">
        <v>884</v>
      </c>
      <c r="J4474">
        <v>30</v>
      </c>
    </row>
    <row r="4475" spans="1:10" x14ac:dyDescent="0.25">
      <c r="A4475" t="s">
        <v>24</v>
      </c>
      <c r="B4475" t="s">
        <v>20</v>
      </c>
      <c r="C4475" t="s">
        <v>18</v>
      </c>
      <c r="D4475" t="s">
        <v>17</v>
      </c>
      <c r="E4475">
        <v>0.805860805860805</v>
      </c>
      <c r="F4475">
        <v>0.85756514567389996</v>
      </c>
      <c r="G4475">
        <v>16029.2196581363</v>
      </c>
      <c r="H4475">
        <v>795</v>
      </c>
      <c r="I4475">
        <v>847</v>
      </c>
      <c r="J4475">
        <v>30</v>
      </c>
    </row>
    <row r="4476" spans="1:10" x14ac:dyDescent="0.25">
      <c r="A4476" t="s">
        <v>24</v>
      </c>
      <c r="B4476" t="s">
        <v>20</v>
      </c>
      <c r="C4476" t="s">
        <v>18</v>
      </c>
      <c r="D4476" t="s">
        <v>17</v>
      </c>
      <c r="E4476">
        <v>0.80402930402930395</v>
      </c>
      <c r="F4476">
        <v>0.85612662718104304</v>
      </c>
      <c r="G4476">
        <v>16049.1948518753</v>
      </c>
      <c r="H4476">
        <v>832</v>
      </c>
      <c r="I4476">
        <v>912</v>
      </c>
      <c r="J4476">
        <v>30</v>
      </c>
    </row>
    <row r="4477" spans="1:10" x14ac:dyDescent="0.25">
      <c r="A4477" t="s">
        <v>24</v>
      </c>
      <c r="B4477" t="s">
        <v>20</v>
      </c>
      <c r="C4477" t="s">
        <v>18</v>
      </c>
      <c r="D4477" t="s">
        <v>17</v>
      </c>
      <c r="E4477">
        <v>0.81318681318681296</v>
      </c>
      <c r="F4477">
        <v>0.86662035346520105</v>
      </c>
      <c r="G4477">
        <v>16058.847140550601</v>
      </c>
      <c r="H4477">
        <v>843</v>
      </c>
      <c r="I4477">
        <v>910</v>
      </c>
      <c r="J4477">
        <v>30</v>
      </c>
    </row>
    <row r="4478" spans="1:10" x14ac:dyDescent="0.25">
      <c r="A4478" t="s">
        <v>24</v>
      </c>
      <c r="B4478" t="s">
        <v>20</v>
      </c>
      <c r="C4478" t="s">
        <v>18</v>
      </c>
      <c r="D4478" t="s">
        <v>17</v>
      </c>
      <c r="E4478">
        <v>0.83150183150183099</v>
      </c>
      <c r="F4478">
        <v>0.87291951802316803</v>
      </c>
      <c r="G4478">
        <v>16110.1220138072</v>
      </c>
      <c r="H4478">
        <v>862</v>
      </c>
      <c r="I4478">
        <v>916</v>
      </c>
      <c r="J4478">
        <v>30</v>
      </c>
    </row>
    <row r="4479" spans="1:10" x14ac:dyDescent="0.25">
      <c r="A4479" t="s">
        <v>24</v>
      </c>
      <c r="B4479" t="s">
        <v>20</v>
      </c>
      <c r="C4479" t="s">
        <v>18</v>
      </c>
      <c r="D4479" t="s">
        <v>17</v>
      </c>
      <c r="E4479">
        <v>0.81501831501831501</v>
      </c>
      <c r="F4479">
        <v>0.86209426792802102</v>
      </c>
      <c r="G4479">
        <v>16222.199252128599</v>
      </c>
      <c r="H4479">
        <v>863</v>
      </c>
      <c r="I4479">
        <v>876</v>
      </c>
      <c r="J4479">
        <v>30</v>
      </c>
    </row>
    <row r="4480" spans="1:10" x14ac:dyDescent="0.25">
      <c r="A4480" t="s">
        <v>24</v>
      </c>
      <c r="B4480" t="s">
        <v>20</v>
      </c>
      <c r="C4480" t="s">
        <v>18</v>
      </c>
      <c r="D4480" t="s">
        <v>17</v>
      </c>
      <c r="E4480">
        <v>0.81227106227106205</v>
      </c>
      <c r="F4480">
        <v>0.86704433670567704</v>
      </c>
      <c r="G4480">
        <v>16398.403628349301</v>
      </c>
      <c r="H4480">
        <v>849</v>
      </c>
      <c r="I4480">
        <v>925</v>
      </c>
      <c r="J4480">
        <v>30</v>
      </c>
    </row>
    <row r="4481" spans="1:10" x14ac:dyDescent="0.25">
      <c r="A4481" t="s">
        <v>24</v>
      </c>
      <c r="B4481" t="s">
        <v>20</v>
      </c>
      <c r="C4481" t="s">
        <v>18</v>
      </c>
      <c r="D4481" t="s">
        <v>17</v>
      </c>
      <c r="E4481">
        <v>0.79120879120879095</v>
      </c>
      <c r="F4481">
        <v>0.85927015484926705</v>
      </c>
      <c r="G4481">
        <v>16541.602351665399</v>
      </c>
      <c r="H4481">
        <v>826</v>
      </c>
      <c r="I4481">
        <v>914</v>
      </c>
      <c r="J4481">
        <v>30</v>
      </c>
    </row>
    <row r="4482" spans="1:10" x14ac:dyDescent="0.25">
      <c r="A4482" t="s">
        <v>24</v>
      </c>
      <c r="B4482" t="s">
        <v>20</v>
      </c>
      <c r="C4482" t="s">
        <v>18</v>
      </c>
      <c r="D4482" t="s">
        <v>17</v>
      </c>
      <c r="E4482">
        <v>0.82142857142857095</v>
      </c>
      <c r="F4482">
        <v>0.86409480633150104</v>
      </c>
      <c r="G4482">
        <v>16590.739594221101</v>
      </c>
      <c r="H4482">
        <v>837</v>
      </c>
      <c r="I4482">
        <v>903</v>
      </c>
      <c r="J4482">
        <v>30</v>
      </c>
    </row>
    <row r="4483" spans="1:10" x14ac:dyDescent="0.25">
      <c r="A4483" t="s">
        <v>24</v>
      </c>
      <c r="B4483" t="s">
        <v>20</v>
      </c>
      <c r="C4483" t="s">
        <v>18</v>
      </c>
      <c r="D4483" t="s">
        <v>17</v>
      </c>
      <c r="E4483">
        <v>0.81593406593406503</v>
      </c>
      <c r="F4483">
        <v>0.86412838537445003</v>
      </c>
      <c r="G4483">
        <v>16637.375164747202</v>
      </c>
      <c r="H4483">
        <v>834</v>
      </c>
      <c r="I4483">
        <v>886</v>
      </c>
      <c r="J4483">
        <v>30</v>
      </c>
    </row>
    <row r="4484" spans="1:10" x14ac:dyDescent="0.25">
      <c r="A4484" t="s">
        <v>24</v>
      </c>
      <c r="B4484" t="s">
        <v>20</v>
      </c>
      <c r="C4484" t="s">
        <v>18</v>
      </c>
      <c r="D4484" t="s">
        <v>17</v>
      </c>
      <c r="E4484">
        <v>0.79853479853479803</v>
      </c>
      <c r="F4484">
        <v>0.85761695944056704</v>
      </c>
      <c r="G4484">
        <v>16655.8420269489</v>
      </c>
      <c r="H4484">
        <v>878</v>
      </c>
      <c r="I4484">
        <v>944</v>
      </c>
      <c r="J4484">
        <v>30</v>
      </c>
    </row>
    <row r="4485" spans="1:10" x14ac:dyDescent="0.25">
      <c r="A4485" t="s">
        <v>24</v>
      </c>
      <c r="B4485" t="s">
        <v>20</v>
      </c>
      <c r="C4485" t="s">
        <v>18</v>
      </c>
      <c r="D4485" t="s">
        <v>17</v>
      </c>
      <c r="E4485">
        <v>0.83058608058607997</v>
      </c>
      <c r="F4485">
        <v>0.87273270145934001</v>
      </c>
      <c r="G4485">
        <v>16724.894255638101</v>
      </c>
      <c r="H4485">
        <v>853</v>
      </c>
      <c r="I4485">
        <v>917</v>
      </c>
      <c r="J4485">
        <v>30</v>
      </c>
    </row>
    <row r="4486" spans="1:10" x14ac:dyDescent="0.25">
      <c r="A4486" t="s">
        <v>24</v>
      </c>
      <c r="B4486" t="s">
        <v>20</v>
      </c>
      <c r="C4486" t="s">
        <v>18</v>
      </c>
      <c r="D4486" t="s">
        <v>17</v>
      </c>
      <c r="E4486">
        <v>0.79029304029304004</v>
      </c>
      <c r="F4486">
        <v>0.84968929693150097</v>
      </c>
      <c r="G4486">
        <v>16837.143896341298</v>
      </c>
      <c r="H4486">
        <v>850</v>
      </c>
      <c r="I4486">
        <v>905</v>
      </c>
      <c r="J4486">
        <v>30</v>
      </c>
    </row>
    <row r="4487" spans="1:10" x14ac:dyDescent="0.25">
      <c r="A4487" t="s">
        <v>24</v>
      </c>
      <c r="B4487" t="s">
        <v>20</v>
      </c>
      <c r="C4487" t="s">
        <v>18</v>
      </c>
      <c r="D4487" t="s">
        <v>17</v>
      </c>
      <c r="E4487">
        <v>0.78205128205128205</v>
      </c>
      <c r="F4487">
        <v>0.85450133948186802</v>
      </c>
      <c r="G4487">
        <v>16848.361806631001</v>
      </c>
      <c r="H4487">
        <v>828</v>
      </c>
      <c r="I4487">
        <v>897</v>
      </c>
      <c r="J4487">
        <v>30</v>
      </c>
    </row>
    <row r="4488" spans="1:10" x14ac:dyDescent="0.25">
      <c r="A4488" t="s">
        <v>24</v>
      </c>
      <c r="B4488" t="s">
        <v>20</v>
      </c>
      <c r="C4488" t="s">
        <v>18</v>
      </c>
      <c r="D4488" t="s">
        <v>17</v>
      </c>
      <c r="E4488">
        <v>0.81501831501831501</v>
      </c>
      <c r="F4488">
        <v>0.86832867074459597</v>
      </c>
      <c r="G4488">
        <v>16927.8187797069</v>
      </c>
      <c r="H4488">
        <v>830</v>
      </c>
      <c r="I4488">
        <v>876</v>
      </c>
      <c r="J4488">
        <v>30</v>
      </c>
    </row>
    <row r="4489" spans="1:10" x14ac:dyDescent="0.25">
      <c r="A4489" t="s">
        <v>24</v>
      </c>
      <c r="B4489" t="s">
        <v>20</v>
      </c>
      <c r="C4489" t="s">
        <v>18</v>
      </c>
      <c r="D4489" t="s">
        <v>17</v>
      </c>
      <c r="E4489">
        <v>0.81593406593406503</v>
      </c>
      <c r="F4489">
        <v>0.87047233679926705</v>
      </c>
      <c r="G4489">
        <v>16945.150201082201</v>
      </c>
      <c r="H4489">
        <v>826</v>
      </c>
      <c r="I4489">
        <v>898</v>
      </c>
      <c r="J4489">
        <v>30</v>
      </c>
    </row>
    <row r="4490" spans="1:10" x14ac:dyDescent="0.25">
      <c r="A4490" t="s">
        <v>24</v>
      </c>
      <c r="B4490" t="s">
        <v>20</v>
      </c>
      <c r="C4490" t="s">
        <v>18</v>
      </c>
      <c r="D4490" t="s">
        <v>17</v>
      </c>
      <c r="E4490">
        <v>0.80860805860805796</v>
      </c>
      <c r="F4490">
        <v>0.86546439404148301</v>
      </c>
      <c r="G4490">
        <v>16946.379399776401</v>
      </c>
      <c r="H4490">
        <v>875</v>
      </c>
      <c r="I4490">
        <v>929</v>
      </c>
      <c r="J4490">
        <v>30</v>
      </c>
    </row>
    <row r="4491" spans="1:10" x14ac:dyDescent="0.25">
      <c r="A4491" t="s">
        <v>24</v>
      </c>
      <c r="B4491" t="s">
        <v>20</v>
      </c>
      <c r="C4491" t="s">
        <v>18</v>
      </c>
      <c r="D4491" t="s">
        <v>17</v>
      </c>
      <c r="E4491">
        <v>0.77380952380952295</v>
      </c>
      <c r="F4491">
        <v>0.843517601092032</v>
      </c>
      <c r="G4491">
        <v>16949.947783231699</v>
      </c>
      <c r="H4491">
        <v>830</v>
      </c>
      <c r="I4491">
        <v>895</v>
      </c>
      <c r="J4491">
        <v>30</v>
      </c>
    </row>
    <row r="4492" spans="1:10" x14ac:dyDescent="0.25">
      <c r="A4492" t="s">
        <v>24</v>
      </c>
      <c r="B4492" t="s">
        <v>20</v>
      </c>
      <c r="C4492" t="s">
        <v>18</v>
      </c>
      <c r="D4492" t="s">
        <v>17</v>
      </c>
      <c r="E4492">
        <v>0.77747252747252704</v>
      </c>
      <c r="F4492">
        <v>0.846654880036813</v>
      </c>
      <c r="G4492">
        <v>16959.735441446301</v>
      </c>
      <c r="H4492">
        <v>879</v>
      </c>
      <c r="I4492">
        <v>931</v>
      </c>
      <c r="J4492">
        <v>30</v>
      </c>
    </row>
    <row r="4493" spans="1:10" x14ac:dyDescent="0.25">
      <c r="A4493" t="s">
        <v>24</v>
      </c>
      <c r="B4493" t="s">
        <v>20</v>
      </c>
      <c r="C4493" t="s">
        <v>18</v>
      </c>
      <c r="D4493" t="s">
        <v>17</v>
      </c>
      <c r="E4493">
        <v>0.80219780219780201</v>
      </c>
      <c r="F4493">
        <v>0.86403635070366303</v>
      </c>
      <c r="G4493">
        <v>17007.035521745602</v>
      </c>
      <c r="H4493">
        <v>856</v>
      </c>
      <c r="I4493">
        <v>897</v>
      </c>
      <c r="J4493">
        <v>30</v>
      </c>
    </row>
    <row r="4494" spans="1:10" x14ac:dyDescent="0.25">
      <c r="A4494" t="s">
        <v>24</v>
      </c>
      <c r="B4494" t="s">
        <v>20</v>
      </c>
      <c r="C4494" t="s">
        <v>18</v>
      </c>
      <c r="D4494" t="s">
        <v>17</v>
      </c>
      <c r="E4494">
        <v>0.78754578754578697</v>
      </c>
      <c r="F4494">
        <v>0.86166719920769197</v>
      </c>
      <c r="G4494">
        <v>17031.945944309198</v>
      </c>
      <c r="H4494">
        <v>886</v>
      </c>
      <c r="I4494">
        <v>976</v>
      </c>
      <c r="J4494">
        <v>30</v>
      </c>
    </row>
    <row r="4495" spans="1:10" x14ac:dyDescent="0.25">
      <c r="A4495" t="s">
        <v>24</v>
      </c>
      <c r="B4495" t="s">
        <v>20</v>
      </c>
      <c r="C4495" t="s">
        <v>18</v>
      </c>
      <c r="D4495" t="s">
        <v>17</v>
      </c>
      <c r="E4495">
        <v>0.82783882783882701</v>
      </c>
      <c r="F4495">
        <v>0.87772469684908305</v>
      </c>
      <c r="G4495">
        <v>17077.457354784001</v>
      </c>
      <c r="H4495">
        <v>809</v>
      </c>
      <c r="I4495">
        <v>896</v>
      </c>
      <c r="J4495">
        <v>30</v>
      </c>
    </row>
    <row r="4496" spans="1:10" x14ac:dyDescent="0.25">
      <c r="A4496" t="s">
        <v>24</v>
      </c>
      <c r="B4496" t="s">
        <v>20</v>
      </c>
      <c r="C4496" t="s">
        <v>18</v>
      </c>
      <c r="D4496" t="s">
        <v>17</v>
      </c>
      <c r="E4496">
        <v>0.81593406593406503</v>
      </c>
      <c r="F4496">
        <v>0.87055607845970595</v>
      </c>
      <c r="G4496">
        <v>17083.652426958</v>
      </c>
      <c r="H4496">
        <v>921</v>
      </c>
      <c r="I4496">
        <v>994</v>
      </c>
      <c r="J4496">
        <v>30</v>
      </c>
    </row>
    <row r="4497" spans="1:10" x14ac:dyDescent="0.25">
      <c r="A4497" t="s">
        <v>24</v>
      </c>
      <c r="B4497" t="s">
        <v>20</v>
      </c>
      <c r="C4497" t="s">
        <v>18</v>
      </c>
      <c r="D4497" t="s">
        <v>17</v>
      </c>
      <c r="E4497">
        <v>0.77655677655677602</v>
      </c>
      <c r="F4497">
        <v>0.85096506989203202</v>
      </c>
      <c r="G4497">
        <v>17099.5983204841</v>
      </c>
      <c r="H4497">
        <v>849</v>
      </c>
      <c r="I4497">
        <v>903</v>
      </c>
      <c r="J4497">
        <v>30</v>
      </c>
    </row>
    <row r="4498" spans="1:10" x14ac:dyDescent="0.25">
      <c r="A4498" t="s">
        <v>24</v>
      </c>
      <c r="B4498" t="s">
        <v>20</v>
      </c>
      <c r="C4498" t="s">
        <v>18</v>
      </c>
      <c r="D4498" t="s">
        <v>17</v>
      </c>
      <c r="E4498">
        <v>0.81868131868131799</v>
      </c>
      <c r="F4498">
        <v>0.87400396866419405</v>
      </c>
      <c r="G4498">
        <v>17139.8276581764</v>
      </c>
      <c r="H4498">
        <v>900</v>
      </c>
      <c r="I4498">
        <v>968</v>
      </c>
      <c r="J4498">
        <v>30</v>
      </c>
    </row>
    <row r="4499" spans="1:10" x14ac:dyDescent="0.25">
      <c r="A4499" t="s">
        <v>24</v>
      </c>
      <c r="B4499" t="s">
        <v>20</v>
      </c>
      <c r="C4499" t="s">
        <v>18</v>
      </c>
      <c r="D4499" t="s">
        <v>17</v>
      </c>
      <c r="E4499">
        <v>0.81593406593406503</v>
      </c>
      <c r="F4499">
        <v>0.86427865133891901</v>
      </c>
      <c r="G4499">
        <v>17171.697228431702</v>
      </c>
      <c r="H4499">
        <v>882</v>
      </c>
      <c r="I4499">
        <v>959</v>
      </c>
      <c r="J4499">
        <v>30</v>
      </c>
    </row>
    <row r="4500" spans="1:10" x14ac:dyDescent="0.25">
      <c r="A4500" t="s">
        <v>24</v>
      </c>
      <c r="B4500" t="s">
        <v>20</v>
      </c>
      <c r="C4500" t="s">
        <v>18</v>
      </c>
      <c r="D4500" t="s">
        <v>17</v>
      </c>
      <c r="E4500">
        <v>0.79487179487179405</v>
      </c>
      <c r="F4500">
        <v>0.86641839255412001</v>
      </c>
      <c r="G4500">
        <v>17211.381563663399</v>
      </c>
      <c r="H4500">
        <v>920</v>
      </c>
      <c r="I4500">
        <v>985</v>
      </c>
      <c r="J4500">
        <v>30</v>
      </c>
    </row>
    <row r="4501" spans="1:10" x14ac:dyDescent="0.25">
      <c r="A4501" t="s">
        <v>24</v>
      </c>
      <c r="B4501" t="s">
        <v>20</v>
      </c>
      <c r="C4501" t="s">
        <v>18</v>
      </c>
      <c r="D4501" t="s">
        <v>17</v>
      </c>
      <c r="E4501">
        <v>0.78113553113553102</v>
      </c>
      <c r="F4501">
        <v>0.85275454907646397</v>
      </c>
      <c r="G4501">
        <v>17236.068757295601</v>
      </c>
      <c r="H4501">
        <v>928</v>
      </c>
      <c r="I4501">
        <v>1011</v>
      </c>
      <c r="J4501">
        <v>30</v>
      </c>
    </row>
    <row r="4502" spans="1:10" x14ac:dyDescent="0.25">
      <c r="A4502" t="s">
        <v>24</v>
      </c>
      <c r="B4502" t="s">
        <v>21</v>
      </c>
      <c r="C4502" t="s">
        <v>12</v>
      </c>
      <c r="D4502" t="s">
        <v>13</v>
      </c>
      <c r="E4502">
        <v>0.99267399267399203</v>
      </c>
      <c r="F4502">
        <v>0.99284708404358901</v>
      </c>
      <c r="G4502">
        <v>174.75178647041301</v>
      </c>
      <c r="H4502">
        <v>30</v>
      </c>
      <c r="I4502">
        <v>42</v>
      </c>
      <c r="J4502">
        <v>30</v>
      </c>
    </row>
    <row r="4503" spans="1:10" x14ac:dyDescent="0.25">
      <c r="A4503" t="s">
        <v>24</v>
      </c>
      <c r="B4503" t="s">
        <v>21</v>
      </c>
      <c r="C4503" t="s">
        <v>12</v>
      </c>
      <c r="D4503" t="s">
        <v>13</v>
      </c>
      <c r="E4503">
        <v>0.99725274725274704</v>
      </c>
      <c r="F4503">
        <v>0.99694048489313103</v>
      </c>
      <c r="G4503">
        <v>175.90244340896601</v>
      </c>
      <c r="H4503">
        <v>29</v>
      </c>
      <c r="I4503">
        <v>37</v>
      </c>
      <c r="J4503">
        <v>30</v>
      </c>
    </row>
    <row r="4504" spans="1:10" x14ac:dyDescent="0.25">
      <c r="A4504" t="s">
        <v>24</v>
      </c>
      <c r="B4504" t="s">
        <v>21</v>
      </c>
      <c r="C4504" t="s">
        <v>12</v>
      </c>
      <c r="D4504" t="s">
        <v>13</v>
      </c>
      <c r="E4504">
        <v>0.99175824175824101</v>
      </c>
      <c r="F4504">
        <v>0.99226901569294801</v>
      </c>
      <c r="G4504">
        <v>183.32892608642501</v>
      </c>
      <c r="H4504">
        <v>29</v>
      </c>
      <c r="I4504">
        <v>39</v>
      </c>
      <c r="J4504">
        <v>30</v>
      </c>
    </row>
    <row r="4505" spans="1:10" x14ac:dyDescent="0.25">
      <c r="A4505" t="s">
        <v>24</v>
      </c>
      <c r="B4505" t="s">
        <v>21</v>
      </c>
      <c r="C4505" t="s">
        <v>12</v>
      </c>
      <c r="D4505" t="s">
        <v>13</v>
      </c>
      <c r="E4505">
        <v>0.99175824175824101</v>
      </c>
      <c r="F4505">
        <v>0.99239354017380899</v>
      </c>
      <c r="G4505">
        <v>184.16084837913499</v>
      </c>
      <c r="H4505">
        <v>25</v>
      </c>
      <c r="I4505">
        <v>30</v>
      </c>
      <c r="J4505">
        <v>30</v>
      </c>
    </row>
    <row r="4506" spans="1:10" x14ac:dyDescent="0.25">
      <c r="A4506" t="s">
        <v>24</v>
      </c>
      <c r="B4506" t="s">
        <v>21</v>
      </c>
      <c r="C4506" t="s">
        <v>12</v>
      </c>
      <c r="D4506" t="s">
        <v>13</v>
      </c>
      <c r="E4506">
        <v>0.987179487179487</v>
      </c>
      <c r="F4506">
        <v>0.98997253483040204</v>
      </c>
      <c r="G4506">
        <v>184.37838935852</v>
      </c>
      <c r="H4506">
        <v>32</v>
      </c>
      <c r="I4506">
        <v>40</v>
      </c>
      <c r="J4506">
        <v>30</v>
      </c>
    </row>
    <row r="4507" spans="1:10" x14ac:dyDescent="0.25">
      <c r="A4507" t="s">
        <v>24</v>
      </c>
      <c r="B4507" t="s">
        <v>21</v>
      </c>
      <c r="C4507" t="s">
        <v>12</v>
      </c>
      <c r="D4507" t="s">
        <v>13</v>
      </c>
      <c r="E4507">
        <v>0.987179487179487</v>
      </c>
      <c r="F4507">
        <v>0.98704303021153805</v>
      </c>
      <c r="G4507">
        <v>186.69971084594701</v>
      </c>
      <c r="H4507">
        <v>35</v>
      </c>
      <c r="I4507">
        <v>45</v>
      </c>
      <c r="J4507">
        <v>30</v>
      </c>
    </row>
    <row r="4508" spans="1:10" x14ac:dyDescent="0.25">
      <c r="A4508" t="s">
        <v>24</v>
      </c>
      <c r="B4508" t="s">
        <v>21</v>
      </c>
      <c r="C4508" t="s">
        <v>12</v>
      </c>
      <c r="D4508" t="s">
        <v>13</v>
      </c>
      <c r="E4508">
        <v>0.987179487179487</v>
      </c>
      <c r="F4508">
        <v>0.98759169250842405</v>
      </c>
      <c r="G4508">
        <v>185.917551517486</v>
      </c>
      <c r="H4508">
        <v>30</v>
      </c>
      <c r="I4508">
        <v>40</v>
      </c>
      <c r="J4508">
        <v>30</v>
      </c>
    </row>
    <row r="4509" spans="1:10" x14ac:dyDescent="0.25">
      <c r="A4509" t="s">
        <v>24</v>
      </c>
      <c r="B4509" t="s">
        <v>21</v>
      </c>
      <c r="C4509" t="s">
        <v>12</v>
      </c>
      <c r="D4509" t="s">
        <v>13</v>
      </c>
      <c r="E4509">
        <v>0.99542124542124499</v>
      </c>
      <c r="F4509">
        <v>0.99566170841758195</v>
      </c>
      <c r="G4509">
        <v>188.655133962631</v>
      </c>
      <c r="H4509">
        <v>28</v>
      </c>
      <c r="I4509">
        <v>38</v>
      </c>
      <c r="J4509">
        <v>30</v>
      </c>
    </row>
    <row r="4510" spans="1:10" x14ac:dyDescent="0.25">
      <c r="A4510" t="s">
        <v>24</v>
      </c>
      <c r="B4510" t="s">
        <v>21</v>
      </c>
      <c r="C4510" t="s">
        <v>12</v>
      </c>
      <c r="D4510" t="s">
        <v>13</v>
      </c>
      <c r="E4510">
        <v>0.99175824175824101</v>
      </c>
      <c r="F4510">
        <v>0.99128173815824105</v>
      </c>
      <c r="G4510">
        <v>188.84007358551</v>
      </c>
      <c r="H4510">
        <v>32</v>
      </c>
      <c r="I4510">
        <v>43</v>
      </c>
      <c r="J4510">
        <v>30</v>
      </c>
    </row>
    <row r="4511" spans="1:10" x14ac:dyDescent="0.25">
      <c r="A4511" t="s">
        <v>24</v>
      </c>
      <c r="B4511" t="s">
        <v>21</v>
      </c>
      <c r="C4511" t="s">
        <v>12</v>
      </c>
      <c r="D4511" t="s">
        <v>13</v>
      </c>
      <c r="E4511">
        <v>0.99267399267399203</v>
      </c>
      <c r="F4511">
        <v>0.99276326053058594</v>
      </c>
      <c r="G4511">
        <v>192.00808620452801</v>
      </c>
      <c r="H4511">
        <v>32</v>
      </c>
      <c r="I4511">
        <v>43</v>
      </c>
      <c r="J4511">
        <v>30</v>
      </c>
    </row>
    <row r="4512" spans="1:10" x14ac:dyDescent="0.25">
      <c r="A4512" t="s">
        <v>24</v>
      </c>
      <c r="B4512" t="s">
        <v>21</v>
      </c>
      <c r="C4512" t="s">
        <v>12</v>
      </c>
      <c r="D4512" t="s">
        <v>13</v>
      </c>
      <c r="E4512">
        <v>0.99358974358974295</v>
      </c>
      <c r="F4512">
        <v>0.99318691031666595</v>
      </c>
      <c r="G4512">
        <v>192.30900788307099</v>
      </c>
      <c r="H4512">
        <v>29</v>
      </c>
      <c r="I4512">
        <v>38</v>
      </c>
      <c r="J4512">
        <v>30</v>
      </c>
    </row>
    <row r="4513" spans="1:10" x14ac:dyDescent="0.25">
      <c r="A4513" t="s">
        <v>24</v>
      </c>
      <c r="B4513" t="s">
        <v>21</v>
      </c>
      <c r="C4513" t="s">
        <v>12</v>
      </c>
      <c r="D4513" t="s">
        <v>13</v>
      </c>
      <c r="E4513">
        <v>0.99358974358974295</v>
      </c>
      <c r="F4513">
        <v>0.99386449251318598</v>
      </c>
      <c r="G4513">
        <v>193.79653429985001</v>
      </c>
      <c r="H4513">
        <v>29</v>
      </c>
      <c r="I4513">
        <v>39</v>
      </c>
      <c r="J4513">
        <v>30</v>
      </c>
    </row>
    <row r="4514" spans="1:10" x14ac:dyDescent="0.25">
      <c r="A4514" t="s">
        <v>24</v>
      </c>
      <c r="B4514" t="s">
        <v>21</v>
      </c>
      <c r="C4514" t="s">
        <v>12</v>
      </c>
      <c r="D4514" t="s">
        <v>13</v>
      </c>
      <c r="E4514">
        <v>0.99175824175824101</v>
      </c>
      <c r="F4514">
        <v>0.99197435599239903</v>
      </c>
      <c r="G4514">
        <v>195.608204841613</v>
      </c>
      <c r="H4514">
        <v>27</v>
      </c>
      <c r="I4514">
        <v>37</v>
      </c>
      <c r="J4514">
        <v>30</v>
      </c>
    </row>
    <row r="4515" spans="1:10" x14ac:dyDescent="0.25">
      <c r="A4515" t="s">
        <v>24</v>
      </c>
      <c r="B4515" t="s">
        <v>21</v>
      </c>
      <c r="C4515" t="s">
        <v>12</v>
      </c>
      <c r="D4515" t="s">
        <v>13</v>
      </c>
      <c r="E4515">
        <v>0.99175824175824101</v>
      </c>
      <c r="F4515">
        <v>0.99115630767243501</v>
      </c>
      <c r="G4515">
        <v>194.359927892684</v>
      </c>
      <c r="H4515">
        <v>29</v>
      </c>
      <c r="I4515">
        <v>36</v>
      </c>
      <c r="J4515">
        <v>30</v>
      </c>
    </row>
    <row r="4516" spans="1:10" x14ac:dyDescent="0.25">
      <c r="A4516" t="s">
        <v>24</v>
      </c>
      <c r="B4516" t="s">
        <v>21</v>
      </c>
      <c r="C4516" t="s">
        <v>12</v>
      </c>
      <c r="D4516" t="s">
        <v>13</v>
      </c>
      <c r="E4516">
        <v>0.98901098901098905</v>
      </c>
      <c r="F4516">
        <v>0.98970707743800301</v>
      </c>
      <c r="G4516">
        <v>197.96685600280699</v>
      </c>
      <c r="H4516">
        <v>29</v>
      </c>
      <c r="I4516">
        <v>40</v>
      </c>
      <c r="J4516">
        <v>30</v>
      </c>
    </row>
    <row r="4517" spans="1:10" x14ac:dyDescent="0.25">
      <c r="A4517" t="s">
        <v>24</v>
      </c>
      <c r="B4517" t="s">
        <v>21</v>
      </c>
      <c r="C4517" t="s">
        <v>12</v>
      </c>
      <c r="D4517" t="s">
        <v>13</v>
      </c>
      <c r="E4517">
        <v>0.99267399267399203</v>
      </c>
      <c r="F4517">
        <v>0.99293295324642805</v>
      </c>
      <c r="G4517">
        <v>198.06660342216401</v>
      </c>
      <c r="H4517">
        <v>30</v>
      </c>
      <c r="I4517">
        <v>42</v>
      </c>
      <c r="J4517">
        <v>30</v>
      </c>
    </row>
    <row r="4518" spans="1:10" x14ac:dyDescent="0.25">
      <c r="A4518" t="s">
        <v>24</v>
      </c>
      <c r="B4518" t="s">
        <v>21</v>
      </c>
      <c r="C4518" t="s">
        <v>12</v>
      </c>
      <c r="D4518" t="s">
        <v>13</v>
      </c>
      <c r="E4518">
        <v>0.99358974358974295</v>
      </c>
      <c r="F4518">
        <v>0.99427935761501796</v>
      </c>
      <c r="G4518">
        <v>199.741826772689</v>
      </c>
      <c r="H4518">
        <v>30</v>
      </c>
      <c r="I4518">
        <v>35</v>
      </c>
      <c r="J4518">
        <v>30</v>
      </c>
    </row>
    <row r="4519" spans="1:10" x14ac:dyDescent="0.25">
      <c r="A4519" t="s">
        <v>24</v>
      </c>
      <c r="B4519" t="s">
        <v>21</v>
      </c>
      <c r="C4519" t="s">
        <v>12</v>
      </c>
      <c r="D4519" t="s">
        <v>13</v>
      </c>
      <c r="E4519">
        <v>0.99633699633699602</v>
      </c>
      <c r="F4519">
        <v>0.99703889136181301</v>
      </c>
      <c r="G4519">
        <v>200.08515763282699</v>
      </c>
      <c r="H4519">
        <v>30</v>
      </c>
      <c r="I4519">
        <v>42</v>
      </c>
      <c r="J4519">
        <v>30</v>
      </c>
    </row>
    <row r="4520" spans="1:10" x14ac:dyDescent="0.25">
      <c r="A4520" t="s">
        <v>24</v>
      </c>
      <c r="B4520" t="s">
        <v>21</v>
      </c>
      <c r="C4520" t="s">
        <v>12</v>
      </c>
      <c r="D4520" t="s">
        <v>13</v>
      </c>
      <c r="E4520">
        <v>0.99358974358974295</v>
      </c>
      <c r="F4520">
        <v>0.99409770453580504</v>
      </c>
      <c r="G4520">
        <v>199.144769906997</v>
      </c>
      <c r="H4520">
        <v>30</v>
      </c>
      <c r="I4520">
        <v>40</v>
      </c>
      <c r="J4520">
        <v>30</v>
      </c>
    </row>
    <row r="4521" spans="1:10" x14ac:dyDescent="0.25">
      <c r="A4521" t="s">
        <v>24</v>
      </c>
      <c r="B4521" t="s">
        <v>21</v>
      </c>
      <c r="C4521" t="s">
        <v>12</v>
      </c>
      <c r="D4521" t="s">
        <v>13</v>
      </c>
      <c r="E4521">
        <v>0.99084249084248999</v>
      </c>
      <c r="F4521">
        <v>0.99184079465274699</v>
      </c>
      <c r="G4521">
        <v>199.388483524322</v>
      </c>
      <c r="H4521">
        <v>31</v>
      </c>
      <c r="I4521">
        <v>39</v>
      </c>
      <c r="J4521">
        <v>30</v>
      </c>
    </row>
    <row r="4522" spans="1:10" x14ac:dyDescent="0.25">
      <c r="A4522" t="s">
        <v>24</v>
      </c>
      <c r="B4522" t="s">
        <v>21</v>
      </c>
      <c r="C4522" t="s">
        <v>12</v>
      </c>
      <c r="D4522" t="s">
        <v>13</v>
      </c>
      <c r="E4522">
        <v>0.99175824175824101</v>
      </c>
      <c r="F4522">
        <v>0.99188807681437696</v>
      </c>
      <c r="G4522">
        <v>200.99075055122299</v>
      </c>
      <c r="H4522">
        <v>31</v>
      </c>
      <c r="I4522">
        <v>42</v>
      </c>
      <c r="J4522">
        <v>30</v>
      </c>
    </row>
    <row r="4523" spans="1:10" x14ac:dyDescent="0.25">
      <c r="A4523" t="s">
        <v>24</v>
      </c>
      <c r="B4523" t="s">
        <v>21</v>
      </c>
      <c r="C4523" t="s">
        <v>12</v>
      </c>
      <c r="D4523" t="s">
        <v>13</v>
      </c>
      <c r="E4523">
        <v>0.99267399267399203</v>
      </c>
      <c r="F4523">
        <v>0.99194464976721597</v>
      </c>
      <c r="G4523">
        <v>199.86194992065401</v>
      </c>
      <c r="H4523">
        <v>33</v>
      </c>
      <c r="I4523">
        <v>45</v>
      </c>
      <c r="J4523">
        <v>30</v>
      </c>
    </row>
    <row r="4524" spans="1:10" x14ac:dyDescent="0.25">
      <c r="A4524" t="s">
        <v>24</v>
      </c>
      <c r="B4524" t="s">
        <v>21</v>
      </c>
      <c r="C4524" t="s">
        <v>12</v>
      </c>
      <c r="D4524" t="s">
        <v>13</v>
      </c>
      <c r="E4524">
        <v>0.99358974358974295</v>
      </c>
      <c r="F4524">
        <v>0.99330018704770995</v>
      </c>
      <c r="G4524">
        <v>200.79275250434799</v>
      </c>
      <c r="H4524">
        <v>32</v>
      </c>
      <c r="I4524">
        <v>47</v>
      </c>
      <c r="J4524">
        <v>30</v>
      </c>
    </row>
    <row r="4525" spans="1:10" x14ac:dyDescent="0.25">
      <c r="A4525" t="s">
        <v>24</v>
      </c>
      <c r="B4525" t="s">
        <v>21</v>
      </c>
      <c r="C4525" t="s">
        <v>12</v>
      </c>
      <c r="D4525" t="s">
        <v>13</v>
      </c>
      <c r="E4525">
        <v>0.99542124542124499</v>
      </c>
      <c r="F4525">
        <v>0.99498177292985301</v>
      </c>
      <c r="G4525">
        <v>202.61084580421399</v>
      </c>
      <c r="H4525">
        <v>36</v>
      </c>
      <c r="I4525">
        <v>51</v>
      </c>
      <c r="J4525">
        <v>30</v>
      </c>
    </row>
    <row r="4526" spans="1:10" x14ac:dyDescent="0.25">
      <c r="A4526" t="s">
        <v>24</v>
      </c>
      <c r="B4526" t="s">
        <v>21</v>
      </c>
      <c r="C4526" t="s">
        <v>12</v>
      </c>
      <c r="D4526" t="s">
        <v>13</v>
      </c>
      <c r="E4526">
        <v>0.987179487179487</v>
      </c>
      <c r="F4526">
        <v>0.98849050453040199</v>
      </c>
      <c r="G4526">
        <v>202.46354627609199</v>
      </c>
      <c r="H4526">
        <v>33</v>
      </c>
      <c r="I4526">
        <v>42</v>
      </c>
      <c r="J4526">
        <v>30</v>
      </c>
    </row>
    <row r="4527" spans="1:10" x14ac:dyDescent="0.25">
      <c r="A4527" t="s">
        <v>24</v>
      </c>
      <c r="B4527" t="s">
        <v>21</v>
      </c>
      <c r="C4527" t="s">
        <v>12</v>
      </c>
      <c r="D4527" t="s">
        <v>13</v>
      </c>
      <c r="E4527">
        <v>0.99358974358974295</v>
      </c>
      <c r="F4527">
        <v>0.99289936758983499</v>
      </c>
      <c r="G4527">
        <v>203.717179536819</v>
      </c>
      <c r="H4527">
        <v>30</v>
      </c>
      <c r="I4527">
        <v>40</v>
      </c>
      <c r="J4527">
        <v>30</v>
      </c>
    </row>
    <row r="4528" spans="1:10" x14ac:dyDescent="0.25">
      <c r="A4528" t="s">
        <v>24</v>
      </c>
      <c r="B4528" t="s">
        <v>21</v>
      </c>
      <c r="C4528" t="s">
        <v>12</v>
      </c>
      <c r="D4528" t="s">
        <v>13</v>
      </c>
      <c r="E4528">
        <v>0.99175824175824101</v>
      </c>
      <c r="F4528">
        <v>0.99166017549908403</v>
      </c>
      <c r="G4528">
        <v>203.05793809890699</v>
      </c>
      <c r="H4528">
        <v>30</v>
      </c>
      <c r="I4528">
        <v>44</v>
      </c>
      <c r="J4528">
        <v>30</v>
      </c>
    </row>
    <row r="4529" spans="1:10" x14ac:dyDescent="0.25">
      <c r="A4529" t="s">
        <v>24</v>
      </c>
      <c r="B4529" t="s">
        <v>21</v>
      </c>
      <c r="C4529" t="s">
        <v>12</v>
      </c>
      <c r="D4529" t="s">
        <v>13</v>
      </c>
      <c r="E4529">
        <v>0.98992673992673996</v>
      </c>
      <c r="F4529">
        <v>0.98971702328580502</v>
      </c>
      <c r="G4529">
        <v>203.457048892974</v>
      </c>
      <c r="H4529">
        <v>34</v>
      </c>
      <c r="I4529">
        <v>45</v>
      </c>
      <c r="J4529">
        <v>30</v>
      </c>
    </row>
    <row r="4530" spans="1:10" x14ac:dyDescent="0.25">
      <c r="A4530" t="s">
        <v>24</v>
      </c>
      <c r="B4530" t="s">
        <v>21</v>
      </c>
      <c r="C4530" t="s">
        <v>12</v>
      </c>
      <c r="D4530" t="s">
        <v>13</v>
      </c>
      <c r="E4530">
        <v>0.99358974358974295</v>
      </c>
      <c r="F4530">
        <v>0.99330373241153802</v>
      </c>
      <c r="G4530">
        <v>204.75348329543999</v>
      </c>
      <c r="H4530">
        <v>35</v>
      </c>
      <c r="I4530">
        <v>47</v>
      </c>
      <c r="J4530">
        <v>30</v>
      </c>
    </row>
    <row r="4531" spans="1:10" x14ac:dyDescent="0.25">
      <c r="A4531" t="s">
        <v>24</v>
      </c>
      <c r="B4531" t="s">
        <v>21</v>
      </c>
      <c r="C4531" t="s">
        <v>12</v>
      </c>
      <c r="D4531" t="s">
        <v>13</v>
      </c>
      <c r="E4531">
        <v>0.99267399267399203</v>
      </c>
      <c r="F4531">
        <v>0.99276416099065901</v>
      </c>
      <c r="G4531">
        <v>203.63227415084799</v>
      </c>
      <c r="H4531">
        <v>31</v>
      </c>
      <c r="I4531">
        <v>41</v>
      </c>
      <c r="J4531">
        <v>30</v>
      </c>
    </row>
    <row r="4532" spans="1:10" x14ac:dyDescent="0.25">
      <c r="A4532" t="s">
        <v>24</v>
      </c>
      <c r="B4532" t="s">
        <v>21</v>
      </c>
      <c r="C4532" t="s">
        <v>12</v>
      </c>
      <c r="D4532" t="s">
        <v>14</v>
      </c>
      <c r="E4532">
        <v>0</v>
      </c>
      <c r="F4532">
        <v>0.75</v>
      </c>
      <c r="G4532">
        <v>1.5686271190643299</v>
      </c>
      <c r="H4532">
        <v>3</v>
      </c>
      <c r="I4532">
        <v>3</v>
      </c>
      <c r="J4532">
        <v>30</v>
      </c>
    </row>
    <row r="4533" spans="1:10" x14ac:dyDescent="0.25">
      <c r="A4533" t="s">
        <v>24</v>
      </c>
      <c r="B4533" t="s">
        <v>21</v>
      </c>
      <c r="C4533" t="s">
        <v>12</v>
      </c>
      <c r="D4533" t="s">
        <v>14</v>
      </c>
      <c r="E4533">
        <v>9.1575091575091499E-4</v>
      </c>
      <c r="F4533">
        <v>0.75007568257500001</v>
      </c>
      <c r="G4533">
        <v>1.6373829841613701</v>
      </c>
      <c r="H4533">
        <v>3</v>
      </c>
      <c r="I4533">
        <v>3</v>
      </c>
      <c r="J4533">
        <v>30</v>
      </c>
    </row>
    <row r="4534" spans="1:10" x14ac:dyDescent="0.25">
      <c r="A4534" t="s">
        <v>24</v>
      </c>
      <c r="B4534" t="s">
        <v>21</v>
      </c>
      <c r="C4534" t="s">
        <v>12</v>
      </c>
      <c r="D4534" t="s">
        <v>14</v>
      </c>
      <c r="E4534">
        <v>2.7472527472527401E-3</v>
      </c>
      <c r="F4534">
        <v>0.75027600308782005</v>
      </c>
      <c r="G4534">
        <v>1.6781640052795399</v>
      </c>
      <c r="H4534">
        <v>3</v>
      </c>
      <c r="I4534">
        <v>3</v>
      </c>
      <c r="J4534">
        <v>30</v>
      </c>
    </row>
    <row r="4535" spans="1:10" x14ac:dyDescent="0.25">
      <c r="A4535" t="s">
        <v>24</v>
      </c>
      <c r="B4535" t="s">
        <v>21</v>
      </c>
      <c r="C4535" t="s">
        <v>12</v>
      </c>
      <c r="D4535" t="s">
        <v>14</v>
      </c>
      <c r="E4535">
        <v>1.83150183150183E-3</v>
      </c>
      <c r="F4535">
        <v>0.75008699633699605</v>
      </c>
      <c r="G4535">
        <v>1.8758459091186499</v>
      </c>
      <c r="H4535">
        <v>3</v>
      </c>
      <c r="I4535">
        <v>3</v>
      </c>
      <c r="J4535">
        <v>30</v>
      </c>
    </row>
    <row r="4536" spans="1:10" x14ac:dyDescent="0.25">
      <c r="A4536" t="s">
        <v>24</v>
      </c>
      <c r="B4536" t="s">
        <v>21</v>
      </c>
      <c r="C4536" t="s">
        <v>12</v>
      </c>
      <c r="D4536" t="s">
        <v>14</v>
      </c>
      <c r="E4536">
        <v>2.7472527472527401E-3</v>
      </c>
      <c r="F4536">
        <v>0.75018518383131805</v>
      </c>
      <c r="G4536">
        <v>1.9470863342285101</v>
      </c>
      <c r="H4536">
        <v>4</v>
      </c>
      <c r="I4536">
        <v>4</v>
      </c>
      <c r="J4536">
        <v>30</v>
      </c>
    </row>
    <row r="4537" spans="1:10" x14ac:dyDescent="0.25">
      <c r="A4537" t="s">
        <v>24</v>
      </c>
      <c r="B4537" t="s">
        <v>21</v>
      </c>
      <c r="C4537" t="s">
        <v>12</v>
      </c>
      <c r="D4537" t="s">
        <v>14</v>
      </c>
      <c r="E4537">
        <v>9.1575091575091499E-4</v>
      </c>
      <c r="F4537">
        <v>0.75011921261675796</v>
      </c>
      <c r="G4537">
        <v>1.9767363071441599</v>
      </c>
      <c r="H4537">
        <v>4</v>
      </c>
      <c r="I4537">
        <v>4</v>
      </c>
      <c r="J4537">
        <v>30</v>
      </c>
    </row>
    <row r="4538" spans="1:10" x14ac:dyDescent="0.25">
      <c r="A4538" t="s">
        <v>24</v>
      </c>
      <c r="B4538" t="s">
        <v>21</v>
      </c>
      <c r="C4538" t="s">
        <v>12</v>
      </c>
      <c r="D4538" t="s">
        <v>14</v>
      </c>
      <c r="E4538">
        <v>9.1575091575091499E-4</v>
      </c>
      <c r="F4538">
        <v>0.74999542124542096</v>
      </c>
      <c r="G4538">
        <v>1.9169688224792401</v>
      </c>
      <c r="H4538">
        <v>4</v>
      </c>
      <c r="I4538">
        <v>4</v>
      </c>
      <c r="J4538">
        <v>30</v>
      </c>
    </row>
    <row r="4539" spans="1:10" x14ac:dyDescent="0.25">
      <c r="A4539" t="s">
        <v>24</v>
      </c>
      <c r="B4539" t="s">
        <v>21</v>
      </c>
      <c r="C4539" t="s">
        <v>12</v>
      </c>
      <c r="D4539" t="s">
        <v>14</v>
      </c>
      <c r="E4539">
        <v>1.83150183150183E-3</v>
      </c>
      <c r="F4539">
        <v>0.75019489519175797</v>
      </c>
      <c r="G4539">
        <v>1.42447733879089</v>
      </c>
      <c r="H4539">
        <v>3</v>
      </c>
      <c r="I4539">
        <v>3</v>
      </c>
      <c r="J4539">
        <v>30</v>
      </c>
    </row>
    <row r="4540" spans="1:10" x14ac:dyDescent="0.25">
      <c r="A4540" t="s">
        <v>24</v>
      </c>
      <c r="B4540" t="s">
        <v>21</v>
      </c>
      <c r="C4540" t="s">
        <v>12</v>
      </c>
      <c r="D4540" t="s">
        <v>14</v>
      </c>
      <c r="E4540">
        <v>2.7472527472527401E-3</v>
      </c>
      <c r="F4540">
        <v>0.75014223951410197</v>
      </c>
      <c r="G4540">
        <v>1.9861521720886199</v>
      </c>
      <c r="H4540">
        <v>4</v>
      </c>
      <c r="I4540">
        <v>4</v>
      </c>
      <c r="J4540">
        <v>30</v>
      </c>
    </row>
    <row r="4541" spans="1:10" x14ac:dyDescent="0.25">
      <c r="A4541" t="s">
        <v>24</v>
      </c>
      <c r="B4541" t="s">
        <v>21</v>
      </c>
      <c r="C4541" t="s">
        <v>12</v>
      </c>
      <c r="D4541" t="s">
        <v>14</v>
      </c>
      <c r="E4541">
        <v>0</v>
      </c>
      <c r="F4541">
        <v>0.75</v>
      </c>
      <c r="G4541">
        <v>1.8948779106140099</v>
      </c>
      <c r="H4541">
        <v>4</v>
      </c>
      <c r="I4541">
        <v>4</v>
      </c>
      <c r="J4541">
        <v>30</v>
      </c>
    </row>
    <row r="4542" spans="1:10" x14ac:dyDescent="0.25">
      <c r="A4542" t="s">
        <v>24</v>
      </c>
      <c r="B4542" t="s">
        <v>21</v>
      </c>
      <c r="C4542" t="s">
        <v>12</v>
      </c>
      <c r="D4542" t="s">
        <v>14</v>
      </c>
      <c r="E4542">
        <v>0</v>
      </c>
      <c r="F4542">
        <v>0.75</v>
      </c>
      <c r="G4542">
        <v>1.94047427177429</v>
      </c>
      <c r="H4542">
        <v>4</v>
      </c>
      <c r="I4542">
        <v>4</v>
      </c>
      <c r="J4542">
        <v>30</v>
      </c>
    </row>
    <row r="4543" spans="1:10" x14ac:dyDescent="0.25">
      <c r="A4543" t="s">
        <v>24</v>
      </c>
      <c r="B4543" t="s">
        <v>21</v>
      </c>
      <c r="C4543" t="s">
        <v>12</v>
      </c>
      <c r="D4543" t="s">
        <v>14</v>
      </c>
      <c r="E4543">
        <v>9.1575091575091499E-4</v>
      </c>
      <c r="F4543">
        <v>0.75007568257500001</v>
      </c>
      <c r="G4543">
        <v>2.0224545001983598</v>
      </c>
      <c r="H4543">
        <v>4</v>
      </c>
      <c r="I4543">
        <v>4</v>
      </c>
      <c r="J4543">
        <v>30</v>
      </c>
    </row>
    <row r="4544" spans="1:10" x14ac:dyDescent="0.25">
      <c r="A4544" t="s">
        <v>24</v>
      </c>
      <c r="B4544" t="s">
        <v>21</v>
      </c>
      <c r="C4544" t="s">
        <v>12</v>
      </c>
      <c r="D4544" t="s">
        <v>14</v>
      </c>
      <c r="E4544">
        <v>5.4945054945054897E-3</v>
      </c>
      <c r="F4544">
        <v>0.75031892891199603</v>
      </c>
      <c r="G4544">
        <v>2.00329113006591</v>
      </c>
      <c r="H4544">
        <v>4</v>
      </c>
      <c r="I4544">
        <v>4</v>
      </c>
      <c r="J4544">
        <v>30</v>
      </c>
    </row>
    <row r="4545" spans="1:10" x14ac:dyDescent="0.25">
      <c r="A4545" t="s">
        <v>24</v>
      </c>
      <c r="B4545" t="s">
        <v>21</v>
      </c>
      <c r="C4545" t="s">
        <v>12</v>
      </c>
      <c r="D4545" t="s">
        <v>14</v>
      </c>
      <c r="E4545">
        <v>2.7472527472527401E-3</v>
      </c>
      <c r="F4545">
        <v>0.75005837912087903</v>
      </c>
      <c r="G4545">
        <v>1.99772429466247</v>
      </c>
      <c r="H4545">
        <v>4</v>
      </c>
      <c r="I4545">
        <v>4</v>
      </c>
      <c r="J4545">
        <v>30</v>
      </c>
    </row>
    <row r="4546" spans="1:10" x14ac:dyDescent="0.25">
      <c r="A4546" t="s">
        <v>24</v>
      </c>
      <c r="B4546" t="s">
        <v>21</v>
      </c>
      <c r="C4546" t="s">
        <v>12</v>
      </c>
      <c r="D4546" t="s">
        <v>14</v>
      </c>
      <c r="E4546">
        <v>0</v>
      </c>
      <c r="F4546">
        <v>0.75</v>
      </c>
      <c r="G4546">
        <v>1.9778637886047301</v>
      </c>
      <c r="H4546">
        <v>4</v>
      </c>
      <c r="I4546">
        <v>4</v>
      </c>
      <c r="J4546">
        <v>30</v>
      </c>
    </row>
    <row r="4547" spans="1:10" x14ac:dyDescent="0.25">
      <c r="A4547" t="s">
        <v>24</v>
      </c>
      <c r="B4547" t="s">
        <v>21</v>
      </c>
      <c r="C4547" t="s">
        <v>12</v>
      </c>
      <c r="D4547" t="s">
        <v>14</v>
      </c>
      <c r="E4547">
        <v>0</v>
      </c>
      <c r="F4547">
        <v>0.75</v>
      </c>
      <c r="G4547">
        <v>2.0389854907989502</v>
      </c>
      <c r="H4547">
        <v>4</v>
      </c>
      <c r="I4547">
        <v>4</v>
      </c>
      <c r="J4547">
        <v>30</v>
      </c>
    </row>
    <row r="4548" spans="1:10" x14ac:dyDescent="0.25">
      <c r="A4548" t="s">
        <v>24</v>
      </c>
      <c r="B4548" t="s">
        <v>21</v>
      </c>
      <c r="C4548" t="s">
        <v>12</v>
      </c>
      <c r="D4548" t="s">
        <v>14</v>
      </c>
      <c r="E4548">
        <v>0</v>
      </c>
      <c r="F4548">
        <v>0.74990918074349799</v>
      </c>
      <c r="G4548">
        <v>1.94256520271301</v>
      </c>
      <c r="H4548">
        <v>4</v>
      </c>
      <c r="I4548">
        <v>4</v>
      </c>
      <c r="J4548">
        <v>30</v>
      </c>
    </row>
    <row r="4549" spans="1:10" x14ac:dyDescent="0.25">
      <c r="A4549" t="s">
        <v>24</v>
      </c>
      <c r="B4549" t="s">
        <v>21</v>
      </c>
      <c r="C4549" t="s">
        <v>12</v>
      </c>
      <c r="D4549" t="s">
        <v>14</v>
      </c>
      <c r="E4549">
        <v>9.1575091575091499E-4</v>
      </c>
      <c r="F4549">
        <v>0.74999542124542096</v>
      </c>
      <c r="G4549">
        <v>1.94964122772216</v>
      </c>
      <c r="H4549">
        <v>4</v>
      </c>
      <c r="I4549">
        <v>4</v>
      </c>
      <c r="J4549">
        <v>30</v>
      </c>
    </row>
    <row r="4550" spans="1:10" x14ac:dyDescent="0.25">
      <c r="A4550" t="s">
        <v>24</v>
      </c>
      <c r="B4550" t="s">
        <v>21</v>
      </c>
      <c r="C4550" t="s">
        <v>12</v>
      </c>
      <c r="D4550" t="s">
        <v>14</v>
      </c>
      <c r="E4550">
        <v>1.83150183150183E-3</v>
      </c>
      <c r="F4550">
        <v>0.75015136515000003</v>
      </c>
      <c r="G4550">
        <v>2.0480604171752899</v>
      </c>
      <c r="H4550">
        <v>4</v>
      </c>
      <c r="I4550">
        <v>4</v>
      </c>
      <c r="J4550">
        <v>30</v>
      </c>
    </row>
    <row r="4551" spans="1:10" x14ac:dyDescent="0.25">
      <c r="A4551" t="s">
        <v>24</v>
      </c>
      <c r="B4551" t="s">
        <v>21</v>
      </c>
      <c r="C4551" t="s">
        <v>12</v>
      </c>
      <c r="D4551" t="s">
        <v>14</v>
      </c>
      <c r="E4551">
        <v>0</v>
      </c>
      <c r="F4551">
        <v>0.74990918074349799</v>
      </c>
      <c r="G4551">
        <v>1.93348312377929</v>
      </c>
      <c r="H4551">
        <v>4</v>
      </c>
      <c r="I4551">
        <v>4</v>
      </c>
      <c r="J4551">
        <v>30</v>
      </c>
    </row>
    <row r="4552" spans="1:10" x14ac:dyDescent="0.25">
      <c r="A4552" t="s">
        <v>24</v>
      </c>
      <c r="B4552" t="s">
        <v>21</v>
      </c>
      <c r="C4552" t="s">
        <v>12</v>
      </c>
      <c r="D4552" t="s">
        <v>14</v>
      </c>
      <c r="E4552">
        <v>1.83150183150183E-3</v>
      </c>
      <c r="F4552">
        <v>0.75019489519175797</v>
      </c>
      <c r="G4552">
        <v>1.9265558719635001</v>
      </c>
      <c r="H4552">
        <v>4</v>
      </c>
      <c r="I4552">
        <v>4</v>
      </c>
      <c r="J4552">
        <v>30</v>
      </c>
    </row>
    <row r="4553" spans="1:10" x14ac:dyDescent="0.25">
      <c r="A4553" t="s">
        <v>24</v>
      </c>
      <c r="B4553" t="s">
        <v>21</v>
      </c>
      <c r="C4553" t="s">
        <v>12</v>
      </c>
      <c r="D4553" t="s">
        <v>14</v>
      </c>
      <c r="E4553">
        <v>1.83150183150183E-3</v>
      </c>
      <c r="F4553">
        <v>0.75003233125173996</v>
      </c>
      <c r="G4553">
        <v>2.03451371192932</v>
      </c>
      <c r="H4553">
        <v>4</v>
      </c>
      <c r="I4553">
        <v>4</v>
      </c>
      <c r="J4553">
        <v>30</v>
      </c>
    </row>
    <row r="4554" spans="1:10" x14ac:dyDescent="0.25">
      <c r="A4554" t="s">
        <v>24</v>
      </c>
      <c r="B4554" t="s">
        <v>21</v>
      </c>
      <c r="C4554" t="s">
        <v>12</v>
      </c>
      <c r="D4554" t="s">
        <v>14</v>
      </c>
      <c r="E4554">
        <v>0</v>
      </c>
      <c r="F4554">
        <v>0.75</v>
      </c>
      <c r="G4554">
        <v>1.9415540695190401</v>
      </c>
      <c r="H4554">
        <v>4</v>
      </c>
      <c r="I4554">
        <v>4</v>
      </c>
      <c r="J4554">
        <v>30</v>
      </c>
    </row>
    <row r="4555" spans="1:10" x14ac:dyDescent="0.25">
      <c r="A4555" t="s">
        <v>24</v>
      </c>
      <c r="B4555" t="s">
        <v>21</v>
      </c>
      <c r="C4555" t="s">
        <v>12</v>
      </c>
      <c r="D4555" t="s">
        <v>14</v>
      </c>
      <c r="E4555">
        <v>0</v>
      </c>
      <c r="F4555">
        <v>0.74980727358525601</v>
      </c>
      <c r="G4555">
        <v>2.0420181751251198</v>
      </c>
      <c r="H4555">
        <v>4</v>
      </c>
      <c r="I4555">
        <v>4</v>
      </c>
      <c r="J4555">
        <v>30</v>
      </c>
    </row>
    <row r="4556" spans="1:10" x14ac:dyDescent="0.25">
      <c r="A4556" t="s">
        <v>24</v>
      </c>
      <c r="B4556" t="s">
        <v>21</v>
      </c>
      <c r="C4556" t="s">
        <v>12</v>
      </c>
      <c r="D4556" t="s">
        <v>14</v>
      </c>
      <c r="E4556">
        <v>1.83150183150183E-3</v>
      </c>
      <c r="F4556">
        <v>0.75010407593525597</v>
      </c>
      <c r="G4556">
        <v>1.9837007522582999</v>
      </c>
      <c r="H4556">
        <v>4</v>
      </c>
      <c r="I4556">
        <v>4</v>
      </c>
      <c r="J4556">
        <v>30</v>
      </c>
    </row>
    <row r="4557" spans="1:10" x14ac:dyDescent="0.25">
      <c r="A4557" t="s">
        <v>24</v>
      </c>
      <c r="B4557" t="s">
        <v>21</v>
      </c>
      <c r="C4557" t="s">
        <v>12</v>
      </c>
      <c r="D4557" t="s">
        <v>14</v>
      </c>
      <c r="E4557">
        <v>9.1575091575091499E-4</v>
      </c>
      <c r="F4557">
        <v>0.75011921261675796</v>
      </c>
      <c r="G4557">
        <v>1.97566270828247</v>
      </c>
      <c r="H4557">
        <v>4</v>
      </c>
      <c r="I4557">
        <v>4</v>
      </c>
      <c r="J4557">
        <v>30</v>
      </c>
    </row>
    <row r="4558" spans="1:10" x14ac:dyDescent="0.25">
      <c r="A4558" t="s">
        <v>24</v>
      </c>
      <c r="B4558" t="s">
        <v>21</v>
      </c>
      <c r="C4558" t="s">
        <v>12</v>
      </c>
      <c r="D4558" t="s">
        <v>14</v>
      </c>
      <c r="E4558">
        <v>2.7472527472527401E-3</v>
      </c>
      <c r="F4558">
        <v>0.75019031643717904</v>
      </c>
      <c r="G4558">
        <v>2.1473917961120601</v>
      </c>
      <c r="H4558">
        <v>5</v>
      </c>
      <c r="I4558">
        <v>5</v>
      </c>
      <c r="J4558">
        <v>30</v>
      </c>
    </row>
    <row r="4559" spans="1:10" x14ac:dyDescent="0.25">
      <c r="A4559" t="s">
        <v>24</v>
      </c>
      <c r="B4559" t="s">
        <v>21</v>
      </c>
      <c r="C4559" t="s">
        <v>12</v>
      </c>
      <c r="D4559" t="s">
        <v>14</v>
      </c>
      <c r="E4559">
        <v>0</v>
      </c>
      <c r="F4559">
        <v>0.74990918074349799</v>
      </c>
      <c r="G4559">
        <v>1.6429193019866899</v>
      </c>
      <c r="H4559">
        <v>4</v>
      </c>
      <c r="I4559">
        <v>4</v>
      </c>
      <c r="J4559">
        <v>30</v>
      </c>
    </row>
    <row r="4560" spans="1:10" x14ac:dyDescent="0.25">
      <c r="A4560" t="s">
        <v>24</v>
      </c>
      <c r="B4560" t="s">
        <v>21</v>
      </c>
      <c r="C4560" t="s">
        <v>12</v>
      </c>
      <c r="D4560" t="s">
        <v>14</v>
      </c>
      <c r="E4560">
        <v>9.1575091575091499E-4</v>
      </c>
      <c r="F4560">
        <v>0.74993757410375395</v>
      </c>
      <c r="G4560">
        <v>2.1096715927124001</v>
      </c>
      <c r="H4560">
        <v>5</v>
      </c>
      <c r="I4560">
        <v>5</v>
      </c>
      <c r="J4560">
        <v>30</v>
      </c>
    </row>
    <row r="4561" spans="1:10" x14ac:dyDescent="0.25">
      <c r="A4561" t="s">
        <v>24</v>
      </c>
      <c r="B4561" t="s">
        <v>21</v>
      </c>
      <c r="C4561" t="s">
        <v>12</v>
      </c>
      <c r="D4561" t="s">
        <v>14</v>
      </c>
      <c r="E4561">
        <v>0.84523809523809501</v>
      </c>
      <c r="F4561">
        <v>0.92600672534111605</v>
      </c>
      <c r="G4561">
        <v>4.0373251438140798</v>
      </c>
      <c r="H4561">
        <v>20</v>
      </c>
      <c r="I4561">
        <v>19</v>
      </c>
      <c r="J4561">
        <v>30</v>
      </c>
    </row>
    <row r="4562" spans="1:10" x14ac:dyDescent="0.25">
      <c r="A4562" t="s">
        <v>24</v>
      </c>
      <c r="B4562" t="s">
        <v>21</v>
      </c>
      <c r="C4562" t="s">
        <v>12</v>
      </c>
      <c r="D4562" t="s">
        <v>15</v>
      </c>
      <c r="E4562">
        <v>0</v>
      </c>
      <c r="F4562">
        <v>0.75</v>
      </c>
      <c r="G4562">
        <v>15.257316589355399</v>
      </c>
      <c r="H4562">
        <v>0</v>
      </c>
      <c r="I4562">
        <v>0</v>
      </c>
      <c r="J4562">
        <v>30</v>
      </c>
    </row>
    <row r="4563" spans="1:10" x14ac:dyDescent="0.25">
      <c r="A4563" t="s">
        <v>24</v>
      </c>
      <c r="B4563" t="s">
        <v>21</v>
      </c>
      <c r="C4563" t="s">
        <v>12</v>
      </c>
      <c r="D4563" t="s">
        <v>15</v>
      </c>
      <c r="E4563">
        <v>0</v>
      </c>
      <c r="F4563">
        <v>0.75</v>
      </c>
      <c r="G4563">
        <v>16.134992361068701</v>
      </c>
      <c r="H4563">
        <v>0</v>
      </c>
      <c r="I4563">
        <v>0</v>
      </c>
      <c r="J4563">
        <v>30</v>
      </c>
    </row>
    <row r="4564" spans="1:10" x14ac:dyDescent="0.25">
      <c r="A4564" t="s">
        <v>24</v>
      </c>
      <c r="B4564" t="s">
        <v>21</v>
      </c>
      <c r="C4564" t="s">
        <v>12</v>
      </c>
      <c r="D4564" t="s">
        <v>15</v>
      </c>
      <c r="E4564">
        <v>0</v>
      </c>
      <c r="F4564">
        <v>0.75</v>
      </c>
      <c r="G4564">
        <v>16.865100383758499</v>
      </c>
      <c r="H4564">
        <v>0</v>
      </c>
      <c r="I4564">
        <v>0</v>
      </c>
      <c r="J4564">
        <v>30</v>
      </c>
    </row>
    <row r="4565" spans="1:10" x14ac:dyDescent="0.25">
      <c r="A4565" t="s">
        <v>24</v>
      </c>
      <c r="B4565" t="s">
        <v>21</v>
      </c>
      <c r="C4565" t="s">
        <v>12</v>
      </c>
      <c r="D4565" t="s">
        <v>15</v>
      </c>
      <c r="E4565">
        <v>0</v>
      </c>
      <c r="F4565">
        <v>0.75</v>
      </c>
      <c r="G4565">
        <v>17.318630695343</v>
      </c>
      <c r="H4565">
        <v>0</v>
      </c>
      <c r="I4565">
        <v>0</v>
      </c>
      <c r="J4565">
        <v>30</v>
      </c>
    </row>
    <row r="4566" spans="1:10" x14ac:dyDescent="0.25">
      <c r="A4566" t="s">
        <v>24</v>
      </c>
      <c r="B4566" t="s">
        <v>21</v>
      </c>
      <c r="C4566" t="s">
        <v>12</v>
      </c>
      <c r="D4566" t="s">
        <v>15</v>
      </c>
      <c r="E4566">
        <v>0</v>
      </c>
      <c r="F4566">
        <v>0.75</v>
      </c>
      <c r="G4566">
        <v>17.405370712280199</v>
      </c>
      <c r="H4566">
        <v>0</v>
      </c>
      <c r="I4566">
        <v>0</v>
      </c>
      <c r="J4566">
        <v>30</v>
      </c>
    </row>
    <row r="4567" spans="1:10" x14ac:dyDescent="0.25">
      <c r="A4567" t="s">
        <v>24</v>
      </c>
      <c r="B4567" t="s">
        <v>21</v>
      </c>
      <c r="C4567" t="s">
        <v>12</v>
      </c>
      <c r="D4567" t="s">
        <v>15</v>
      </c>
      <c r="E4567">
        <v>0</v>
      </c>
      <c r="F4567">
        <v>0.75</v>
      </c>
      <c r="G4567">
        <v>17.428771495818999</v>
      </c>
      <c r="H4567">
        <v>0</v>
      </c>
      <c r="I4567">
        <v>0</v>
      </c>
      <c r="J4567">
        <v>30</v>
      </c>
    </row>
    <row r="4568" spans="1:10" x14ac:dyDescent="0.25">
      <c r="A4568" t="s">
        <v>24</v>
      </c>
      <c r="B4568" t="s">
        <v>21</v>
      </c>
      <c r="C4568" t="s">
        <v>12</v>
      </c>
      <c r="D4568" t="s">
        <v>15</v>
      </c>
      <c r="E4568">
        <v>0</v>
      </c>
      <c r="F4568">
        <v>0.75</v>
      </c>
      <c r="G4568">
        <v>17.5482516288757</v>
      </c>
      <c r="H4568">
        <v>0</v>
      </c>
      <c r="I4568">
        <v>0</v>
      </c>
      <c r="J4568">
        <v>30</v>
      </c>
    </row>
    <row r="4569" spans="1:10" x14ac:dyDescent="0.25">
      <c r="A4569" t="s">
        <v>24</v>
      </c>
      <c r="B4569" t="s">
        <v>21</v>
      </c>
      <c r="C4569" t="s">
        <v>12</v>
      </c>
      <c r="D4569" t="s">
        <v>15</v>
      </c>
      <c r="E4569">
        <v>0</v>
      </c>
      <c r="F4569">
        <v>0.75</v>
      </c>
      <c r="G4569">
        <v>18.113814830780001</v>
      </c>
      <c r="H4569">
        <v>0</v>
      </c>
      <c r="I4569">
        <v>0</v>
      </c>
      <c r="J4569">
        <v>30</v>
      </c>
    </row>
    <row r="4570" spans="1:10" x14ac:dyDescent="0.25">
      <c r="A4570" t="s">
        <v>24</v>
      </c>
      <c r="B4570" t="s">
        <v>21</v>
      </c>
      <c r="C4570" t="s">
        <v>12</v>
      </c>
      <c r="D4570" t="s">
        <v>15</v>
      </c>
      <c r="E4570">
        <v>0</v>
      </c>
      <c r="F4570">
        <v>0.75</v>
      </c>
      <c r="G4570">
        <v>19.245540857315</v>
      </c>
      <c r="H4570">
        <v>0</v>
      </c>
      <c r="I4570">
        <v>0</v>
      </c>
      <c r="J4570">
        <v>30</v>
      </c>
    </row>
    <row r="4571" spans="1:10" x14ac:dyDescent="0.25">
      <c r="A4571" t="s">
        <v>24</v>
      </c>
      <c r="B4571" t="s">
        <v>21</v>
      </c>
      <c r="C4571" t="s">
        <v>12</v>
      </c>
      <c r="D4571" t="s">
        <v>15</v>
      </c>
      <c r="E4571">
        <v>0</v>
      </c>
      <c r="F4571">
        <v>0.75</v>
      </c>
      <c r="G4571">
        <v>19.3719835281372</v>
      </c>
      <c r="H4571">
        <v>0</v>
      </c>
      <c r="I4571">
        <v>0</v>
      </c>
      <c r="J4571">
        <v>30</v>
      </c>
    </row>
    <row r="4572" spans="1:10" x14ac:dyDescent="0.25">
      <c r="A4572" t="s">
        <v>24</v>
      </c>
      <c r="B4572" t="s">
        <v>21</v>
      </c>
      <c r="C4572" t="s">
        <v>12</v>
      </c>
      <c r="D4572" t="s">
        <v>15</v>
      </c>
      <c r="E4572">
        <v>0</v>
      </c>
      <c r="F4572">
        <v>0.75</v>
      </c>
      <c r="G4572">
        <v>19.4811911582946</v>
      </c>
      <c r="H4572">
        <v>0</v>
      </c>
      <c r="I4572">
        <v>0</v>
      </c>
      <c r="J4572">
        <v>30</v>
      </c>
    </row>
    <row r="4573" spans="1:10" x14ac:dyDescent="0.25">
      <c r="A4573" t="s">
        <v>24</v>
      </c>
      <c r="B4573" t="s">
        <v>21</v>
      </c>
      <c r="C4573" t="s">
        <v>12</v>
      </c>
      <c r="D4573" t="s">
        <v>15</v>
      </c>
      <c r="E4573">
        <v>0</v>
      </c>
      <c r="F4573">
        <v>0.75</v>
      </c>
      <c r="G4573">
        <v>19.955137729644701</v>
      </c>
      <c r="H4573">
        <v>0</v>
      </c>
      <c r="I4573">
        <v>0</v>
      </c>
      <c r="J4573">
        <v>30</v>
      </c>
    </row>
    <row r="4574" spans="1:10" x14ac:dyDescent="0.25">
      <c r="A4574" t="s">
        <v>24</v>
      </c>
      <c r="B4574" t="s">
        <v>21</v>
      </c>
      <c r="C4574" t="s">
        <v>12</v>
      </c>
      <c r="D4574" t="s">
        <v>15</v>
      </c>
      <c r="E4574">
        <v>0</v>
      </c>
      <c r="F4574">
        <v>0.75</v>
      </c>
      <c r="G4574">
        <v>25.589993953704798</v>
      </c>
      <c r="H4574">
        <v>1</v>
      </c>
      <c r="I4574">
        <v>3</v>
      </c>
      <c r="J4574">
        <v>30</v>
      </c>
    </row>
    <row r="4575" spans="1:10" x14ac:dyDescent="0.25">
      <c r="A4575" t="s">
        <v>24</v>
      </c>
      <c r="B4575" t="s">
        <v>21</v>
      </c>
      <c r="C4575" t="s">
        <v>12</v>
      </c>
      <c r="D4575" t="s">
        <v>15</v>
      </c>
      <c r="E4575">
        <v>0</v>
      </c>
      <c r="F4575">
        <v>0.75</v>
      </c>
      <c r="G4575">
        <v>26.0073065757751</v>
      </c>
      <c r="H4575">
        <v>0</v>
      </c>
      <c r="I4575">
        <v>0</v>
      </c>
      <c r="J4575">
        <v>30</v>
      </c>
    </row>
    <row r="4576" spans="1:10" x14ac:dyDescent="0.25">
      <c r="A4576" t="s">
        <v>24</v>
      </c>
      <c r="B4576" t="s">
        <v>21</v>
      </c>
      <c r="C4576" t="s">
        <v>12</v>
      </c>
      <c r="D4576" t="s">
        <v>15</v>
      </c>
      <c r="E4576">
        <v>0</v>
      </c>
      <c r="F4576">
        <v>0.75</v>
      </c>
      <c r="G4576">
        <v>28.062561511993401</v>
      </c>
      <c r="H4576">
        <v>0</v>
      </c>
      <c r="I4576">
        <v>0</v>
      </c>
      <c r="J4576">
        <v>30</v>
      </c>
    </row>
    <row r="4577" spans="1:10" x14ac:dyDescent="0.25">
      <c r="A4577" t="s">
        <v>24</v>
      </c>
      <c r="B4577" t="s">
        <v>21</v>
      </c>
      <c r="C4577" t="s">
        <v>12</v>
      </c>
      <c r="D4577" t="s">
        <v>15</v>
      </c>
      <c r="E4577">
        <v>0</v>
      </c>
      <c r="F4577">
        <v>0.75</v>
      </c>
      <c r="G4577">
        <v>28.700267076492299</v>
      </c>
      <c r="H4577">
        <v>0</v>
      </c>
      <c r="I4577">
        <v>0</v>
      </c>
      <c r="J4577">
        <v>30</v>
      </c>
    </row>
    <row r="4578" spans="1:10" x14ac:dyDescent="0.25">
      <c r="A4578" t="s">
        <v>24</v>
      </c>
      <c r="B4578" t="s">
        <v>21</v>
      </c>
      <c r="C4578" t="s">
        <v>12</v>
      </c>
      <c r="D4578" t="s">
        <v>15</v>
      </c>
      <c r="E4578">
        <v>0</v>
      </c>
      <c r="F4578">
        <v>0.75</v>
      </c>
      <c r="G4578">
        <v>30.5491607189178</v>
      </c>
      <c r="H4578">
        <v>0</v>
      </c>
      <c r="I4578">
        <v>0</v>
      </c>
      <c r="J4578">
        <v>30</v>
      </c>
    </row>
    <row r="4579" spans="1:10" x14ac:dyDescent="0.25">
      <c r="A4579" t="s">
        <v>24</v>
      </c>
      <c r="B4579" t="s">
        <v>21</v>
      </c>
      <c r="C4579" t="s">
        <v>12</v>
      </c>
      <c r="D4579" t="s">
        <v>15</v>
      </c>
      <c r="E4579">
        <v>0</v>
      </c>
      <c r="F4579">
        <v>0.75</v>
      </c>
      <c r="G4579">
        <v>35.380566120147698</v>
      </c>
      <c r="H4579">
        <v>0</v>
      </c>
      <c r="I4579">
        <v>0</v>
      </c>
      <c r="J4579">
        <v>30</v>
      </c>
    </row>
    <row r="4580" spans="1:10" x14ac:dyDescent="0.25">
      <c r="A4580" t="s">
        <v>24</v>
      </c>
      <c r="B4580" t="s">
        <v>21</v>
      </c>
      <c r="C4580" t="s">
        <v>12</v>
      </c>
      <c r="D4580" t="s">
        <v>15</v>
      </c>
      <c r="E4580">
        <v>0</v>
      </c>
      <c r="F4580">
        <v>0.75</v>
      </c>
      <c r="G4580">
        <v>36.261803865432697</v>
      </c>
      <c r="H4580">
        <v>0</v>
      </c>
      <c r="I4580">
        <v>0</v>
      </c>
      <c r="J4580">
        <v>30</v>
      </c>
    </row>
    <row r="4581" spans="1:10" x14ac:dyDescent="0.25">
      <c r="A4581" t="s">
        <v>24</v>
      </c>
      <c r="B4581" t="s">
        <v>21</v>
      </c>
      <c r="C4581" t="s">
        <v>12</v>
      </c>
      <c r="D4581" t="s">
        <v>15</v>
      </c>
      <c r="E4581">
        <v>0</v>
      </c>
      <c r="F4581">
        <v>0.75</v>
      </c>
      <c r="G4581">
        <v>36.392068624496403</v>
      </c>
      <c r="H4581">
        <v>0</v>
      </c>
      <c r="I4581">
        <v>0</v>
      </c>
      <c r="J4581">
        <v>30</v>
      </c>
    </row>
    <row r="4582" spans="1:10" x14ac:dyDescent="0.25">
      <c r="A4582" t="s">
        <v>24</v>
      </c>
      <c r="B4582" t="s">
        <v>21</v>
      </c>
      <c r="C4582" t="s">
        <v>12</v>
      </c>
      <c r="D4582" t="s">
        <v>15</v>
      </c>
      <c r="E4582">
        <v>0</v>
      </c>
      <c r="F4582">
        <v>0.75</v>
      </c>
      <c r="G4582">
        <v>37.392263889312702</v>
      </c>
      <c r="H4582">
        <v>0</v>
      </c>
      <c r="I4582">
        <v>0</v>
      </c>
      <c r="J4582">
        <v>30</v>
      </c>
    </row>
    <row r="4583" spans="1:10" x14ac:dyDescent="0.25">
      <c r="A4583" t="s">
        <v>24</v>
      </c>
      <c r="B4583" t="s">
        <v>21</v>
      </c>
      <c r="C4583" t="s">
        <v>12</v>
      </c>
      <c r="D4583" t="s">
        <v>15</v>
      </c>
      <c r="E4583">
        <v>0</v>
      </c>
      <c r="F4583">
        <v>0.75</v>
      </c>
      <c r="G4583">
        <v>37.7497844696044</v>
      </c>
      <c r="H4583">
        <v>2</v>
      </c>
      <c r="I4583">
        <v>6</v>
      </c>
      <c r="J4583">
        <v>30</v>
      </c>
    </row>
    <row r="4584" spans="1:10" x14ac:dyDescent="0.25">
      <c r="A4584" t="s">
        <v>24</v>
      </c>
      <c r="B4584" t="s">
        <v>21</v>
      </c>
      <c r="C4584" t="s">
        <v>12</v>
      </c>
      <c r="D4584" t="s">
        <v>15</v>
      </c>
      <c r="E4584">
        <v>0</v>
      </c>
      <c r="F4584">
        <v>0.75</v>
      </c>
      <c r="G4584">
        <v>40.898672580718902</v>
      </c>
      <c r="H4584">
        <v>0</v>
      </c>
      <c r="I4584">
        <v>0</v>
      </c>
      <c r="J4584">
        <v>30</v>
      </c>
    </row>
    <row r="4585" spans="1:10" x14ac:dyDescent="0.25">
      <c r="A4585" t="s">
        <v>24</v>
      </c>
      <c r="B4585" t="s">
        <v>21</v>
      </c>
      <c r="C4585" t="s">
        <v>12</v>
      </c>
      <c r="D4585" t="s">
        <v>15</v>
      </c>
      <c r="E4585">
        <v>0</v>
      </c>
      <c r="F4585">
        <v>0.75</v>
      </c>
      <c r="G4585">
        <v>41.2613878250122</v>
      </c>
      <c r="H4585">
        <v>0</v>
      </c>
      <c r="I4585">
        <v>0</v>
      </c>
      <c r="J4585">
        <v>30</v>
      </c>
    </row>
    <row r="4586" spans="1:10" x14ac:dyDescent="0.25">
      <c r="A4586" t="s">
        <v>24</v>
      </c>
      <c r="B4586" t="s">
        <v>21</v>
      </c>
      <c r="C4586" t="s">
        <v>12</v>
      </c>
      <c r="D4586" t="s">
        <v>15</v>
      </c>
      <c r="E4586">
        <v>0</v>
      </c>
      <c r="F4586">
        <v>0.75</v>
      </c>
      <c r="G4586">
        <v>42.638255834579397</v>
      </c>
      <c r="H4586">
        <v>1</v>
      </c>
      <c r="I4586">
        <v>2</v>
      </c>
      <c r="J4586">
        <v>30</v>
      </c>
    </row>
    <row r="4587" spans="1:10" x14ac:dyDescent="0.25">
      <c r="A4587" t="s">
        <v>24</v>
      </c>
      <c r="B4587" t="s">
        <v>21</v>
      </c>
      <c r="C4587" t="s">
        <v>12</v>
      </c>
      <c r="D4587" t="s">
        <v>15</v>
      </c>
      <c r="E4587">
        <v>9.1575091575091499E-4</v>
      </c>
      <c r="F4587">
        <v>0.75006502134944997</v>
      </c>
      <c r="G4587">
        <v>45.671214342117302</v>
      </c>
      <c r="H4587">
        <v>2</v>
      </c>
      <c r="I4587">
        <v>5</v>
      </c>
      <c r="J4587">
        <v>30</v>
      </c>
    </row>
    <row r="4588" spans="1:10" x14ac:dyDescent="0.25">
      <c r="A4588" t="s">
        <v>24</v>
      </c>
      <c r="B4588" t="s">
        <v>21</v>
      </c>
      <c r="C4588" t="s">
        <v>12</v>
      </c>
      <c r="D4588" t="s">
        <v>15</v>
      </c>
      <c r="E4588">
        <v>9.1575091575091499E-4</v>
      </c>
      <c r="F4588">
        <v>0.74999542124542096</v>
      </c>
      <c r="G4588">
        <v>46.318953990936201</v>
      </c>
      <c r="H4588">
        <v>4</v>
      </c>
      <c r="I4588">
        <v>13</v>
      </c>
      <c r="J4588">
        <v>30</v>
      </c>
    </row>
    <row r="4589" spans="1:10" x14ac:dyDescent="0.25">
      <c r="A4589" t="s">
        <v>24</v>
      </c>
      <c r="B4589" t="s">
        <v>21</v>
      </c>
      <c r="C4589" t="s">
        <v>12</v>
      </c>
      <c r="D4589" t="s">
        <v>15</v>
      </c>
      <c r="E4589">
        <v>1.83150183150183E-3</v>
      </c>
      <c r="F4589">
        <v>0.75008699633699605</v>
      </c>
      <c r="G4589">
        <v>48.711528301238999</v>
      </c>
      <c r="H4589">
        <v>3</v>
      </c>
      <c r="I4589">
        <v>9</v>
      </c>
      <c r="J4589">
        <v>30</v>
      </c>
    </row>
    <row r="4590" spans="1:10" x14ac:dyDescent="0.25">
      <c r="A4590" t="s">
        <v>24</v>
      </c>
      <c r="B4590" t="s">
        <v>21</v>
      </c>
      <c r="C4590" t="s">
        <v>12</v>
      </c>
      <c r="D4590" t="s">
        <v>15</v>
      </c>
      <c r="E4590">
        <v>0</v>
      </c>
      <c r="F4590">
        <v>0.75</v>
      </c>
      <c r="G4590">
        <v>50.951515913009601</v>
      </c>
      <c r="H4590">
        <v>5</v>
      </c>
      <c r="I4590">
        <v>14</v>
      </c>
      <c r="J4590">
        <v>30</v>
      </c>
    </row>
    <row r="4591" spans="1:10" x14ac:dyDescent="0.25">
      <c r="A4591" t="s">
        <v>24</v>
      </c>
      <c r="B4591" t="s">
        <v>21</v>
      </c>
      <c r="C4591" t="s">
        <v>12</v>
      </c>
      <c r="D4591" t="s">
        <v>15</v>
      </c>
      <c r="E4591">
        <v>9.1575091575091499E-4</v>
      </c>
      <c r="F4591">
        <v>0.74999542124542096</v>
      </c>
      <c r="G4591">
        <v>52.800539493560699</v>
      </c>
      <c r="H4591">
        <v>6</v>
      </c>
      <c r="I4591">
        <v>16</v>
      </c>
      <c r="J4591">
        <v>30</v>
      </c>
    </row>
    <row r="4592" spans="1:10" x14ac:dyDescent="0.25">
      <c r="A4592" t="s">
        <v>24</v>
      </c>
      <c r="B4592" t="s">
        <v>21</v>
      </c>
      <c r="C4592" t="s">
        <v>12</v>
      </c>
      <c r="D4592" t="s">
        <v>16</v>
      </c>
      <c r="E4592">
        <v>0</v>
      </c>
      <c r="F4592">
        <v>0.75</v>
      </c>
      <c r="G4592">
        <v>0.65694499015808105</v>
      </c>
      <c r="H4592">
        <v>0</v>
      </c>
      <c r="I4592">
        <v>0</v>
      </c>
      <c r="J4592">
        <v>30</v>
      </c>
    </row>
    <row r="4593" spans="1:10" x14ac:dyDescent="0.25">
      <c r="A4593" t="s">
        <v>24</v>
      </c>
      <c r="B4593" t="s">
        <v>21</v>
      </c>
      <c r="C4593" t="s">
        <v>12</v>
      </c>
      <c r="D4593" t="s">
        <v>16</v>
      </c>
      <c r="E4593">
        <v>0</v>
      </c>
      <c r="F4593">
        <v>0.75</v>
      </c>
      <c r="G4593">
        <v>0.74435305595397905</v>
      </c>
      <c r="H4593">
        <v>0</v>
      </c>
      <c r="I4593">
        <v>0</v>
      </c>
      <c r="J4593">
        <v>30</v>
      </c>
    </row>
    <row r="4594" spans="1:10" x14ac:dyDescent="0.25">
      <c r="A4594" t="s">
        <v>24</v>
      </c>
      <c r="B4594" t="s">
        <v>21</v>
      </c>
      <c r="C4594" t="s">
        <v>12</v>
      </c>
      <c r="D4594" t="s">
        <v>16</v>
      </c>
      <c r="E4594">
        <v>0</v>
      </c>
      <c r="F4594">
        <v>0.75</v>
      </c>
      <c r="G4594">
        <v>0.70516395568847601</v>
      </c>
      <c r="H4594">
        <v>0</v>
      </c>
      <c r="I4594">
        <v>0</v>
      </c>
      <c r="J4594">
        <v>30</v>
      </c>
    </row>
    <row r="4595" spans="1:10" x14ac:dyDescent="0.25">
      <c r="A4595" t="s">
        <v>24</v>
      </c>
      <c r="B4595" t="s">
        <v>21</v>
      </c>
      <c r="C4595" t="s">
        <v>12</v>
      </c>
      <c r="D4595" t="s">
        <v>16</v>
      </c>
      <c r="E4595">
        <v>0</v>
      </c>
      <c r="F4595">
        <v>0.75</v>
      </c>
      <c r="G4595">
        <v>0.77944707870483398</v>
      </c>
      <c r="H4595">
        <v>0</v>
      </c>
      <c r="I4595">
        <v>0</v>
      </c>
      <c r="J4595">
        <v>30</v>
      </c>
    </row>
    <row r="4596" spans="1:10" x14ac:dyDescent="0.25">
      <c r="A4596" t="s">
        <v>24</v>
      </c>
      <c r="B4596" t="s">
        <v>21</v>
      </c>
      <c r="C4596" t="s">
        <v>12</v>
      </c>
      <c r="D4596" t="s">
        <v>16</v>
      </c>
      <c r="E4596">
        <v>0</v>
      </c>
      <c r="F4596">
        <v>0.75</v>
      </c>
      <c r="G4596">
        <v>0.82050871849060003</v>
      </c>
      <c r="H4596">
        <v>0</v>
      </c>
      <c r="I4596">
        <v>0</v>
      </c>
      <c r="J4596">
        <v>30</v>
      </c>
    </row>
    <row r="4597" spans="1:10" x14ac:dyDescent="0.25">
      <c r="A4597" t="s">
        <v>24</v>
      </c>
      <c r="B4597" t="s">
        <v>21</v>
      </c>
      <c r="C4597" t="s">
        <v>12</v>
      </c>
      <c r="D4597" t="s">
        <v>16</v>
      </c>
      <c r="E4597">
        <v>0</v>
      </c>
      <c r="F4597">
        <v>0.75</v>
      </c>
      <c r="G4597">
        <v>0.76218938827514604</v>
      </c>
      <c r="H4597">
        <v>0</v>
      </c>
      <c r="I4597">
        <v>0</v>
      </c>
      <c r="J4597">
        <v>30</v>
      </c>
    </row>
    <row r="4598" spans="1:10" x14ac:dyDescent="0.25">
      <c r="A4598" t="s">
        <v>24</v>
      </c>
      <c r="B4598" t="s">
        <v>21</v>
      </c>
      <c r="C4598" t="s">
        <v>12</v>
      </c>
      <c r="D4598" t="s">
        <v>16</v>
      </c>
      <c r="E4598">
        <v>0</v>
      </c>
      <c r="F4598">
        <v>0.75</v>
      </c>
      <c r="G4598">
        <v>0.75263047218322698</v>
      </c>
      <c r="H4598">
        <v>0</v>
      </c>
      <c r="I4598">
        <v>0</v>
      </c>
      <c r="J4598">
        <v>30</v>
      </c>
    </row>
    <row r="4599" spans="1:10" x14ac:dyDescent="0.25">
      <c r="A4599" t="s">
        <v>24</v>
      </c>
      <c r="B4599" t="s">
        <v>21</v>
      </c>
      <c r="C4599" t="s">
        <v>12</v>
      </c>
      <c r="D4599" t="s">
        <v>16</v>
      </c>
      <c r="E4599">
        <v>0</v>
      </c>
      <c r="F4599">
        <v>0.75</v>
      </c>
      <c r="G4599">
        <v>0.83204889297485296</v>
      </c>
      <c r="H4599">
        <v>0</v>
      </c>
      <c r="I4599">
        <v>0</v>
      </c>
      <c r="J4599">
        <v>30</v>
      </c>
    </row>
    <row r="4600" spans="1:10" x14ac:dyDescent="0.25">
      <c r="A4600" t="s">
        <v>24</v>
      </c>
      <c r="B4600" t="s">
        <v>21</v>
      </c>
      <c r="C4600" t="s">
        <v>12</v>
      </c>
      <c r="D4600" t="s">
        <v>16</v>
      </c>
      <c r="E4600">
        <v>0</v>
      </c>
      <c r="F4600">
        <v>0.75</v>
      </c>
      <c r="G4600">
        <v>0.92396759986877397</v>
      </c>
      <c r="H4600">
        <v>0</v>
      </c>
      <c r="I4600">
        <v>0</v>
      </c>
      <c r="J4600">
        <v>30</v>
      </c>
    </row>
    <row r="4601" spans="1:10" x14ac:dyDescent="0.25">
      <c r="A4601" t="s">
        <v>24</v>
      </c>
      <c r="B4601" t="s">
        <v>21</v>
      </c>
      <c r="C4601" t="s">
        <v>12</v>
      </c>
      <c r="D4601" t="s">
        <v>16</v>
      </c>
      <c r="E4601">
        <v>0</v>
      </c>
      <c r="F4601">
        <v>0.75</v>
      </c>
      <c r="G4601">
        <v>0.89283967018127397</v>
      </c>
      <c r="H4601">
        <v>0</v>
      </c>
      <c r="I4601">
        <v>0</v>
      </c>
      <c r="J4601">
        <v>30</v>
      </c>
    </row>
    <row r="4602" spans="1:10" x14ac:dyDescent="0.25">
      <c r="A4602" t="s">
        <v>24</v>
      </c>
      <c r="B4602" t="s">
        <v>21</v>
      </c>
      <c r="C4602" t="s">
        <v>12</v>
      </c>
      <c r="D4602" t="s">
        <v>16</v>
      </c>
      <c r="E4602">
        <v>0</v>
      </c>
      <c r="F4602">
        <v>0.75</v>
      </c>
      <c r="G4602">
        <v>0.91650128364562899</v>
      </c>
      <c r="H4602">
        <v>0</v>
      </c>
      <c r="I4602">
        <v>0</v>
      </c>
      <c r="J4602">
        <v>30</v>
      </c>
    </row>
    <row r="4603" spans="1:10" x14ac:dyDescent="0.25">
      <c r="A4603" t="s">
        <v>24</v>
      </c>
      <c r="B4603" t="s">
        <v>21</v>
      </c>
      <c r="C4603" t="s">
        <v>12</v>
      </c>
      <c r="D4603" t="s">
        <v>16</v>
      </c>
      <c r="E4603">
        <v>0</v>
      </c>
      <c r="F4603">
        <v>0.75</v>
      </c>
      <c r="G4603">
        <v>0.921006679534912</v>
      </c>
      <c r="H4603">
        <v>0</v>
      </c>
      <c r="I4603">
        <v>0</v>
      </c>
      <c r="J4603">
        <v>30</v>
      </c>
    </row>
    <row r="4604" spans="1:10" x14ac:dyDescent="0.25">
      <c r="A4604" t="s">
        <v>24</v>
      </c>
      <c r="B4604" t="s">
        <v>21</v>
      </c>
      <c r="C4604" t="s">
        <v>12</v>
      </c>
      <c r="D4604" t="s">
        <v>16</v>
      </c>
      <c r="E4604">
        <v>0</v>
      </c>
      <c r="F4604">
        <v>0.75</v>
      </c>
      <c r="G4604">
        <v>0.83924007415771396</v>
      </c>
      <c r="H4604">
        <v>0</v>
      </c>
      <c r="I4604">
        <v>0</v>
      </c>
      <c r="J4604">
        <v>30</v>
      </c>
    </row>
    <row r="4605" spans="1:10" x14ac:dyDescent="0.25">
      <c r="A4605" t="s">
        <v>24</v>
      </c>
      <c r="B4605" t="s">
        <v>21</v>
      </c>
      <c r="C4605" t="s">
        <v>12</v>
      </c>
      <c r="D4605" t="s">
        <v>16</v>
      </c>
      <c r="E4605">
        <v>0</v>
      </c>
      <c r="F4605">
        <v>0.75</v>
      </c>
      <c r="G4605">
        <v>0.89242053031921298</v>
      </c>
      <c r="H4605">
        <v>0</v>
      </c>
      <c r="I4605">
        <v>0</v>
      </c>
      <c r="J4605">
        <v>30</v>
      </c>
    </row>
    <row r="4606" spans="1:10" x14ac:dyDescent="0.25">
      <c r="A4606" t="s">
        <v>24</v>
      </c>
      <c r="B4606" t="s">
        <v>21</v>
      </c>
      <c r="C4606" t="s">
        <v>12</v>
      </c>
      <c r="D4606" t="s">
        <v>16</v>
      </c>
      <c r="E4606">
        <v>0</v>
      </c>
      <c r="F4606">
        <v>0.75</v>
      </c>
      <c r="G4606">
        <v>0.79792618751525801</v>
      </c>
      <c r="H4606">
        <v>0</v>
      </c>
      <c r="I4606">
        <v>0</v>
      </c>
      <c r="J4606">
        <v>30</v>
      </c>
    </row>
    <row r="4607" spans="1:10" x14ac:dyDescent="0.25">
      <c r="A4607" t="s">
        <v>24</v>
      </c>
      <c r="B4607" t="s">
        <v>21</v>
      </c>
      <c r="C4607" t="s">
        <v>12</v>
      </c>
      <c r="D4607" t="s">
        <v>16</v>
      </c>
      <c r="E4607">
        <v>0</v>
      </c>
      <c r="F4607">
        <v>0.75</v>
      </c>
      <c r="G4607">
        <v>0.82466006278991699</v>
      </c>
      <c r="H4607">
        <v>0</v>
      </c>
      <c r="I4607">
        <v>0</v>
      </c>
      <c r="J4607">
        <v>30</v>
      </c>
    </row>
    <row r="4608" spans="1:10" x14ac:dyDescent="0.25">
      <c r="A4608" t="s">
        <v>24</v>
      </c>
      <c r="B4608" t="s">
        <v>21</v>
      </c>
      <c r="C4608" t="s">
        <v>12</v>
      </c>
      <c r="D4608" t="s">
        <v>16</v>
      </c>
      <c r="E4608">
        <v>0</v>
      </c>
      <c r="F4608">
        <v>0.75</v>
      </c>
      <c r="G4608">
        <v>0.96179866790771396</v>
      </c>
      <c r="H4608">
        <v>0</v>
      </c>
      <c r="I4608">
        <v>0</v>
      </c>
      <c r="J4608">
        <v>30</v>
      </c>
    </row>
    <row r="4609" spans="1:10" x14ac:dyDescent="0.25">
      <c r="A4609" t="s">
        <v>24</v>
      </c>
      <c r="B4609" t="s">
        <v>21</v>
      </c>
      <c r="C4609" t="s">
        <v>12</v>
      </c>
      <c r="D4609" t="s">
        <v>16</v>
      </c>
      <c r="E4609">
        <v>0</v>
      </c>
      <c r="F4609">
        <v>0.75</v>
      </c>
      <c r="G4609">
        <v>0.88790369033813399</v>
      </c>
      <c r="H4609">
        <v>0</v>
      </c>
      <c r="I4609">
        <v>0</v>
      </c>
      <c r="J4609">
        <v>30</v>
      </c>
    </row>
    <row r="4610" spans="1:10" x14ac:dyDescent="0.25">
      <c r="A4610" t="s">
        <v>24</v>
      </c>
      <c r="B4610" t="s">
        <v>21</v>
      </c>
      <c r="C4610" t="s">
        <v>12</v>
      </c>
      <c r="D4610" t="s">
        <v>16</v>
      </c>
      <c r="E4610">
        <v>0</v>
      </c>
      <c r="F4610">
        <v>0.75</v>
      </c>
      <c r="G4610">
        <v>0.83874368667602495</v>
      </c>
      <c r="H4610">
        <v>0</v>
      </c>
      <c r="I4610">
        <v>0</v>
      </c>
      <c r="J4610">
        <v>30</v>
      </c>
    </row>
    <row r="4611" spans="1:10" x14ac:dyDescent="0.25">
      <c r="A4611" t="s">
        <v>24</v>
      </c>
      <c r="B4611" t="s">
        <v>21</v>
      </c>
      <c r="C4611" t="s">
        <v>12</v>
      </c>
      <c r="D4611" t="s">
        <v>16</v>
      </c>
      <c r="E4611">
        <v>0</v>
      </c>
      <c r="F4611">
        <v>0.75</v>
      </c>
      <c r="G4611">
        <v>0.94975590705871504</v>
      </c>
      <c r="H4611">
        <v>0</v>
      </c>
      <c r="I4611">
        <v>0</v>
      </c>
      <c r="J4611">
        <v>30</v>
      </c>
    </row>
    <row r="4612" spans="1:10" x14ac:dyDescent="0.25">
      <c r="A4612" t="s">
        <v>24</v>
      </c>
      <c r="B4612" t="s">
        <v>21</v>
      </c>
      <c r="C4612" t="s">
        <v>12</v>
      </c>
      <c r="D4612" t="s">
        <v>16</v>
      </c>
      <c r="E4612">
        <v>0</v>
      </c>
      <c r="F4612">
        <v>0.75</v>
      </c>
      <c r="G4612">
        <v>0.898914575576782</v>
      </c>
      <c r="H4612">
        <v>0</v>
      </c>
      <c r="I4612">
        <v>0</v>
      </c>
      <c r="J4612">
        <v>30</v>
      </c>
    </row>
    <row r="4613" spans="1:10" x14ac:dyDescent="0.25">
      <c r="A4613" t="s">
        <v>24</v>
      </c>
      <c r="B4613" t="s">
        <v>21</v>
      </c>
      <c r="C4613" t="s">
        <v>12</v>
      </c>
      <c r="D4613" t="s">
        <v>16</v>
      </c>
      <c r="E4613">
        <v>0</v>
      </c>
      <c r="F4613">
        <v>0.75</v>
      </c>
      <c r="G4613">
        <v>0.95425772666931097</v>
      </c>
      <c r="H4613">
        <v>0</v>
      </c>
      <c r="I4613">
        <v>0</v>
      </c>
      <c r="J4613">
        <v>30</v>
      </c>
    </row>
    <row r="4614" spans="1:10" x14ac:dyDescent="0.25">
      <c r="A4614" t="s">
        <v>24</v>
      </c>
      <c r="B4614" t="s">
        <v>21</v>
      </c>
      <c r="C4614" t="s">
        <v>12</v>
      </c>
      <c r="D4614" t="s">
        <v>16</v>
      </c>
      <c r="E4614">
        <v>0</v>
      </c>
      <c r="F4614">
        <v>0.75</v>
      </c>
      <c r="G4614">
        <v>0.91555047035217196</v>
      </c>
      <c r="H4614">
        <v>0</v>
      </c>
      <c r="I4614">
        <v>0</v>
      </c>
      <c r="J4614">
        <v>30</v>
      </c>
    </row>
    <row r="4615" spans="1:10" x14ac:dyDescent="0.25">
      <c r="A4615" t="s">
        <v>24</v>
      </c>
      <c r="B4615" t="s">
        <v>21</v>
      </c>
      <c r="C4615" t="s">
        <v>12</v>
      </c>
      <c r="D4615" t="s">
        <v>16</v>
      </c>
      <c r="E4615">
        <v>0</v>
      </c>
      <c r="F4615">
        <v>0.75</v>
      </c>
      <c r="G4615">
        <v>0.876880884170532</v>
      </c>
      <c r="H4615">
        <v>0</v>
      </c>
      <c r="I4615">
        <v>0</v>
      </c>
      <c r="J4615">
        <v>30</v>
      </c>
    </row>
    <row r="4616" spans="1:10" x14ac:dyDescent="0.25">
      <c r="A4616" t="s">
        <v>24</v>
      </c>
      <c r="B4616" t="s">
        <v>21</v>
      </c>
      <c r="C4616" t="s">
        <v>12</v>
      </c>
      <c r="D4616" t="s">
        <v>16</v>
      </c>
      <c r="E4616">
        <v>0</v>
      </c>
      <c r="F4616">
        <v>0.75</v>
      </c>
      <c r="G4616">
        <v>0.93965339660644498</v>
      </c>
      <c r="H4616">
        <v>0</v>
      </c>
      <c r="I4616">
        <v>0</v>
      </c>
      <c r="J4616">
        <v>30</v>
      </c>
    </row>
    <row r="4617" spans="1:10" x14ac:dyDescent="0.25">
      <c r="A4617" t="s">
        <v>24</v>
      </c>
      <c r="B4617" t="s">
        <v>21</v>
      </c>
      <c r="C4617" t="s">
        <v>12</v>
      </c>
      <c r="D4617" t="s">
        <v>16</v>
      </c>
      <c r="E4617">
        <v>0</v>
      </c>
      <c r="F4617">
        <v>0.75</v>
      </c>
      <c r="G4617">
        <v>0.90296649932861295</v>
      </c>
      <c r="H4617">
        <v>0</v>
      </c>
      <c r="I4617">
        <v>0</v>
      </c>
      <c r="J4617">
        <v>30</v>
      </c>
    </row>
    <row r="4618" spans="1:10" x14ac:dyDescent="0.25">
      <c r="A4618" t="s">
        <v>24</v>
      </c>
      <c r="B4618" t="s">
        <v>21</v>
      </c>
      <c r="C4618" t="s">
        <v>12</v>
      </c>
      <c r="D4618" t="s">
        <v>16</v>
      </c>
      <c r="E4618">
        <v>0</v>
      </c>
      <c r="F4618">
        <v>0.75</v>
      </c>
      <c r="G4618">
        <v>0.91397714614868097</v>
      </c>
      <c r="H4618">
        <v>0</v>
      </c>
      <c r="I4618">
        <v>0</v>
      </c>
      <c r="J4618">
        <v>30</v>
      </c>
    </row>
    <row r="4619" spans="1:10" x14ac:dyDescent="0.25">
      <c r="A4619" t="s">
        <v>24</v>
      </c>
      <c r="B4619" t="s">
        <v>21</v>
      </c>
      <c r="C4619" t="s">
        <v>12</v>
      </c>
      <c r="D4619" t="s">
        <v>16</v>
      </c>
      <c r="E4619">
        <v>0</v>
      </c>
      <c r="F4619">
        <v>0.75</v>
      </c>
      <c r="G4619">
        <v>0.89394330978393499</v>
      </c>
      <c r="H4619">
        <v>0</v>
      </c>
      <c r="I4619">
        <v>0</v>
      </c>
      <c r="J4619">
        <v>30</v>
      </c>
    </row>
    <row r="4620" spans="1:10" x14ac:dyDescent="0.25">
      <c r="A4620" t="s">
        <v>24</v>
      </c>
      <c r="B4620" t="s">
        <v>21</v>
      </c>
      <c r="C4620" t="s">
        <v>12</v>
      </c>
      <c r="D4620" t="s">
        <v>16</v>
      </c>
      <c r="E4620">
        <v>0</v>
      </c>
      <c r="F4620">
        <v>0.75</v>
      </c>
      <c r="G4620">
        <v>0.95572161674499501</v>
      </c>
      <c r="H4620">
        <v>0</v>
      </c>
      <c r="I4620">
        <v>0</v>
      </c>
      <c r="J4620">
        <v>30</v>
      </c>
    </row>
    <row r="4621" spans="1:10" x14ac:dyDescent="0.25">
      <c r="A4621" t="s">
        <v>24</v>
      </c>
      <c r="B4621" t="s">
        <v>21</v>
      </c>
      <c r="C4621" t="s">
        <v>12</v>
      </c>
      <c r="D4621" t="s">
        <v>16</v>
      </c>
      <c r="E4621">
        <v>0</v>
      </c>
      <c r="F4621">
        <v>0.75</v>
      </c>
      <c r="G4621">
        <v>0.89698243141174305</v>
      </c>
      <c r="H4621">
        <v>0</v>
      </c>
      <c r="I4621">
        <v>0</v>
      </c>
      <c r="J4621">
        <v>30</v>
      </c>
    </row>
    <row r="4622" spans="1:10" x14ac:dyDescent="0.25">
      <c r="A4622" t="s">
        <v>24</v>
      </c>
      <c r="B4622" t="s">
        <v>21</v>
      </c>
      <c r="C4622" t="s">
        <v>12</v>
      </c>
      <c r="D4622" t="s">
        <v>17</v>
      </c>
      <c r="E4622">
        <v>0.366300366300366</v>
      </c>
      <c r="F4622">
        <v>0.82269356364981605</v>
      </c>
      <c r="G4622">
        <v>743.32872533798195</v>
      </c>
      <c r="H4622">
        <v>339</v>
      </c>
      <c r="I4622">
        <v>356</v>
      </c>
      <c r="J4622">
        <v>30</v>
      </c>
    </row>
    <row r="4623" spans="1:10" x14ac:dyDescent="0.25">
      <c r="A4623" t="s">
        <v>24</v>
      </c>
      <c r="B4623" t="s">
        <v>21</v>
      </c>
      <c r="C4623" t="s">
        <v>12</v>
      </c>
      <c r="D4623" t="s">
        <v>17</v>
      </c>
      <c r="E4623">
        <v>0.379120879120879</v>
      </c>
      <c r="F4623">
        <v>0.82691926744203303</v>
      </c>
      <c r="G4623">
        <v>757.86923766136101</v>
      </c>
      <c r="H4623">
        <v>339</v>
      </c>
      <c r="I4623">
        <v>394</v>
      </c>
      <c r="J4623">
        <v>30</v>
      </c>
    </row>
    <row r="4624" spans="1:10" x14ac:dyDescent="0.25">
      <c r="A4624" t="s">
        <v>24</v>
      </c>
      <c r="B4624" t="s">
        <v>21</v>
      </c>
      <c r="C4624" t="s">
        <v>12</v>
      </c>
      <c r="D4624" t="s">
        <v>17</v>
      </c>
      <c r="E4624">
        <v>0.359890109890109</v>
      </c>
      <c r="F4624">
        <v>0.82011731836648405</v>
      </c>
      <c r="G4624">
        <v>772.43537926673798</v>
      </c>
      <c r="H4624">
        <v>311</v>
      </c>
      <c r="I4624">
        <v>352</v>
      </c>
      <c r="J4624">
        <v>30</v>
      </c>
    </row>
    <row r="4625" spans="1:10" x14ac:dyDescent="0.25">
      <c r="A4625" t="s">
        <v>24</v>
      </c>
      <c r="B4625" t="s">
        <v>21</v>
      </c>
      <c r="C4625" t="s">
        <v>12</v>
      </c>
      <c r="D4625" t="s">
        <v>17</v>
      </c>
      <c r="E4625">
        <v>0.37087912087912001</v>
      </c>
      <c r="F4625">
        <v>0.82361804187032905</v>
      </c>
      <c r="G4625">
        <v>778.47069048881497</v>
      </c>
      <c r="H4625">
        <v>333</v>
      </c>
      <c r="I4625">
        <v>378</v>
      </c>
      <c r="J4625">
        <v>30</v>
      </c>
    </row>
    <row r="4626" spans="1:10" x14ac:dyDescent="0.25">
      <c r="A4626" t="s">
        <v>24</v>
      </c>
      <c r="B4626" t="s">
        <v>21</v>
      </c>
      <c r="C4626" t="s">
        <v>12</v>
      </c>
      <c r="D4626" t="s">
        <v>17</v>
      </c>
      <c r="E4626">
        <v>0.36080586080586002</v>
      </c>
      <c r="F4626">
        <v>0.82657769256694102</v>
      </c>
      <c r="G4626">
        <v>788.34006428718499</v>
      </c>
      <c r="H4626">
        <v>330</v>
      </c>
      <c r="I4626">
        <v>358</v>
      </c>
      <c r="J4626">
        <v>30</v>
      </c>
    </row>
    <row r="4627" spans="1:10" x14ac:dyDescent="0.25">
      <c r="A4627" t="s">
        <v>24</v>
      </c>
      <c r="B4627" t="s">
        <v>21</v>
      </c>
      <c r="C4627" t="s">
        <v>12</v>
      </c>
      <c r="D4627" t="s">
        <v>17</v>
      </c>
      <c r="E4627">
        <v>0.396520146520146</v>
      </c>
      <c r="F4627">
        <v>0.83506542551666596</v>
      </c>
      <c r="G4627">
        <v>816.99872469902004</v>
      </c>
      <c r="H4627">
        <v>380</v>
      </c>
      <c r="I4627">
        <v>391</v>
      </c>
      <c r="J4627">
        <v>30</v>
      </c>
    </row>
    <row r="4628" spans="1:10" x14ac:dyDescent="0.25">
      <c r="A4628" t="s">
        <v>24</v>
      </c>
      <c r="B4628" t="s">
        <v>21</v>
      </c>
      <c r="C4628" t="s">
        <v>12</v>
      </c>
      <c r="D4628" t="s">
        <v>17</v>
      </c>
      <c r="E4628">
        <v>0.34981684981684902</v>
      </c>
      <c r="F4628">
        <v>0.81746548881776504</v>
      </c>
      <c r="G4628">
        <v>825.34526729583695</v>
      </c>
      <c r="H4628">
        <v>365</v>
      </c>
      <c r="I4628">
        <v>390</v>
      </c>
      <c r="J4628">
        <v>30</v>
      </c>
    </row>
    <row r="4629" spans="1:10" x14ac:dyDescent="0.25">
      <c r="A4629" t="s">
        <v>24</v>
      </c>
      <c r="B4629" t="s">
        <v>21</v>
      </c>
      <c r="C4629" t="s">
        <v>12</v>
      </c>
      <c r="D4629" t="s">
        <v>17</v>
      </c>
      <c r="E4629">
        <v>0.34340659340659302</v>
      </c>
      <c r="F4629">
        <v>0.81659512269047496</v>
      </c>
      <c r="G4629">
        <v>833.67567491531304</v>
      </c>
      <c r="H4629">
        <v>334</v>
      </c>
      <c r="I4629">
        <v>369</v>
      </c>
      <c r="J4629">
        <v>30</v>
      </c>
    </row>
    <row r="4630" spans="1:10" x14ac:dyDescent="0.25">
      <c r="A4630" t="s">
        <v>24</v>
      </c>
      <c r="B4630" t="s">
        <v>21</v>
      </c>
      <c r="C4630" t="s">
        <v>12</v>
      </c>
      <c r="D4630" t="s">
        <v>17</v>
      </c>
      <c r="E4630">
        <v>0.35439560439560402</v>
      </c>
      <c r="F4630">
        <v>0.81823383298204999</v>
      </c>
      <c r="G4630">
        <v>857.26713776588394</v>
      </c>
      <c r="H4630">
        <v>362</v>
      </c>
      <c r="I4630">
        <v>379</v>
      </c>
      <c r="J4630">
        <v>30</v>
      </c>
    </row>
    <row r="4631" spans="1:10" x14ac:dyDescent="0.25">
      <c r="A4631" t="s">
        <v>24</v>
      </c>
      <c r="B4631" t="s">
        <v>21</v>
      </c>
      <c r="C4631" t="s">
        <v>12</v>
      </c>
      <c r="D4631" t="s">
        <v>17</v>
      </c>
      <c r="E4631">
        <v>0.41025641025641002</v>
      </c>
      <c r="F4631">
        <v>0.82934527403141001</v>
      </c>
      <c r="G4631">
        <v>917.93900704383805</v>
      </c>
      <c r="H4631">
        <v>371</v>
      </c>
      <c r="I4631">
        <v>424</v>
      </c>
      <c r="J4631">
        <v>30</v>
      </c>
    </row>
    <row r="4632" spans="1:10" x14ac:dyDescent="0.25">
      <c r="A4632" t="s">
        <v>24</v>
      </c>
      <c r="B4632" t="s">
        <v>21</v>
      </c>
      <c r="C4632" t="s">
        <v>12</v>
      </c>
      <c r="D4632" t="s">
        <v>17</v>
      </c>
      <c r="E4632">
        <v>0.40201465201465197</v>
      </c>
      <c r="F4632">
        <v>0.83058943346959702</v>
      </c>
      <c r="G4632">
        <v>929.44622302055302</v>
      </c>
      <c r="H4632">
        <v>393</v>
      </c>
      <c r="I4632">
        <v>449</v>
      </c>
      <c r="J4632">
        <v>30</v>
      </c>
    </row>
    <row r="4633" spans="1:10" x14ac:dyDescent="0.25">
      <c r="A4633" t="s">
        <v>24</v>
      </c>
      <c r="B4633" t="s">
        <v>21</v>
      </c>
      <c r="C4633" t="s">
        <v>12</v>
      </c>
      <c r="D4633" t="s">
        <v>17</v>
      </c>
      <c r="E4633">
        <v>0.43681318681318598</v>
      </c>
      <c r="F4633">
        <v>0.84428023517151995</v>
      </c>
      <c r="G4633">
        <v>933.142555713653</v>
      </c>
      <c r="H4633">
        <v>414</v>
      </c>
      <c r="I4633">
        <v>458</v>
      </c>
      <c r="J4633">
        <v>30</v>
      </c>
    </row>
    <row r="4634" spans="1:10" x14ac:dyDescent="0.25">
      <c r="A4634" t="s">
        <v>24</v>
      </c>
      <c r="B4634" t="s">
        <v>21</v>
      </c>
      <c r="C4634" t="s">
        <v>12</v>
      </c>
      <c r="D4634" t="s">
        <v>17</v>
      </c>
      <c r="E4634">
        <v>0.37362637362637302</v>
      </c>
      <c r="F4634">
        <v>0.831602046946886</v>
      </c>
      <c r="G4634">
        <v>935.67073726653996</v>
      </c>
      <c r="H4634">
        <v>368</v>
      </c>
      <c r="I4634">
        <v>412</v>
      </c>
      <c r="J4634">
        <v>30</v>
      </c>
    </row>
    <row r="4635" spans="1:10" x14ac:dyDescent="0.25">
      <c r="A4635" t="s">
        <v>24</v>
      </c>
      <c r="B4635" t="s">
        <v>21</v>
      </c>
      <c r="C4635" t="s">
        <v>12</v>
      </c>
      <c r="D4635" t="s">
        <v>17</v>
      </c>
      <c r="E4635">
        <v>0.39194139194139099</v>
      </c>
      <c r="F4635">
        <v>0.83020095502966995</v>
      </c>
      <c r="G4635">
        <v>936.67036771774201</v>
      </c>
      <c r="H4635">
        <v>367</v>
      </c>
      <c r="I4635">
        <v>390</v>
      </c>
      <c r="J4635">
        <v>30</v>
      </c>
    </row>
    <row r="4636" spans="1:10" x14ac:dyDescent="0.25">
      <c r="A4636" t="s">
        <v>24</v>
      </c>
      <c r="B4636" t="s">
        <v>21</v>
      </c>
      <c r="C4636" t="s">
        <v>12</v>
      </c>
      <c r="D4636" t="s">
        <v>17</v>
      </c>
      <c r="E4636">
        <v>0.36538461538461497</v>
      </c>
      <c r="F4636">
        <v>0.82687045210750798</v>
      </c>
      <c r="G4636">
        <v>952.26101636886597</v>
      </c>
      <c r="H4636">
        <v>352</v>
      </c>
      <c r="I4636">
        <v>389</v>
      </c>
      <c r="J4636">
        <v>30</v>
      </c>
    </row>
    <row r="4637" spans="1:10" x14ac:dyDescent="0.25">
      <c r="A4637" t="s">
        <v>24</v>
      </c>
      <c r="B4637" t="s">
        <v>21</v>
      </c>
      <c r="C4637" t="s">
        <v>12</v>
      </c>
      <c r="D4637" t="s">
        <v>17</v>
      </c>
      <c r="E4637">
        <v>0.445970695970696</v>
      </c>
      <c r="F4637">
        <v>0.844650150847161</v>
      </c>
      <c r="G4637">
        <v>977.50988101959194</v>
      </c>
      <c r="H4637">
        <v>430</v>
      </c>
      <c r="I4637">
        <v>484</v>
      </c>
      <c r="J4637">
        <v>30</v>
      </c>
    </row>
    <row r="4638" spans="1:10" x14ac:dyDescent="0.25">
      <c r="A4638" t="s">
        <v>24</v>
      </c>
      <c r="B4638" t="s">
        <v>21</v>
      </c>
      <c r="C4638" t="s">
        <v>12</v>
      </c>
      <c r="D4638" t="s">
        <v>17</v>
      </c>
      <c r="E4638">
        <v>0.44780219780219699</v>
      </c>
      <c r="F4638">
        <v>0.83467989138891896</v>
      </c>
      <c r="G4638">
        <v>982.32275795936505</v>
      </c>
      <c r="H4638">
        <v>415</v>
      </c>
      <c r="I4638">
        <v>446</v>
      </c>
      <c r="J4638">
        <v>30</v>
      </c>
    </row>
    <row r="4639" spans="1:10" x14ac:dyDescent="0.25">
      <c r="A4639" t="s">
        <v>24</v>
      </c>
      <c r="B4639" t="s">
        <v>21</v>
      </c>
      <c r="C4639" t="s">
        <v>12</v>
      </c>
      <c r="D4639" t="s">
        <v>17</v>
      </c>
      <c r="E4639">
        <v>0.36813186813186799</v>
      </c>
      <c r="F4639">
        <v>0.82597861922747196</v>
      </c>
      <c r="G4639">
        <v>986.99389934539795</v>
      </c>
      <c r="H4639">
        <v>389</v>
      </c>
      <c r="I4639">
        <v>441</v>
      </c>
      <c r="J4639">
        <v>30</v>
      </c>
    </row>
    <row r="4640" spans="1:10" x14ac:dyDescent="0.25">
      <c r="A4640" t="s">
        <v>24</v>
      </c>
      <c r="B4640" t="s">
        <v>21</v>
      </c>
      <c r="C4640" t="s">
        <v>12</v>
      </c>
      <c r="D4640" t="s">
        <v>17</v>
      </c>
      <c r="E4640">
        <v>0.463369963369963</v>
      </c>
      <c r="F4640">
        <v>0.84178104975146495</v>
      </c>
      <c r="G4640">
        <v>1060.2992568016</v>
      </c>
      <c r="H4640">
        <v>441</v>
      </c>
      <c r="I4640">
        <v>503</v>
      </c>
      <c r="J4640">
        <v>30</v>
      </c>
    </row>
    <row r="4641" spans="1:10" x14ac:dyDescent="0.25">
      <c r="A4641" t="s">
        <v>24</v>
      </c>
      <c r="B4641" t="s">
        <v>21</v>
      </c>
      <c r="C4641" t="s">
        <v>12</v>
      </c>
      <c r="D4641" t="s">
        <v>17</v>
      </c>
      <c r="E4641">
        <v>0.51098901098901095</v>
      </c>
      <c r="F4641">
        <v>0.84470978179624401</v>
      </c>
      <c r="G4641">
        <v>1100.2163317203499</v>
      </c>
      <c r="H4641">
        <v>498</v>
      </c>
      <c r="I4641">
        <v>534</v>
      </c>
      <c r="J4641">
        <v>30</v>
      </c>
    </row>
    <row r="4642" spans="1:10" x14ac:dyDescent="0.25">
      <c r="A4642" t="s">
        <v>24</v>
      </c>
      <c r="B4642" t="s">
        <v>21</v>
      </c>
      <c r="C4642" t="s">
        <v>12</v>
      </c>
      <c r="D4642" t="s">
        <v>17</v>
      </c>
      <c r="E4642">
        <v>0.46062271062270999</v>
      </c>
      <c r="F4642">
        <v>0.84177918734926704</v>
      </c>
      <c r="G4642">
        <v>1150.2265119552601</v>
      </c>
      <c r="H4642">
        <v>493</v>
      </c>
      <c r="I4642">
        <v>549</v>
      </c>
      <c r="J4642">
        <v>30</v>
      </c>
    </row>
    <row r="4643" spans="1:10" x14ac:dyDescent="0.25">
      <c r="A4643" t="s">
        <v>24</v>
      </c>
      <c r="B4643" t="s">
        <v>21</v>
      </c>
      <c r="C4643" t="s">
        <v>12</v>
      </c>
      <c r="D4643" t="s">
        <v>17</v>
      </c>
      <c r="E4643">
        <v>0.47252747252747201</v>
      </c>
      <c r="F4643">
        <v>0.84384658320686801</v>
      </c>
      <c r="G4643">
        <v>1150.8366215229</v>
      </c>
      <c r="H4643">
        <v>527</v>
      </c>
      <c r="I4643">
        <v>604</v>
      </c>
      <c r="J4643">
        <v>30</v>
      </c>
    </row>
    <row r="4644" spans="1:10" x14ac:dyDescent="0.25">
      <c r="A4644" t="s">
        <v>24</v>
      </c>
      <c r="B4644" t="s">
        <v>21</v>
      </c>
      <c r="C4644" t="s">
        <v>12</v>
      </c>
      <c r="D4644" t="s">
        <v>17</v>
      </c>
      <c r="E4644">
        <v>0.47435897435897401</v>
      </c>
      <c r="F4644">
        <v>0.83657542460366296</v>
      </c>
      <c r="G4644">
        <v>1163.7810661792701</v>
      </c>
      <c r="H4644">
        <v>528</v>
      </c>
      <c r="I4644">
        <v>570</v>
      </c>
      <c r="J4644">
        <v>30</v>
      </c>
    </row>
    <row r="4645" spans="1:10" x14ac:dyDescent="0.25">
      <c r="A4645" t="s">
        <v>24</v>
      </c>
      <c r="B4645" t="s">
        <v>21</v>
      </c>
      <c r="C4645" t="s">
        <v>12</v>
      </c>
      <c r="D4645" t="s">
        <v>17</v>
      </c>
      <c r="E4645">
        <v>0.50641025641025605</v>
      </c>
      <c r="F4645">
        <v>0.84611205632381004</v>
      </c>
      <c r="G4645">
        <v>1176.68382191658</v>
      </c>
      <c r="H4645">
        <v>544</v>
      </c>
      <c r="I4645">
        <v>611</v>
      </c>
      <c r="J4645">
        <v>30</v>
      </c>
    </row>
    <row r="4646" spans="1:10" x14ac:dyDescent="0.25">
      <c r="A4646" t="s">
        <v>24</v>
      </c>
      <c r="B4646" t="s">
        <v>21</v>
      </c>
      <c r="C4646" t="s">
        <v>12</v>
      </c>
      <c r="D4646" t="s">
        <v>17</v>
      </c>
      <c r="E4646">
        <v>0.50366300366300298</v>
      </c>
      <c r="F4646">
        <v>0.84578785607957796</v>
      </c>
      <c r="G4646">
        <v>1184.2250273227601</v>
      </c>
      <c r="H4646">
        <v>546</v>
      </c>
      <c r="I4646">
        <v>578</v>
      </c>
      <c r="J4646">
        <v>30</v>
      </c>
    </row>
    <row r="4647" spans="1:10" x14ac:dyDescent="0.25">
      <c r="A4647" t="s">
        <v>24</v>
      </c>
      <c r="B4647" t="s">
        <v>21</v>
      </c>
      <c r="C4647" t="s">
        <v>12</v>
      </c>
      <c r="D4647" t="s">
        <v>17</v>
      </c>
      <c r="E4647">
        <v>0.487179487179487</v>
      </c>
      <c r="F4647">
        <v>0.84268837977829603</v>
      </c>
      <c r="G4647">
        <v>1186.23087835311</v>
      </c>
      <c r="H4647">
        <v>552</v>
      </c>
      <c r="I4647">
        <v>613</v>
      </c>
      <c r="J4647">
        <v>30</v>
      </c>
    </row>
    <row r="4648" spans="1:10" x14ac:dyDescent="0.25">
      <c r="A4648" t="s">
        <v>24</v>
      </c>
      <c r="B4648" t="s">
        <v>21</v>
      </c>
      <c r="C4648" t="s">
        <v>12</v>
      </c>
      <c r="D4648" t="s">
        <v>17</v>
      </c>
      <c r="E4648">
        <v>0.49267399267399198</v>
      </c>
      <c r="F4648">
        <v>0.84419724208470603</v>
      </c>
      <c r="G4648">
        <v>1194.96537446975</v>
      </c>
      <c r="H4648">
        <v>538</v>
      </c>
      <c r="I4648">
        <v>615</v>
      </c>
      <c r="J4648">
        <v>30</v>
      </c>
    </row>
    <row r="4649" spans="1:10" x14ac:dyDescent="0.25">
      <c r="A4649" t="s">
        <v>24</v>
      </c>
      <c r="B4649" t="s">
        <v>21</v>
      </c>
      <c r="C4649" t="s">
        <v>12</v>
      </c>
      <c r="D4649" t="s">
        <v>17</v>
      </c>
      <c r="E4649">
        <v>0.51098901098901095</v>
      </c>
      <c r="F4649">
        <v>0.83880701322499995</v>
      </c>
      <c r="G4649">
        <v>1197.77419281005</v>
      </c>
      <c r="H4649">
        <v>543</v>
      </c>
      <c r="I4649">
        <v>625</v>
      </c>
      <c r="J4649">
        <v>30</v>
      </c>
    </row>
    <row r="4650" spans="1:10" x14ac:dyDescent="0.25">
      <c r="A4650" t="s">
        <v>24</v>
      </c>
      <c r="B4650" t="s">
        <v>21</v>
      </c>
      <c r="C4650" t="s">
        <v>12</v>
      </c>
      <c r="D4650" t="s">
        <v>17</v>
      </c>
      <c r="E4650">
        <v>0.48443223443223399</v>
      </c>
      <c r="F4650">
        <v>0.84065201875760098</v>
      </c>
      <c r="G4650">
        <v>1199.64372396469</v>
      </c>
      <c r="H4650">
        <v>554</v>
      </c>
      <c r="I4650">
        <v>629</v>
      </c>
      <c r="J4650">
        <v>30</v>
      </c>
    </row>
    <row r="4651" spans="1:10" x14ac:dyDescent="0.25">
      <c r="A4651" t="s">
        <v>24</v>
      </c>
      <c r="B4651" t="s">
        <v>21</v>
      </c>
      <c r="C4651" t="s">
        <v>12</v>
      </c>
      <c r="D4651" t="s">
        <v>17</v>
      </c>
      <c r="E4651">
        <v>0.55494505494505497</v>
      </c>
      <c r="F4651">
        <v>0.84413814757710603</v>
      </c>
      <c r="G4651">
        <v>1215.7961807250899</v>
      </c>
      <c r="H4651">
        <v>639</v>
      </c>
      <c r="I4651">
        <v>736</v>
      </c>
      <c r="J4651">
        <v>30</v>
      </c>
    </row>
    <row r="4652" spans="1:10" x14ac:dyDescent="0.25">
      <c r="A4652" t="s">
        <v>24</v>
      </c>
      <c r="B4652" t="s">
        <v>21</v>
      </c>
      <c r="C4652" t="s">
        <v>18</v>
      </c>
      <c r="D4652" t="s">
        <v>13</v>
      </c>
      <c r="E4652">
        <v>0.98626373626373598</v>
      </c>
      <c r="F4652">
        <v>0.98677172818818604</v>
      </c>
      <c r="G4652">
        <v>157.420889616012</v>
      </c>
      <c r="H4652">
        <v>19</v>
      </c>
      <c r="I4652">
        <v>23</v>
      </c>
      <c r="J4652">
        <v>30</v>
      </c>
    </row>
    <row r="4653" spans="1:10" x14ac:dyDescent="0.25">
      <c r="A4653" t="s">
        <v>24</v>
      </c>
      <c r="B4653" t="s">
        <v>21</v>
      </c>
      <c r="C4653" t="s">
        <v>18</v>
      </c>
      <c r="D4653" t="s">
        <v>13</v>
      </c>
      <c r="E4653">
        <v>0.98168498168498097</v>
      </c>
      <c r="F4653">
        <v>0.98259558091355303</v>
      </c>
      <c r="G4653">
        <v>158.84138607978801</v>
      </c>
      <c r="H4653">
        <v>18</v>
      </c>
      <c r="I4653">
        <v>21</v>
      </c>
      <c r="J4653">
        <v>30</v>
      </c>
    </row>
    <row r="4654" spans="1:10" x14ac:dyDescent="0.25">
      <c r="A4654" t="s">
        <v>24</v>
      </c>
      <c r="B4654" t="s">
        <v>21</v>
      </c>
      <c r="C4654" t="s">
        <v>18</v>
      </c>
      <c r="D4654" t="s">
        <v>13</v>
      </c>
      <c r="E4654">
        <v>0.98992673992673996</v>
      </c>
      <c r="F4654">
        <v>0.99062064578992604</v>
      </c>
      <c r="G4654">
        <v>159.55613541603</v>
      </c>
      <c r="H4654">
        <v>21</v>
      </c>
      <c r="I4654">
        <v>26</v>
      </c>
      <c r="J4654">
        <v>30</v>
      </c>
    </row>
    <row r="4655" spans="1:10" x14ac:dyDescent="0.25">
      <c r="A4655" t="s">
        <v>24</v>
      </c>
      <c r="B4655" t="s">
        <v>21</v>
      </c>
      <c r="C4655" t="s">
        <v>18</v>
      </c>
      <c r="D4655" t="s">
        <v>13</v>
      </c>
      <c r="E4655">
        <v>0.97069597069597002</v>
      </c>
      <c r="F4655">
        <v>0.97529564974697802</v>
      </c>
      <c r="G4655">
        <v>163.11052227020201</v>
      </c>
      <c r="H4655">
        <v>23</v>
      </c>
      <c r="I4655">
        <v>28</v>
      </c>
      <c r="J4655">
        <v>30</v>
      </c>
    </row>
    <row r="4656" spans="1:10" x14ac:dyDescent="0.25">
      <c r="A4656" t="s">
        <v>24</v>
      </c>
      <c r="B4656" t="s">
        <v>21</v>
      </c>
      <c r="C4656" t="s">
        <v>18</v>
      </c>
      <c r="D4656" t="s">
        <v>13</v>
      </c>
      <c r="E4656">
        <v>0.97435897435897401</v>
      </c>
      <c r="F4656">
        <v>0.97552813350503698</v>
      </c>
      <c r="G4656">
        <v>163.85528731346099</v>
      </c>
      <c r="H4656">
        <v>19</v>
      </c>
      <c r="I4656">
        <v>25</v>
      </c>
      <c r="J4656">
        <v>30</v>
      </c>
    </row>
    <row r="4657" spans="1:10" x14ac:dyDescent="0.25">
      <c r="A4657" t="s">
        <v>24</v>
      </c>
      <c r="B4657" t="s">
        <v>21</v>
      </c>
      <c r="C4657" t="s">
        <v>18</v>
      </c>
      <c r="D4657" t="s">
        <v>13</v>
      </c>
      <c r="E4657">
        <v>0.98534798534798496</v>
      </c>
      <c r="F4657">
        <v>0.98629020892060404</v>
      </c>
      <c r="G4657">
        <v>167.51842713356001</v>
      </c>
      <c r="H4657">
        <v>19</v>
      </c>
      <c r="I4657">
        <v>22</v>
      </c>
      <c r="J4657">
        <v>30</v>
      </c>
    </row>
    <row r="4658" spans="1:10" x14ac:dyDescent="0.25">
      <c r="A4658" t="s">
        <v>24</v>
      </c>
      <c r="B4658" t="s">
        <v>21</v>
      </c>
      <c r="C4658" t="s">
        <v>18</v>
      </c>
      <c r="D4658" t="s">
        <v>13</v>
      </c>
      <c r="E4658">
        <v>0.969780219780219</v>
      </c>
      <c r="F4658">
        <v>0.97181392793781995</v>
      </c>
      <c r="G4658">
        <v>170.94166398048401</v>
      </c>
      <c r="H4658">
        <v>20</v>
      </c>
      <c r="I4658">
        <v>24</v>
      </c>
      <c r="J4658">
        <v>30</v>
      </c>
    </row>
    <row r="4659" spans="1:10" x14ac:dyDescent="0.25">
      <c r="A4659" t="s">
        <v>24</v>
      </c>
      <c r="B4659" t="s">
        <v>21</v>
      </c>
      <c r="C4659" t="s">
        <v>18</v>
      </c>
      <c r="D4659" t="s">
        <v>13</v>
      </c>
      <c r="E4659">
        <v>0.97069597069597002</v>
      </c>
      <c r="F4659">
        <v>0.97199212146868097</v>
      </c>
      <c r="G4659">
        <v>176.485576868057</v>
      </c>
      <c r="H4659">
        <v>15</v>
      </c>
      <c r="I4659">
        <v>19</v>
      </c>
      <c r="J4659">
        <v>30</v>
      </c>
    </row>
    <row r="4660" spans="1:10" x14ac:dyDescent="0.25">
      <c r="A4660" t="s">
        <v>24</v>
      </c>
      <c r="B4660" t="s">
        <v>21</v>
      </c>
      <c r="C4660" t="s">
        <v>18</v>
      </c>
      <c r="D4660" t="s">
        <v>13</v>
      </c>
      <c r="E4660">
        <v>0.97527472527472503</v>
      </c>
      <c r="F4660">
        <v>0.97614585274313104</v>
      </c>
      <c r="G4660">
        <v>177.73870062827999</v>
      </c>
      <c r="H4660">
        <v>14</v>
      </c>
      <c r="I4660">
        <v>16</v>
      </c>
      <c r="J4660">
        <v>30</v>
      </c>
    </row>
    <row r="4661" spans="1:10" x14ac:dyDescent="0.25">
      <c r="A4661" t="s">
        <v>24</v>
      </c>
      <c r="B4661" t="s">
        <v>21</v>
      </c>
      <c r="C4661" t="s">
        <v>18</v>
      </c>
      <c r="D4661" t="s">
        <v>13</v>
      </c>
      <c r="E4661">
        <v>0.97710622710622697</v>
      </c>
      <c r="F4661">
        <v>0.97749630273150101</v>
      </c>
      <c r="G4661">
        <v>178.20442414283701</v>
      </c>
      <c r="H4661">
        <v>19</v>
      </c>
      <c r="I4661">
        <v>22</v>
      </c>
      <c r="J4661">
        <v>30</v>
      </c>
    </row>
    <row r="4662" spans="1:10" x14ac:dyDescent="0.25">
      <c r="A4662" t="s">
        <v>24</v>
      </c>
      <c r="B4662" t="s">
        <v>21</v>
      </c>
      <c r="C4662" t="s">
        <v>18</v>
      </c>
      <c r="D4662" t="s">
        <v>13</v>
      </c>
      <c r="E4662">
        <v>0.98901098901098905</v>
      </c>
      <c r="F4662">
        <v>0.98945051252097005</v>
      </c>
      <c r="G4662">
        <v>178.20512533187801</v>
      </c>
      <c r="H4662">
        <v>17</v>
      </c>
      <c r="I4662">
        <v>21</v>
      </c>
      <c r="J4662">
        <v>30</v>
      </c>
    </row>
    <row r="4663" spans="1:10" x14ac:dyDescent="0.25">
      <c r="A4663" t="s">
        <v>24</v>
      </c>
      <c r="B4663" t="s">
        <v>21</v>
      </c>
      <c r="C4663" t="s">
        <v>18</v>
      </c>
      <c r="D4663" t="s">
        <v>13</v>
      </c>
      <c r="E4663">
        <v>0.96153846153846101</v>
      </c>
      <c r="F4663">
        <v>0.96402905486767398</v>
      </c>
      <c r="G4663">
        <v>179.797556877136</v>
      </c>
      <c r="H4663">
        <v>17</v>
      </c>
      <c r="I4663">
        <v>20</v>
      </c>
      <c r="J4663">
        <v>30</v>
      </c>
    </row>
    <row r="4664" spans="1:10" x14ac:dyDescent="0.25">
      <c r="A4664" t="s">
        <v>24</v>
      </c>
      <c r="B4664" t="s">
        <v>21</v>
      </c>
      <c r="C4664" t="s">
        <v>18</v>
      </c>
      <c r="D4664" t="s">
        <v>13</v>
      </c>
      <c r="E4664">
        <v>0.956959706959707</v>
      </c>
      <c r="F4664">
        <v>0.95983748647628198</v>
      </c>
      <c r="G4664">
        <v>181.31174111366201</v>
      </c>
      <c r="H4664">
        <v>20</v>
      </c>
      <c r="I4664">
        <v>23</v>
      </c>
      <c r="J4664">
        <v>30</v>
      </c>
    </row>
    <row r="4665" spans="1:10" x14ac:dyDescent="0.25">
      <c r="A4665" t="s">
        <v>24</v>
      </c>
      <c r="B4665" t="s">
        <v>21</v>
      </c>
      <c r="C4665" t="s">
        <v>18</v>
      </c>
      <c r="D4665" t="s">
        <v>13</v>
      </c>
      <c r="E4665">
        <v>0.96703296703296704</v>
      </c>
      <c r="F4665">
        <v>0.96867346971108004</v>
      </c>
      <c r="G4665">
        <v>183.462228298187</v>
      </c>
      <c r="H4665">
        <v>20</v>
      </c>
      <c r="I4665">
        <v>26</v>
      </c>
      <c r="J4665">
        <v>30</v>
      </c>
    </row>
    <row r="4666" spans="1:10" x14ac:dyDescent="0.25">
      <c r="A4666" t="s">
        <v>24</v>
      </c>
      <c r="B4666" t="s">
        <v>21</v>
      </c>
      <c r="C4666" t="s">
        <v>18</v>
      </c>
      <c r="D4666" t="s">
        <v>13</v>
      </c>
      <c r="E4666">
        <v>0.97893772893772801</v>
      </c>
      <c r="F4666">
        <v>0.97936782452270998</v>
      </c>
      <c r="G4666">
        <v>184.296634435653</v>
      </c>
      <c r="H4666">
        <v>18</v>
      </c>
      <c r="I4666">
        <v>21</v>
      </c>
      <c r="J4666">
        <v>30</v>
      </c>
    </row>
    <row r="4667" spans="1:10" x14ac:dyDescent="0.25">
      <c r="A4667" t="s">
        <v>24</v>
      </c>
      <c r="B4667" t="s">
        <v>21</v>
      </c>
      <c r="C4667" t="s">
        <v>18</v>
      </c>
      <c r="D4667" t="s">
        <v>13</v>
      </c>
      <c r="E4667">
        <v>0.97893772893772801</v>
      </c>
      <c r="F4667">
        <v>0.97937888457023803</v>
      </c>
      <c r="G4667">
        <v>186.08997917175199</v>
      </c>
      <c r="H4667">
        <v>18</v>
      </c>
      <c r="I4667">
        <v>21</v>
      </c>
      <c r="J4667">
        <v>30</v>
      </c>
    </row>
    <row r="4668" spans="1:10" x14ac:dyDescent="0.25">
      <c r="A4668" t="s">
        <v>24</v>
      </c>
      <c r="B4668" t="s">
        <v>21</v>
      </c>
      <c r="C4668" t="s">
        <v>18</v>
      </c>
      <c r="D4668" t="s">
        <v>13</v>
      </c>
      <c r="E4668">
        <v>0.96520146520146499</v>
      </c>
      <c r="F4668">
        <v>0.96713673567243597</v>
      </c>
      <c r="G4668">
        <v>186.296652078628</v>
      </c>
      <c r="H4668">
        <v>19</v>
      </c>
      <c r="I4668">
        <v>23</v>
      </c>
      <c r="J4668">
        <v>30</v>
      </c>
    </row>
    <row r="4669" spans="1:10" x14ac:dyDescent="0.25">
      <c r="A4669" t="s">
        <v>24</v>
      </c>
      <c r="B4669" t="s">
        <v>21</v>
      </c>
      <c r="C4669" t="s">
        <v>18</v>
      </c>
      <c r="D4669" t="s">
        <v>13</v>
      </c>
      <c r="E4669">
        <v>0.96428571428571397</v>
      </c>
      <c r="F4669">
        <v>0.96663614603543901</v>
      </c>
      <c r="G4669">
        <v>186.65841197967501</v>
      </c>
      <c r="H4669">
        <v>18</v>
      </c>
      <c r="I4669">
        <v>22</v>
      </c>
      <c r="J4669">
        <v>30</v>
      </c>
    </row>
    <row r="4670" spans="1:10" x14ac:dyDescent="0.25">
      <c r="A4670" t="s">
        <v>24</v>
      </c>
      <c r="B4670" t="s">
        <v>21</v>
      </c>
      <c r="C4670" t="s">
        <v>18</v>
      </c>
      <c r="D4670" t="s">
        <v>13</v>
      </c>
      <c r="E4670">
        <v>0.97069597069597002</v>
      </c>
      <c r="F4670">
        <v>0.97275930923946796</v>
      </c>
      <c r="G4670">
        <v>186.132183790206</v>
      </c>
      <c r="H4670">
        <v>21</v>
      </c>
      <c r="I4670">
        <v>24</v>
      </c>
      <c r="J4670">
        <v>30</v>
      </c>
    </row>
    <row r="4671" spans="1:10" x14ac:dyDescent="0.25">
      <c r="A4671" t="s">
        <v>24</v>
      </c>
      <c r="B4671" t="s">
        <v>21</v>
      </c>
      <c r="C4671" t="s">
        <v>18</v>
      </c>
      <c r="D4671" t="s">
        <v>13</v>
      </c>
      <c r="E4671">
        <v>0.97344322344322298</v>
      </c>
      <c r="F4671">
        <v>0.97379588962591501</v>
      </c>
      <c r="G4671">
        <v>187.514914751052</v>
      </c>
      <c r="H4671">
        <v>18</v>
      </c>
      <c r="I4671">
        <v>22</v>
      </c>
      <c r="J4671">
        <v>30</v>
      </c>
    </row>
    <row r="4672" spans="1:10" x14ac:dyDescent="0.25">
      <c r="A4672" t="s">
        <v>24</v>
      </c>
      <c r="B4672" t="s">
        <v>21</v>
      </c>
      <c r="C4672" t="s">
        <v>18</v>
      </c>
      <c r="D4672" t="s">
        <v>13</v>
      </c>
      <c r="E4672">
        <v>0.96611721611721602</v>
      </c>
      <c r="F4672">
        <v>0.967944512538369</v>
      </c>
      <c r="G4672">
        <v>189.05359482765101</v>
      </c>
      <c r="H4672">
        <v>18</v>
      </c>
      <c r="I4672">
        <v>22</v>
      </c>
      <c r="J4672">
        <v>30</v>
      </c>
    </row>
    <row r="4673" spans="1:10" x14ac:dyDescent="0.25">
      <c r="A4673" t="s">
        <v>24</v>
      </c>
      <c r="B4673" t="s">
        <v>21</v>
      </c>
      <c r="C4673" t="s">
        <v>18</v>
      </c>
      <c r="D4673" t="s">
        <v>13</v>
      </c>
      <c r="E4673">
        <v>0.98901098901098905</v>
      </c>
      <c r="F4673">
        <v>0.988997827572344</v>
      </c>
      <c r="G4673">
        <v>190.48210334777801</v>
      </c>
      <c r="H4673">
        <v>21</v>
      </c>
      <c r="I4673">
        <v>24</v>
      </c>
      <c r="J4673">
        <v>30</v>
      </c>
    </row>
    <row r="4674" spans="1:10" x14ac:dyDescent="0.25">
      <c r="A4674" t="s">
        <v>24</v>
      </c>
      <c r="B4674" t="s">
        <v>21</v>
      </c>
      <c r="C4674" t="s">
        <v>18</v>
      </c>
      <c r="D4674" t="s">
        <v>13</v>
      </c>
      <c r="E4674">
        <v>0.96794871794871795</v>
      </c>
      <c r="F4674">
        <v>0.96968156001474304</v>
      </c>
      <c r="G4674">
        <v>190.68130183219901</v>
      </c>
      <c r="H4674">
        <v>19</v>
      </c>
      <c r="I4674">
        <v>23</v>
      </c>
      <c r="J4674">
        <v>30</v>
      </c>
    </row>
    <row r="4675" spans="1:10" x14ac:dyDescent="0.25">
      <c r="A4675" t="s">
        <v>24</v>
      </c>
      <c r="B4675" t="s">
        <v>21</v>
      </c>
      <c r="C4675" t="s">
        <v>18</v>
      </c>
      <c r="D4675" t="s">
        <v>13</v>
      </c>
      <c r="E4675">
        <v>0.987179487179487</v>
      </c>
      <c r="F4675">
        <v>0.98714593149056695</v>
      </c>
      <c r="G4675">
        <v>192.04461669921801</v>
      </c>
      <c r="H4675">
        <v>19</v>
      </c>
      <c r="I4675">
        <v>24</v>
      </c>
      <c r="J4675">
        <v>30</v>
      </c>
    </row>
    <row r="4676" spans="1:10" x14ac:dyDescent="0.25">
      <c r="A4676" t="s">
        <v>24</v>
      </c>
      <c r="B4676" t="s">
        <v>21</v>
      </c>
      <c r="C4676" t="s">
        <v>18</v>
      </c>
      <c r="D4676" t="s">
        <v>13</v>
      </c>
      <c r="E4676">
        <v>0.97161172161172105</v>
      </c>
      <c r="F4676">
        <v>0.97229148895998196</v>
      </c>
      <c r="G4676">
        <v>191.32347059249801</v>
      </c>
      <c r="H4676">
        <v>17</v>
      </c>
      <c r="I4676">
        <v>22</v>
      </c>
      <c r="J4676">
        <v>30</v>
      </c>
    </row>
    <row r="4677" spans="1:10" x14ac:dyDescent="0.25">
      <c r="A4677" t="s">
        <v>24</v>
      </c>
      <c r="B4677" t="s">
        <v>21</v>
      </c>
      <c r="C4677" t="s">
        <v>18</v>
      </c>
      <c r="D4677" t="s">
        <v>13</v>
      </c>
      <c r="E4677">
        <v>0.98901098901098905</v>
      </c>
      <c r="F4677">
        <v>0.98856374809835101</v>
      </c>
      <c r="G4677">
        <v>192.42994260787901</v>
      </c>
      <c r="H4677">
        <v>21</v>
      </c>
      <c r="I4677">
        <v>24</v>
      </c>
      <c r="J4677">
        <v>30</v>
      </c>
    </row>
    <row r="4678" spans="1:10" x14ac:dyDescent="0.25">
      <c r="A4678" t="s">
        <v>24</v>
      </c>
      <c r="B4678" t="s">
        <v>21</v>
      </c>
      <c r="C4678" t="s">
        <v>18</v>
      </c>
      <c r="D4678" t="s">
        <v>13</v>
      </c>
      <c r="E4678">
        <v>0.98809523809523803</v>
      </c>
      <c r="F4678">
        <v>0.98804938436272904</v>
      </c>
      <c r="G4678">
        <v>192.63920116424501</v>
      </c>
      <c r="H4678">
        <v>23</v>
      </c>
      <c r="I4678">
        <v>27</v>
      </c>
      <c r="J4678">
        <v>30</v>
      </c>
    </row>
    <row r="4679" spans="1:10" x14ac:dyDescent="0.25">
      <c r="A4679" t="s">
        <v>24</v>
      </c>
      <c r="B4679" t="s">
        <v>21</v>
      </c>
      <c r="C4679" t="s">
        <v>18</v>
      </c>
      <c r="D4679" t="s">
        <v>13</v>
      </c>
      <c r="E4679">
        <v>0.96886446886446798</v>
      </c>
      <c r="F4679">
        <v>0.97045974865741702</v>
      </c>
      <c r="G4679">
        <v>193.80333328246999</v>
      </c>
      <c r="H4679">
        <v>21</v>
      </c>
      <c r="I4679">
        <v>27</v>
      </c>
      <c r="J4679">
        <v>30</v>
      </c>
    </row>
    <row r="4680" spans="1:10" x14ac:dyDescent="0.25">
      <c r="A4680" t="s">
        <v>24</v>
      </c>
      <c r="B4680" t="s">
        <v>21</v>
      </c>
      <c r="C4680" t="s">
        <v>18</v>
      </c>
      <c r="D4680" t="s">
        <v>13</v>
      </c>
      <c r="E4680">
        <v>0.95329670329670302</v>
      </c>
      <c r="F4680">
        <v>0.95642224912646501</v>
      </c>
      <c r="G4680">
        <v>193.90559506416301</v>
      </c>
      <c r="H4680">
        <v>18</v>
      </c>
      <c r="I4680">
        <v>21</v>
      </c>
      <c r="J4680">
        <v>30</v>
      </c>
    </row>
    <row r="4681" spans="1:10" x14ac:dyDescent="0.25">
      <c r="A4681" t="s">
        <v>24</v>
      </c>
      <c r="B4681" t="s">
        <v>21</v>
      </c>
      <c r="C4681" t="s">
        <v>18</v>
      </c>
      <c r="D4681" t="s">
        <v>13</v>
      </c>
      <c r="E4681">
        <v>0.98351648351648302</v>
      </c>
      <c r="F4681">
        <v>0.98482270422060403</v>
      </c>
      <c r="G4681">
        <v>194.39993381500199</v>
      </c>
      <c r="H4681">
        <v>20</v>
      </c>
      <c r="I4681">
        <v>23</v>
      </c>
      <c r="J4681">
        <v>30</v>
      </c>
    </row>
    <row r="4682" spans="1:10" x14ac:dyDescent="0.25">
      <c r="A4682" t="s">
        <v>24</v>
      </c>
      <c r="B4682" t="s">
        <v>21</v>
      </c>
      <c r="C4682" t="s">
        <v>18</v>
      </c>
      <c r="D4682" t="s">
        <v>14</v>
      </c>
      <c r="E4682">
        <v>1.83150183150183E-3</v>
      </c>
      <c r="F4682">
        <v>0.75019489519175797</v>
      </c>
      <c r="G4682">
        <v>1.5037467479705799</v>
      </c>
      <c r="H4682">
        <v>3</v>
      </c>
      <c r="I4682">
        <v>3</v>
      </c>
      <c r="J4682">
        <v>30</v>
      </c>
    </row>
    <row r="4683" spans="1:10" x14ac:dyDescent="0.25">
      <c r="A4683" t="s">
        <v>24</v>
      </c>
      <c r="B4683" t="s">
        <v>21</v>
      </c>
      <c r="C4683" t="s">
        <v>18</v>
      </c>
      <c r="D4683" t="s">
        <v>14</v>
      </c>
      <c r="E4683">
        <v>9.1575091575091499E-4</v>
      </c>
      <c r="F4683">
        <v>0.75011921261675796</v>
      </c>
      <c r="G4683">
        <v>1.6175904273986801</v>
      </c>
      <c r="H4683">
        <v>3</v>
      </c>
      <c r="I4683">
        <v>3</v>
      </c>
      <c r="J4683">
        <v>30</v>
      </c>
    </row>
    <row r="4684" spans="1:10" x14ac:dyDescent="0.25">
      <c r="A4684" t="s">
        <v>24</v>
      </c>
      <c r="B4684" t="s">
        <v>21</v>
      </c>
      <c r="C4684" t="s">
        <v>18</v>
      </c>
      <c r="D4684" t="s">
        <v>14</v>
      </c>
      <c r="E4684">
        <v>9.1575091575091499E-4</v>
      </c>
      <c r="F4684">
        <v>0.75011921261675796</v>
      </c>
      <c r="G4684">
        <v>1.6463220119476301</v>
      </c>
      <c r="H4684">
        <v>3</v>
      </c>
      <c r="I4684">
        <v>3</v>
      </c>
      <c r="J4684">
        <v>30</v>
      </c>
    </row>
    <row r="4685" spans="1:10" x14ac:dyDescent="0.25">
      <c r="A4685" t="s">
        <v>24</v>
      </c>
      <c r="B4685" t="s">
        <v>21</v>
      </c>
      <c r="C4685" t="s">
        <v>18</v>
      </c>
      <c r="D4685" t="s">
        <v>14</v>
      </c>
      <c r="E4685">
        <v>9.1575091575091499E-4</v>
      </c>
      <c r="F4685">
        <v>0.75007568257500001</v>
      </c>
      <c r="G4685">
        <v>1.6165695190429601</v>
      </c>
      <c r="H4685">
        <v>3</v>
      </c>
      <c r="I4685">
        <v>3</v>
      </c>
      <c r="J4685">
        <v>30</v>
      </c>
    </row>
    <row r="4686" spans="1:10" x14ac:dyDescent="0.25">
      <c r="A4686" t="s">
        <v>24</v>
      </c>
      <c r="B4686" t="s">
        <v>21</v>
      </c>
      <c r="C4686" t="s">
        <v>18</v>
      </c>
      <c r="D4686" t="s">
        <v>14</v>
      </c>
      <c r="E4686">
        <v>2.7472527472527401E-3</v>
      </c>
      <c r="F4686">
        <v>0.75027600308782005</v>
      </c>
      <c r="G4686">
        <v>1.61254405975341</v>
      </c>
      <c r="H4686">
        <v>3</v>
      </c>
      <c r="I4686">
        <v>3</v>
      </c>
      <c r="J4686">
        <v>30</v>
      </c>
    </row>
    <row r="4687" spans="1:10" x14ac:dyDescent="0.25">
      <c r="A4687" t="s">
        <v>24</v>
      </c>
      <c r="B4687" t="s">
        <v>21</v>
      </c>
      <c r="C4687" t="s">
        <v>18</v>
      </c>
      <c r="D4687" t="s">
        <v>14</v>
      </c>
      <c r="E4687">
        <v>9.1575091575091499E-4</v>
      </c>
      <c r="F4687">
        <v>0.75010016025641002</v>
      </c>
      <c r="G4687">
        <v>1.59221291542053</v>
      </c>
      <c r="H4687">
        <v>3</v>
      </c>
      <c r="I4687">
        <v>3</v>
      </c>
      <c r="J4687">
        <v>30</v>
      </c>
    </row>
    <row r="4688" spans="1:10" x14ac:dyDescent="0.25">
      <c r="A4688" t="s">
        <v>24</v>
      </c>
      <c r="B4688" t="s">
        <v>21</v>
      </c>
      <c r="C4688" t="s">
        <v>18</v>
      </c>
      <c r="D4688" t="s">
        <v>14</v>
      </c>
      <c r="E4688">
        <v>1.83150183150183E-3</v>
      </c>
      <c r="F4688">
        <v>0.75019489519175797</v>
      </c>
      <c r="G4688">
        <v>1.6916263103485101</v>
      </c>
      <c r="H4688">
        <v>3</v>
      </c>
      <c r="I4688">
        <v>3</v>
      </c>
      <c r="J4688">
        <v>30</v>
      </c>
    </row>
    <row r="4689" spans="1:10" x14ac:dyDescent="0.25">
      <c r="A4689" t="s">
        <v>24</v>
      </c>
      <c r="B4689" t="s">
        <v>21</v>
      </c>
      <c r="C4689" t="s">
        <v>18</v>
      </c>
      <c r="D4689" t="s">
        <v>14</v>
      </c>
      <c r="E4689">
        <v>1.83150183150183E-3</v>
      </c>
      <c r="F4689">
        <v>0.75020032051282004</v>
      </c>
      <c r="G4689">
        <v>1.7504243850707999</v>
      </c>
      <c r="H4689">
        <v>3</v>
      </c>
      <c r="I4689">
        <v>3</v>
      </c>
      <c r="J4689">
        <v>30</v>
      </c>
    </row>
    <row r="4690" spans="1:10" x14ac:dyDescent="0.25">
      <c r="A4690" t="s">
        <v>24</v>
      </c>
      <c r="B4690" t="s">
        <v>21</v>
      </c>
      <c r="C4690" t="s">
        <v>18</v>
      </c>
      <c r="D4690" t="s">
        <v>14</v>
      </c>
      <c r="E4690">
        <v>9.1575091575091499E-4</v>
      </c>
      <c r="F4690">
        <v>0.75007568257500001</v>
      </c>
      <c r="G4690">
        <v>1.7649741172790501</v>
      </c>
      <c r="H4690">
        <v>3</v>
      </c>
      <c r="I4690">
        <v>3</v>
      </c>
      <c r="J4690">
        <v>30</v>
      </c>
    </row>
    <row r="4691" spans="1:10" x14ac:dyDescent="0.25">
      <c r="A4691" t="s">
        <v>24</v>
      </c>
      <c r="B4691" t="s">
        <v>21</v>
      </c>
      <c r="C4691" t="s">
        <v>18</v>
      </c>
      <c r="D4691" t="s">
        <v>14</v>
      </c>
      <c r="E4691">
        <v>1.83150183150183E-3</v>
      </c>
      <c r="F4691">
        <v>0.75010407593525597</v>
      </c>
      <c r="G4691">
        <v>1.87139844894409</v>
      </c>
      <c r="H4691">
        <v>4</v>
      </c>
      <c r="I4691">
        <v>4</v>
      </c>
      <c r="J4691">
        <v>30</v>
      </c>
    </row>
    <row r="4692" spans="1:10" x14ac:dyDescent="0.25">
      <c r="A4692" t="s">
        <v>24</v>
      </c>
      <c r="B4692" t="s">
        <v>21</v>
      </c>
      <c r="C4692" t="s">
        <v>18</v>
      </c>
      <c r="D4692" t="s">
        <v>14</v>
      </c>
      <c r="E4692">
        <v>0</v>
      </c>
      <c r="F4692">
        <v>0.75</v>
      </c>
      <c r="G4692">
        <v>1.91769671440124</v>
      </c>
      <c r="H4692">
        <v>4</v>
      </c>
      <c r="I4692">
        <v>4</v>
      </c>
      <c r="J4692">
        <v>30</v>
      </c>
    </row>
    <row r="4693" spans="1:10" x14ac:dyDescent="0.25">
      <c r="A4693" t="s">
        <v>24</v>
      </c>
      <c r="B4693" t="s">
        <v>21</v>
      </c>
      <c r="C4693" t="s">
        <v>18</v>
      </c>
      <c r="D4693" t="s">
        <v>14</v>
      </c>
      <c r="E4693">
        <v>1.83150183150183E-3</v>
      </c>
      <c r="F4693">
        <v>0.75010407593525597</v>
      </c>
      <c r="G4693">
        <v>1.93285703659057</v>
      </c>
      <c r="H4693">
        <v>4</v>
      </c>
      <c r="I4693">
        <v>4</v>
      </c>
      <c r="J4693">
        <v>30</v>
      </c>
    </row>
    <row r="4694" spans="1:10" x14ac:dyDescent="0.25">
      <c r="A4694" t="s">
        <v>24</v>
      </c>
      <c r="B4694" t="s">
        <v>21</v>
      </c>
      <c r="C4694" t="s">
        <v>18</v>
      </c>
      <c r="D4694" t="s">
        <v>14</v>
      </c>
      <c r="E4694">
        <v>9.1575091575091499E-4</v>
      </c>
      <c r="F4694">
        <v>0.75010016025641002</v>
      </c>
      <c r="G4694">
        <v>1.90552878379821</v>
      </c>
      <c r="H4694">
        <v>4</v>
      </c>
      <c r="I4694">
        <v>4</v>
      </c>
      <c r="J4694">
        <v>30</v>
      </c>
    </row>
    <row r="4695" spans="1:10" x14ac:dyDescent="0.25">
      <c r="A4695" t="s">
        <v>24</v>
      </c>
      <c r="B4695" t="s">
        <v>21</v>
      </c>
      <c r="C4695" t="s">
        <v>18</v>
      </c>
      <c r="D4695" t="s">
        <v>14</v>
      </c>
      <c r="E4695">
        <v>1.83150183150183E-3</v>
      </c>
      <c r="F4695">
        <v>0.75019489519175797</v>
      </c>
      <c r="G4695">
        <v>1.93219113349914</v>
      </c>
      <c r="H4695">
        <v>4</v>
      </c>
      <c r="I4695">
        <v>4</v>
      </c>
      <c r="J4695">
        <v>30</v>
      </c>
    </row>
    <row r="4696" spans="1:10" x14ac:dyDescent="0.25">
      <c r="A4696" t="s">
        <v>24</v>
      </c>
      <c r="B4696" t="s">
        <v>21</v>
      </c>
      <c r="C4696" t="s">
        <v>18</v>
      </c>
      <c r="D4696" t="s">
        <v>14</v>
      </c>
      <c r="E4696">
        <v>9.1575091575091499E-4</v>
      </c>
      <c r="F4696">
        <v>0.75002839336025595</v>
      </c>
      <c r="G4696">
        <v>1.90301465988159</v>
      </c>
      <c r="H4696">
        <v>4</v>
      </c>
      <c r="I4696">
        <v>4</v>
      </c>
      <c r="J4696">
        <v>30</v>
      </c>
    </row>
    <row r="4697" spans="1:10" x14ac:dyDescent="0.25">
      <c r="A4697" t="s">
        <v>24</v>
      </c>
      <c r="B4697" t="s">
        <v>21</v>
      </c>
      <c r="C4697" t="s">
        <v>18</v>
      </c>
      <c r="D4697" t="s">
        <v>14</v>
      </c>
      <c r="E4697">
        <v>1.83150183150183E-3</v>
      </c>
      <c r="F4697">
        <v>0.75008699633699605</v>
      </c>
      <c r="G4697">
        <v>1.9531807899475</v>
      </c>
      <c r="H4697">
        <v>4</v>
      </c>
      <c r="I4697">
        <v>4</v>
      </c>
      <c r="J4697">
        <v>30</v>
      </c>
    </row>
    <row r="4698" spans="1:10" x14ac:dyDescent="0.25">
      <c r="A4698" t="s">
        <v>24</v>
      </c>
      <c r="B4698" t="s">
        <v>21</v>
      </c>
      <c r="C4698" t="s">
        <v>18</v>
      </c>
      <c r="D4698" t="s">
        <v>14</v>
      </c>
      <c r="E4698">
        <v>9.1575091575091499E-4</v>
      </c>
      <c r="F4698">
        <v>0.75007568257500001</v>
      </c>
      <c r="G4698">
        <v>1.9493329524993801</v>
      </c>
      <c r="H4698">
        <v>4</v>
      </c>
      <c r="I4698">
        <v>4</v>
      </c>
      <c r="J4698">
        <v>30</v>
      </c>
    </row>
    <row r="4699" spans="1:10" x14ac:dyDescent="0.25">
      <c r="A4699" t="s">
        <v>24</v>
      </c>
      <c r="B4699" t="s">
        <v>21</v>
      </c>
      <c r="C4699" t="s">
        <v>18</v>
      </c>
      <c r="D4699" t="s">
        <v>14</v>
      </c>
      <c r="E4699">
        <v>3.66300366300366E-3</v>
      </c>
      <c r="F4699">
        <v>0.75026643823205097</v>
      </c>
      <c r="G4699">
        <v>1.9030294418334901</v>
      </c>
      <c r="H4699">
        <v>4</v>
      </c>
      <c r="I4699">
        <v>4</v>
      </c>
      <c r="J4699">
        <v>30</v>
      </c>
    </row>
    <row r="4700" spans="1:10" x14ac:dyDescent="0.25">
      <c r="A4700" t="s">
        <v>24</v>
      </c>
      <c r="B4700" t="s">
        <v>21</v>
      </c>
      <c r="C4700" t="s">
        <v>18</v>
      </c>
      <c r="D4700" t="s">
        <v>14</v>
      </c>
      <c r="E4700">
        <v>1.83150183150183E-3</v>
      </c>
      <c r="F4700">
        <v>0.75019489519175797</v>
      </c>
      <c r="G4700">
        <v>1.89891576766967</v>
      </c>
      <c r="H4700">
        <v>4</v>
      </c>
      <c r="I4700">
        <v>4</v>
      </c>
      <c r="J4700">
        <v>30</v>
      </c>
    </row>
    <row r="4701" spans="1:10" x14ac:dyDescent="0.25">
      <c r="A4701" t="s">
        <v>24</v>
      </c>
      <c r="B4701" t="s">
        <v>21</v>
      </c>
      <c r="C4701" t="s">
        <v>18</v>
      </c>
      <c r="D4701" t="s">
        <v>14</v>
      </c>
      <c r="E4701">
        <v>1.83150183150183E-3</v>
      </c>
      <c r="F4701">
        <v>0.75019489519175797</v>
      </c>
      <c r="G4701">
        <v>1.97501969337463</v>
      </c>
      <c r="H4701">
        <v>4</v>
      </c>
      <c r="I4701">
        <v>4</v>
      </c>
      <c r="J4701">
        <v>30</v>
      </c>
    </row>
    <row r="4702" spans="1:10" x14ac:dyDescent="0.25">
      <c r="A4702" t="s">
        <v>24</v>
      </c>
      <c r="B4702" t="s">
        <v>21</v>
      </c>
      <c r="C4702" t="s">
        <v>18</v>
      </c>
      <c r="D4702" t="s">
        <v>14</v>
      </c>
      <c r="E4702">
        <v>1.83150183150183E-3</v>
      </c>
      <c r="F4702">
        <v>0.75007586129349801</v>
      </c>
      <c r="G4702">
        <v>1.86646628379821</v>
      </c>
      <c r="H4702">
        <v>4</v>
      </c>
      <c r="I4702">
        <v>4</v>
      </c>
      <c r="J4702">
        <v>30</v>
      </c>
    </row>
    <row r="4703" spans="1:10" x14ac:dyDescent="0.25">
      <c r="A4703" t="s">
        <v>24</v>
      </c>
      <c r="B4703" t="s">
        <v>21</v>
      </c>
      <c r="C4703" t="s">
        <v>18</v>
      </c>
      <c r="D4703" t="s">
        <v>14</v>
      </c>
      <c r="E4703">
        <v>9.1575091575091499E-4</v>
      </c>
      <c r="F4703">
        <v>0.75007568257500001</v>
      </c>
      <c r="G4703">
        <v>1.9810936450958201</v>
      </c>
      <c r="H4703">
        <v>4</v>
      </c>
      <c r="I4703">
        <v>4</v>
      </c>
      <c r="J4703">
        <v>30</v>
      </c>
    </row>
    <row r="4704" spans="1:10" x14ac:dyDescent="0.25">
      <c r="A4704" t="s">
        <v>24</v>
      </c>
      <c r="B4704" t="s">
        <v>21</v>
      </c>
      <c r="C4704" t="s">
        <v>18</v>
      </c>
      <c r="D4704" t="s">
        <v>14</v>
      </c>
      <c r="E4704">
        <v>0</v>
      </c>
      <c r="F4704">
        <v>0.75</v>
      </c>
      <c r="G4704">
        <v>1.92908763885498</v>
      </c>
      <c r="H4704">
        <v>4</v>
      </c>
      <c r="I4704">
        <v>4</v>
      </c>
      <c r="J4704">
        <v>30</v>
      </c>
    </row>
    <row r="4705" spans="1:10" x14ac:dyDescent="0.25">
      <c r="A4705" t="s">
        <v>24</v>
      </c>
      <c r="B4705" t="s">
        <v>21</v>
      </c>
      <c r="C4705" t="s">
        <v>18</v>
      </c>
      <c r="D4705" t="s">
        <v>14</v>
      </c>
      <c r="E4705">
        <v>1.83150183150183E-3</v>
      </c>
      <c r="F4705">
        <v>0.75019489519175797</v>
      </c>
      <c r="G4705">
        <v>1.9915809631347601</v>
      </c>
      <c r="H4705">
        <v>4</v>
      </c>
      <c r="I4705">
        <v>4</v>
      </c>
      <c r="J4705">
        <v>30</v>
      </c>
    </row>
    <row r="4706" spans="1:10" x14ac:dyDescent="0.25">
      <c r="A4706" t="s">
        <v>24</v>
      </c>
      <c r="B4706" t="s">
        <v>21</v>
      </c>
      <c r="C4706" t="s">
        <v>18</v>
      </c>
      <c r="D4706" t="s">
        <v>14</v>
      </c>
      <c r="E4706">
        <v>2.7472527472527401E-3</v>
      </c>
      <c r="F4706">
        <v>0.75027600308782005</v>
      </c>
      <c r="G4706">
        <v>1.9300320148468</v>
      </c>
      <c r="H4706">
        <v>4</v>
      </c>
      <c r="I4706">
        <v>4</v>
      </c>
      <c r="J4706">
        <v>30</v>
      </c>
    </row>
    <row r="4707" spans="1:10" x14ac:dyDescent="0.25">
      <c r="A4707" t="s">
        <v>24</v>
      </c>
      <c r="B4707" t="s">
        <v>21</v>
      </c>
      <c r="C4707" t="s">
        <v>18</v>
      </c>
      <c r="D4707" t="s">
        <v>14</v>
      </c>
      <c r="E4707">
        <v>1.83150183150183E-3</v>
      </c>
      <c r="F4707">
        <v>0.750071543040293</v>
      </c>
      <c r="G4707">
        <v>1.95952701568603</v>
      </c>
      <c r="H4707">
        <v>4</v>
      </c>
      <c r="I4707">
        <v>4</v>
      </c>
      <c r="J4707">
        <v>30</v>
      </c>
    </row>
    <row r="4708" spans="1:10" x14ac:dyDescent="0.25">
      <c r="A4708" t="s">
        <v>24</v>
      </c>
      <c r="B4708" t="s">
        <v>21</v>
      </c>
      <c r="C4708" t="s">
        <v>18</v>
      </c>
      <c r="D4708" t="s">
        <v>14</v>
      </c>
      <c r="E4708">
        <v>9.1575091575091499E-4</v>
      </c>
      <c r="F4708">
        <v>0.75011921261675796</v>
      </c>
      <c r="G4708">
        <v>1.9820930957794101</v>
      </c>
      <c r="H4708">
        <v>4</v>
      </c>
      <c r="I4708">
        <v>4</v>
      </c>
      <c r="J4708">
        <v>30</v>
      </c>
    </row>
    <row r="4709" spans="1:10" x14ac:dyDescent="0.25">
      <c r="A4709" t="s">
        <v>24</v>
      </c>
      <c r="B4709" t="s">
        <v>21</v>
      </c>
      <c r="C4709" t="s">
        <v>18</v>
      </c>
      <c r="D4709" t="s">
        <v>14</v>
      </c>
      <c r="E4709">
        <v>2.7472527472527401E-3</v>
      </c>
      <c r="F4709">
        <v>0.75004540921199603</v>
      </c>
      <c r="G4709">
        <v>2.0552556514739901</v>
      </c>
      <c r="H4709">
        <v>5</v>
      </c>
      <c r="I4709">
        <v>5</v>
      </c>
      <c r="J4709">
        <v>30</v>
      </c>
    </row>
    <row r="4710" spans="1:10" x14ac:dyDescent="0.25">
      <c r="A4710" t="s">
        <v>24</v>
      </c>
      <c r="B4710" t="s">
        <v>21</v>
      </c>
      <c r="C4710" t="s">
        <v>18</v>
      </c>
      <c r="D4710" t="s">
        <v>14</v>
      </c>
      <c r="E4710">
        <v>0</v>
      </c>
      <c r="F4710">
        <v>0.75</v>
      </c>
      <c r="G4710">
        <v>1.5887215137481601</v>
      </c>
      <c r="H4710">
        <v>4</v>
      </c>
      <c r="I4710">
        <v>4</v>
      </c>
      <c r="J4710">
        <v>30</v>
      </c>
    </row>
    <row r="4711" spans="1:10" x14ac:dyDescent="0.25">
      <c r="A4711" t="s">
        <v>24</v>
      </c>
      <c r="B4711" t="s">
        <v>21</v>
      </c>
      <c r="C4711" t="s">
        <v>18</v>
      </c>
      <c r="D4711" t="s">
        <v>14</v>
      </c>
      <c r="E4711">
        <v>0</v>
      </c>
      <c r="F4711">
        <v>0.75</v>
      </c>
      <c r="G4711">
        <v>1.60827660560607</v>
      </c>
      <c r="H4711">
        <v>4</v>
      </c>
      <c r="I4711">
        <v>4</v>
      </c>
      <c r="J4711">
        <v>30</v>
      </c>
    </row>
    <row r="4712" spans="1:10" x14ac:dyDescent="0.25">
      <c r="A4712" t="s">
        <v>24</v>
      </c>
      <c r="B4712" t="s">
        <v>21</v>
      </c>
      <c r="C4712" t="s">
        <v>18</v>
      </c>
      <c r="D4712" t="s">
        <v>15</v>
      </c>
      <c r="E4712">
        <v>0</v>
      </c>
      <c r="F4712">
        <v>0.75</v>
      </c>
      <c r="G4712">
        <v>15.326278924942001</v>
      </c>
      <c r="H4712">
        <v>0</v>
      </c>
      <c r="I4712">
        <v>0</v>
      </c>
      <c r="J4712">
        <v>30</v>
      </c>
    </row>
    <row r="4713" spans="1:10" x14ac:dyDescent="0.25">
      <c r="A4713" t="s">
        <v>24</v>
      </c>
      <c r="B4713" t="s">
        <v>21</v>
      </c>
      <c r="C4713" t="s">
        <v>18</v>
      </c>
      <c r="D4713" t="s">
        <v>15</v>
      </c>
      <c r="E4713">
        <v>0</v>
      </c>
      <c r="F4713">
        <v>0.75</v>
      </c>
      <c r="G4713">
        <v>15.3930206298828</v>
      </c>
      <c r="H4713">
        <v>0</v>
      </c>
      <c r="I4713">
        <v>0</v>
      </c>
      <c r="J4713">
        <v>30</v>
      </c>
    </row>
    <row r="4714" spans="1:10" x14ac:dyDescent="0.25">
      <c r="A4714" t="s">
        <v>24</v>
      </c>
      <c r="B4714" t="s">
        <v>21</v>
      </c>
      <c r="C4714" t="s">
        <v>18</v>
      </c>
      <c r="D4714" t="s">
        <v>15</v>
      </c>
      <c r="E4714">
        <v>0</v>
      </c>
      <c r="F4714">
        <v>0.75</v>
      </c>
      <c r="G4714">
        <v>16.5247111320495</v>
      </c>
      <c r="H4714">
        <v>0</v>
      </c>
      <c r="I4714">
        <v>0</v>
      </c>
      <c r="J4714">
        <v>30</v>
      </c>
    </row>
    <row r="4715" spans="1:10" x14ac:dyDescent="0.25">
      <c r="A4715" t="s">
        <v>24</v>
      </c>
      <c r="B4715" t="s">
        <v>21</v>
      </c>
      <c r="C4715" t="s">
        <v>18</v>
      </c>
      <c r="D4715" t="s">
        <v>15</v>
      </c>
      <c r="E4715">
        <v>0</v>
      </c>
      <c r="F4715">
        <v>0.75</v>
      </c>
      <c r="G4715">
        <v>17.457999944686801</v>
      </c>
      <c r="H4715">
        <v>0</v>
      </c>
      <c r="I4715">
        <v>0</v>
      </c>
      <c r="J4715">
        <v>30</v>
      </c>
    </row>
    <row r="4716" spans="1:10" x14ac:dyDescent="0.25">
      <c r="A4716" t="s">
        <v>24</v>
      </c>
      <c r="B4716" t="s">
        <v>21</v>
      </c>
      <c r="C4716" t="s">
        <v>18</v>
      </c>
      <c r="D4716" t="s">
        <v>15</v>
      </c>
      <c r="E4716">
        <v>0</v>
      </c>
      <c r="F4716">
        <v>0.75</v>
      </c>
      <c r="G4716">
        <v>17.961357116699201</v>
      </c>
      <c r="H4716">
        <v>0</v>
      </c>
      <c r="I4716">
        <v>0</v>
      </c>
      <c r="J4716">
        <v>30</v>
      </c>
    </row>
    <row r="4717" spans="1:10" x14ac:dyDescent="0.25">
      <c r="A4717" t="s">
        <v>24</v>
      </c>
      <c r="B4717" t="s">
        <v>21</v>
      </c>
      <c r="C4717" t="s">
        <v>18</v>
      </c>
      <c r="D4717" t="s">
        <v>15</v>
      </c>
      <c r="E4717">
        <v>0</v>
      </c>
      <c r="F4717">
        <v>0.75</v>
      </c>
      <c r="G4717">
        <v>17.898121356964101</v>
      </c>
      <c r="H4717">
        <v>0</v>
      </c>
      <c r="I4717">
        <v>0</v>
      </c>
      <c r="J4717">
        <v>30</v>
      </c>
    </row>
    <row r="4718" spans="1:10" x14ac:dyDescent="0.25">
      <c r="A4718" t="s">
        <v>24</v>
      </c>
      <c r="B4718" t="s">
        <v>21</v>
      </c>
      <c r="C4718" t="s">
        <v>18</v>
      </c>
      <c r="D4718" t="s">
        <v>15</v>
      </c>
      <c r="E4718">
        <v>0</v>
      </c>
      <c r="F4718">
        <v>0.75</v>
      </c>
      <c r="G4718">
        <v>19.128105640411299</v>
      </c>
      <c r="H4718">
        <v>0</v>
      </c>
      <c r="I4718">
        <v>0</v>
      </c>
      <c r="J4718">
        <v>30</v>
      </c>
    </row>
    <row r="4719" spans="1:10" x14ac:dyDescent="0.25">
      <c r="A4719" t="s">
        <v>24</v>
      </c>
      <c r="B4719" t="s">
        <v>21</v>
      </c>
      <c r="C4719" t="s">
        <v>18</v>
      </c>
      <c r="D4719" t="s">
        <v>15</v>
      </c>
      <c r="E4719">
        <v>0</v>
      </c>
      <c r="F4719">
        <v>0.75</v>
      </c>
      <c r="G4719">
        <v>19.394752264022799</v>
      </c>
      <c r="H4719">
        <v>0</v>
      </c>
      <c r="I4719">
        <v>0</v>
      </c>
      <c r="J4719">
        <v>30</v>
      </c>
    </row>
    <row r="4720" spans="1:10" x14ac:dyDescent="0.25">
      <c r="A4720" t="s">
        <v>24</v>
      </c>
      <c r="B4720" t="s">
        <v>21</v>
      </c>
      <c r="C4720" t="s">
        <v>18</v>
      </c>
      <c r="D4720" t="s">
        <v>15</v>
      </c>
      <c r="E4720">
        <v>0</v>
      </c>
      <c r="F4720">
        <v>0.75</v>
      </c>
      <c r="G4720">
        <v>19.8169989585876</v>
      </c>
      <c r="H4720">
        <v>0</v>
      </c>
      <c r="I4720">
        <v>0</v>
      </c>
      <c r="J4720">
        <v>30</v>
      </c>
    </row>
    <row r="4721" spans="1:10" x14ac:dyDescent="0.25">
      <c r="A4721" t="s">
        <v>24</v>
      </c>
      <c r="B4721" t="s">
        <v>21</v>
      </c>
      <c r="C4721" t="s">
        <v>18</v>
      </c>
      <c r="D4721" t="s">
        <v>15</v>
      </c>
      <c r="E4721">
        <v>0</v>
      </c>
      <c r="F4721">
        <v>0.75</v>
      </c>
      <c r="G4721">
        <v>19.999005079269399</v>
      </c>
      <c r="H4721">
        <v>0</v>
      </c>
      <c r="I4721">
        <v>0</v>
      </c>
      <c r="J4721">
        <v>30</v>
      </c>
    </row>
    <row r="4722" spans="1:10" x14ac:dyDescent="0.25">
      <c r="A4722" t="s">
        <v>24</v>
      </c>
      <c r="B4722" t="s">
        <v>21</v>
      </c>
      <c r="C4722" t="s">
        <v>18</v>
      </c>
      <c r="D4722" t="s">
        <v>15</v>
      </c>
      <c r="E4722">
        <v>0</v>
      </c>
      <c r="F4722">
        <v>0.75</v>
      </c>
      <c r="G4722">
        <v>28.317086696624699</v>
      </c>
      <c r="H4722">
        <v>0</v>
      </c>
      <c r="I4722">
        <v>0</v>
      </c>
      <c r="J4722">
        <v>30</v>
      </c>
    </row>
    <row r="4723" spans="1:10" x14ac:dyDescent="0.25">
      <c r="A4723" t="s">
        <v>24</v>
      </c>
      <c r="B4723" t="s">
        <v>21</v>
      </c>
      <c r="C4723" t="s">
        <v>18</v>
      </c>
      <c r="D4723" t="s">
        <v>15</v>
      </c>
      <c r="E4723">
        <v>0</v>
      </c>
      <c r="F4723">
        <v>0.75</v>
      </c>
      <c r="G4723">
        <v>28.726371526718101</v>
      </c>
      <c r="H4723">
        <v>0</v>
      </c>
      <c r="I4723">
        <v>0</v>
      </c>
      <c r="J4723">
        <v>30</v>
      </c>
    </row>
    <row r="4724" spans="1:10" x14ac:dyDescent="0.25">
      <c r="A4724" t="s">
        <v>24</v>
      </c>
      <c r="B4724" t="s">
        <v>21</v>
      </c>
      <c r="C4724" t="s">
        <v>18</v>
      </c>
      <c r="D4724" t="s">
        <v>15</v>
      </c>
      <c r="E4724">
        <v>0</v>
      </c>
      <c r="F4724">
        <v>0.75</v>
      </c>
      <c r="G4724">
        <v>29.123066663742001</v>
      </c>
      <c r="H4724">
        <v>1</v>
      </c>
      <c r="I4724">
        <v>3</v>
      </c>
      <c r="J4724">
        <v>30</v>
      </c>
    </row>
    <row r="4725" spans="1:10" x14ac:dyDescent="0.25">
      <c r="A4725" t="s">
        <v>24</v>
      </c>
      <c r="B4725" t="s">
        <v>21</v>
      </c>
      <c r="C4725" t="s">
        <v>18</v>
      </c>
      <c r="D4725" t="s">
        <v>15</v>
      </c>
      <c r="E4725">
        <v>0</v>
      </c>
      <c r="F4725">
        <v>0.75</v>
      </c>
      <c r="G4725">
        <v>30.1203401088714</v>
      </c>
      <c r="H4725">
        <v>0</v>
      </c>
      <c r="I4725">
        <v>0</v>
      </c>
      <c r="J4725">
        <v>30</v>
      </c>
    </row>
    <row r="4726" spans="1:10" x14ac:dyDescent="0.25">
      <c r="A4726" t="s">
        <v>24</v>
      </c>
      <c r="B4726" t="s">
        <v>21</v>
      </c>
      <c r="C4726" t="s">
        <v>18</v>
      </c>
      <c r="D4726" t="s">
        <v>15</v>
      </c>
      <c r="E4726">
        <v>0</v>
      </c>
      <c r="F4726">
        <v>0.75</v>
      </c>
      <c r="G4726">
        <v>31.4733486175537</v>
      </c>
      <c r="H4726">
        <v>0</v>
      </c>
      <c r="I4726">
        <v>0</v>
      </c>
      <c r="J4726">
        <v>30</v>
      </c>
    </row>
    <row r="4727" spans="1:10" x14ac:dyDescent="0.25">
      <c r="A4727" t="s">
        <v>24</v>
      </c>
      <c r="B4727" t="s">
        <v>21</v>
      </c>
      <c r="C4727" t="s">
        <v>18</v>
      </c>
      <c r="D4727" t="s">
        <v>15</v>
      </c>
      <c r="E4727">
        <v>0</v>
      </c>
      <c r="F4727">
        <v>0.75</v>
      </c>
      <c r="G4727">
        <v>31.686496973037698</v>
      </c>
      <c r="H4727">
        <v>0</v>
      </c>
      <c r="I4727">
        <v>0</v>
      </c>
      <c r="J4727">
        <v>30</v>
      </c>
    </row>
    <row r="4728" spans="1:10" x14ac:dyDescent="0.25">
      <c r="A4728" t="s">
        <v>24</v>
      </c>
      <c r="B4728" t="s">
        <v>21</v>
      </c>
      <c r="C4728" t="s">
        <v>18</v>
      </c>
      <c r="D4728" t="s">
        <v>15</v>
      </c>
      <c r="E4728">
        <v>0</v>
      </c>
      <c r="F4728">
        <v>0.75</v>
      </c>
      <c r="G4728">
        <v>36.851390361785803</v>
      </c>
      <c r="H4728">
        <v>0</v>
      </c>
      <c r="I4728">
        <v>0</v>
      </c>
      <c r="J4728">
        <v>30</v>
      </c>
    </row>
    <row r="4729" spans="1:10" x14ac:dyDescent="0.25">
      <c r="A4729" t="s">
        <v>24</v>
      </c>
      <c r="B4729" t="s">
        <v>21</v>
      </c>
      <c r="C4729" t="s">
        <v>18</v>
      </c>
      <c r="D4729" t="s">
        <v>15</v>
      </c>
      <c r="E4729">
        <v>0</v>
      </c>
      <c r="F4729">
        <v>0.75</v>
      </c>
      <c r="G4729">
        <v>37.319661855697603</v>
      </c>
      <c r="H4729">
        <v>1</v>
      </c>
      <c r="I4729">
        <v>3</v>
      </c>
      <c r="J4729">
        <v>30</v>
      </c>
    </row>
    <row r="4730" spans="1:10" x14ac:dyDescent="0.25">
      <c r="A4730" t="s">
        <v>24</v>
      </c>
      <c r="B4730" t="s">
        <v>21</v>
      </c>
      <c r="C4730" t="s">
        <v>18</v>
      </c>
      <c r="D4730" t="s">
        <v>15</v>
      </c>
      <c r="E4730">
        <v>0</v>
      </c>
      <c r="F4730">
        <v>0.75</v>
      </c>
      <c r="G4730">
        <v>38.5772931575775</v>
      </c>
      <c r="H4730">
        <v>0</v>
      </c>
      <c r="I4730">
        <v>0</v>
      </c>
      <c r="J4730">
        <v>30</v>
      </c>
    </row>
    <row r="4731" spans="1:10" x14ac:dyDescent="0.25">
      <c r="A4731" t="s">
        <v>24</v>
      </c>
      <c r="B4731" t="s">
        <v>21</v>
      </c>
      <c r="C4731" t="s">
        <v>18</v>
      </c>
      <c r="D4731" t="s">
        <v>15</v>
      </c>
      <c r="E4731">
        <v>0</v>
      </c>
      <c r="F4731">
        <v>0.75</v>
      </c>
      <c r="G4731">
        <v>39.056097984313901</v>
      </c>
      <c r="H4731">
        <v>1</v>
      </c>
      <c r="I4731">
        <v>2</v>
      </c>
      <c r="J4731">
        <v>30</v>
      </c>
    </row>
    <row r="4732" spans="1:10" x14ac:dyDescent="0.25">
      <c r="A4732" t="s">
        <v>24</v>
      </c>
      <c r="B4732" t="s">
        <v>21</v>
      </c>
      <c r="C4732" t="s">
        <v>18</v>
      </c>
      <c r="D4732" t="s">
        <v>15</v>
      </c>
      <c r="E4732">
        <v>9.1575091575091499E-4</v>
      </c>
      <c r="F4732">
        <v>0.74999542124542096</v>
      </c>
      <c r="G4732">
        <v>39.871763944625798</v>
      </c>
      <c r="H4732">
        <v>2</v>
      </c>
      <c r="I4732">
        <v>6</v>
      </c>
      <c r="J4732">
        <v>30</v>
      </c>
    </row>
    <row r="4733" spans="1:10" x14ac:dyDescent="0.25">
      <c r="A4733" t="s">
        <v>24</v>
      </c>
      <c r="B4733" t="s">
        <v>21</v>
      </c>
      <c r="C4733" t="s">
        <v>18</v>
      </c>
      <c r="D4733" t="s">
        <v>15</v>
      </c>
      <c r="E4733">
        <v>0</v>
      </c>
      <c r="F4733">
        <v>0.75</v>
      </c>
      <c r="G4733">
        <v>39.927903652191098</v>
      </c>
      <c r="H4733">
        <v>0</v>
      </c>
      <c r="I4733">
        <v>0</v>
      </c>
      <c r="J4733">
        <v>30</v>
      </c>
    </row>
    <row r="4734" spans="1:10" x14ac:dyDescent="0.25">
      <c r="A4734" t="s">
        <v>24</v>
      </c>
      <c r="B4734" t="s">
        <v>21</v>
      </c>
      <c r="C4734" t="s">
        <v>18</v>
      </c>
      <c r="D4734" t="s">
        <v>15</v>
      </c>
      <c r="E4734">
        <v>9.1575091575091499E-4</v>
      </c>
      <c r="F4734">
        <v>0.74999542124542096</v>
      </c>
      <c r="G4734">
        <v>44.316662311553898</v>
      </c>
      <c r="H4734">
        <v>3</v>
      </c>
      <c r="I4734">
        <v>8</v>
      </c>
      <c r="J4734">
        <v>30</v>
      </c>
    </row>
    <row r="4735" spans="1:10" x14ac:dyDescent="0.25">
      <c r="A4735" t="s">
        <v>24</v>
      </c>
      <c r="B4735" t="s">
        <v>21</v>
      </c>
      <c r="C4735" t="s">
        <v>18</v>
      </c>
      <c r="D4735" t="s">
        <v>15</v>
      </c>
      <c r="E4735">
        <v>0</v>
      </c>
      <c r="F4735">
        <v>0.75</v>
      </c>
      <c r="G4735">
        <v>47.678147077560403</v>
      </c>
      <c r="H4735">
        <v>1</v>
      </c>
      <c r="I4735">
        <v>4</v>
      </c>
      <c r="J4735">
        <v>30</v>
      </c>
    </row>
    <row r="4736" spans="1:10" x14ac:dyDescent="0.25">
      <c r="A4736" t="s">
        <v>24</v>
      </c>
      <c r="B4736" t="s">
        <v>21</v>
      </c>
      <c r="C4736" t="s">
        <v>18</v>
      </c>
      <c r="D4736" t="s">
        <v>15</v>
      </c>
      <c r="E4736">
        <v>0</v>
      </c>
      <c r="F4736">
        <v>0.75</v>
      </c>
      <c r="G4736">
        <v>51.504155635833698</v>
      </c>
      <c r="H4736">
        <v>2</v>
      </c>
      <c r="I4736">
        <v>6</v>
      </c>
      <c r="J4736">
        <v>30</v>
      </c>
    </row>
    <row r="4737" spans="1:10" x14ac:dyDescent="0.25">
      <c r="A4737" t="s">
        <v>24</v>
      </c>
      <c r="B4737" t="s">
        <v>21</v>
      </c>
      <c r="C4737" t="s">
        <v>18</v>
      </c>
      <c r="D4737" t="s">
        <v>15</v>
      </c>
      <c r="E4737">
        <v>2.7472527472527401E-3</v>
      </c>
      <c r="F4737">
        <v>0.750082417582417</v>
      </c>
      <c r="G4737">
        <v>52.574816465377801</v>
      </c>
      <c r="H4737">
        <v>3</v>
      </c>
      <c r="I4737">
        <v>9</v>
      </c>
      <c r="J4737">
        <v>30</v>
      </c>
    </row>
    <row r="4738" spans="1:10" x14ac:dyDescent="0.25">
      <c r="A4738" t="s">
        <v>24</v>
      </c>
      <c r="B4738" t="s">
        <v>21</v>
      </c>
      <c r="C4738" t="s">
        <v>18</v>
      </c>
      <c r="D4738" t="s">
        <v>15</v>
      </c>
      <c r="E4738">
        <v>0</v>
      </c>
      <c r="F4738">
        <v>0.75</v>
      </c>
      <c r="G4738">
        <v>53.724080085754302</v>
      </c>
      <c r="H4738">
        <v>2</v>
      </c>
      <c r="I4738">
        <v>8</v>
      </c>
      <c r="J4738">
        <v>30</v>
      </c>
    </row>
    <row r="4739" spans="1:10" x14ac:dyDescent="0.25">
      <c r="A4739" t="s">
        <v>24</v>
      </c>
      <c r="B4739" t="s">
        <v>21</v>
      </c>
      <c r="C4739" t="s">
        <v>18</v>
      </c>
      <c r="D4739" t="s">
        <v>15</v>
      </c>
      <c r="E4739">
        <v>0</v>
      </c>
      <c r="F4739">
        <v>0.74995192307692304</v>
      </c>
      <c r="G4739">
        <v>54.189283370971602</v>
      </c>
      <c r="H4739">
        <v>3</v>
      </c>
      <c r="I4739">
        <v>9</v>
      </c>
      <c r="J4739">
        <v>30</v>
      </c>
    </row>
    <row r="4740" spans="1:10" x14ac:dyDescent="0.25">
      <c r="A4740" t="s">
        <v>24</v>
      </c>
      <c r="B4740" t="s">
        <v>21</v>
      </c>
      <c r="C4740" t="s">
        <v>18</v>
      </c>
      <c r="D4740" t="s">
        <v>15</v>
      </c>
      <c r="E4740">
        <v>0</v>
      </c>
      <c r="F4740">
        <v>0.74995192307692304</v>
      </c>
      <c r="G4740">
        <v>55.304375171661299</v>
      </c>
      <c r="H4740">
        <v>5</v>
      </c>
      <c r="I4740">
        <v>14</v>
      </c>
      <c r="J4740">
        <v>30</v>
      </c>
    </row>
    <row r="4741" spans="1:10" x14ac:dyDescent="0.25">
      <c r="A4741" t="s">
        <v>24</v>
      </c>
      <c r="B4741" t="s">
        <v>21</v>
      </c>
      <c r="C4741" t="s">
        <v>18</v>
      </c>
      <c r="D4741" t="s">
        <v>15</v>
      </c>
      <c r="E4741">
        <v>0</v>
      </c>
      <c r="F4741">
        <v>0.75</v>
      </c>
      <c r="G4741">
        <v>56.683646678924497</v>
      </c>
      <c r="H4741">
        <v>2</v>
      </c>
      <c r="I4741">
        <v>7</v>
      </c>
      <c r="J4741">
        <v>30</v>
      </c>
    </row>
    <row r="4742" spans="1:10" x14ac:dyDescent="0.25">
      <c r="A4742" t="s">
        <v>24</v>
      </c>
      <c r="B4742" t="s">
        <v>21</v>
      </c>
      <c r="C4742" t="s">
        <v>18</v>
      </c>
      <c r="D4742" t="s">
        <v>16</v>
      </c>
      <c r="E4742">
        <v>0</v>
      </c>
      <c r="F4742">
        <v>0.75</v>
      </c>
      <c r="G4742">
        <v>0.67301011085510198</v>
      </c>
      <c r="H4742">
        <v>0</v>
      </c>
      <c r="I4742">
        <v>0</v>
      </c>
      <c r="J4742">
        <v>30</v>
      </c>
    </row>
    <row r="4743" spans="1:10" x14ac:dyDescent="0.25">
      <c r="A4743" t="s">
        <v>24</v>
      </c>
      <c r="B4743" t="s">
        <v>21</v>
      </c>
      <c r="C4743" t="s">
        <v>18</v>
      </c>
      <c r="D4743" t="s">
        <v>16</v>
      </c>
      <c r="E4743">
        <v>0</v>
      </c>
      <c r="F4743">
        <v>0.75</v>
      </c>
      <c r="G4743">
        <v>0.69708037376403797</v>
      </c>
      <c r="H4743">
        <v>0</v>
      </c>
      <c r="I4743">
        <v>0</v>
      </c>
      <c r="J4743">
        <v>30</v>
      </c>
    </row>
    <row r="4744" spans="1:10" x14ac:dyDescent="0.25">
      <c r="A4744" t="s">
        <v>24</v>
      </c>
      <c r="B4744" t="s">
        <v>21</v>
      </c>
      <c r="C4744" t="s">
        <v>18</v>
      </c>
      <c r="D4744" t="s">
        <v>16</v>
      </c>
      <c r="E4744">
        <v>0</v>
      </c>
      <c r="F4744">
        <v>0.75</v>
      </c>
      <c r="G4744">
        <v>0.70279383659362704</v>
      </c>
      <c r="H4744">
        <v>0</v>
      </c>
      <c r="I4744">
        <v>0</v>
      </c>
      <c r="J4744">
        <v>30</v>
      </c>
    </row>
    <row r="4745" spans="1:10" x14ac:dyDescent="0.25">
      <c r="A4745" t="s">
        <v>24</v>
      </c>
      <c r="B4745" t="s">
        <v>21</v>
      </c>
      <c r="C4745" t="s">
        <v>18</v>
      </c>
      <c r="D4745" t="s">
        <v>16</v>
      </c>
      <c r="E4745">
        <v>0</v>
      </c>
      <c r="F4745">
        <v>0.75</v>
      </c>
      <c r="G4745">
        <v>0.64783024787902799</v>
      </c>
      <c r="H4745">
        <v>0</v>
      </c>
      <c r="I4745">
        <v>0</v>
      </c>
      <c r="J4745">
        <v>30</v>
      </c>
    </row>
    <row r="4746" spans="1:10" x14ac:dyDescent="0.25">
      <c r="A4746" t="s">
        <v>24</v>
      </c>
      <c r="B4746" t="s">
        <v>21</v>
      </c>
      <c r="C4746" t="s">
        <v>18</v>
      </c>
      <c r="D4746" t="s">
        <v>16</v>
      </c>
      <c r="E4746">
        <v>0</v>
      </c>
      <c r="F4746">
        <v>0.75</v>
      </c>
      <c r="G4746">
        <v>0.69784927368163996</v>
      </c>
      <c r="H4746">
        <v>0</v>
      </c>
      <c r="I4746">
        <v>0</v>
      </c>
      <c r="J4746">
        <v>30</v>
      </c>
    </row>
    <row r="4747" spans="1:10" x14ac:dyDescent="0.25">
      <c r="A4747" t="s">
        <v>24</v>
      </c>
      <c r="B4747" t="s">
        <v>21</v>
      </c>
      <c r="C4747" t="s">
        <v>18</v>
      </c>
      <c r="D4747" t="s">
        <v>16</v>
      </c>
      <c r="E4747">
        <v>0</v>
      </c>
      <c r="F4747">
        <v>0.75</v>
      </c>
      <c r="G4747">
        <v>0.84134221076965299</v>
      </c>
      <c r="H4747">
        <v>0</v>
      </c>
      <c r="I4747">
        <v>0</v>
      </c>
      <c r="J4747">
        <v>30</v>
      </c>
    </row>
    <row r="4748" spans="1:10" x14ac:dyDescent="0.25">
      <c r="A4748" t="s">
        <v>24</v>
      </c>
      <c r="B4748" t="s">
        <v>21</v>
      </c>
      <c r="C4748" t="s">
        <v>18</v>
      </c>
      <c r="D4748" t="s">
        <v>16</v>
      </c>
      <c r="E4748">
        <v>0</v>
      </c>
      <c r="F4748">
        <v>0.75</v>
      </c>
      <c r="G4748">
        <v>0.70718836784362704</v>
      </c>
      <c r="H4748">
        <v>0</v>
      </c>
      <c r="I4748">
        <v>0</v>
      </c>
      <c r="J4748">
        <v>30</v>
      </c>
    </row>
    <row r="4749" spans="1:10" x14ac:dyDescent="0.25">
      <c r="A4749" t="s">
        <v>24</v>
      </c>
      <c r="B4749" t="s">
        <v>21</v>
      </c>
      <c r="C4749" t="s">
        <v>18</v>
      </c>
      <c r="D4749" t="s">
        <v>16</v>
      </c>
      <c r="E4749">
        <v>0</v>
      </c>
      <c r="F4749">
        <v>0.75</v>
      </c>
      <c r="G4749">
        <v>0.83892560005187899</v>
      </c>
      <c r="H4749">
        <v>0</v>
      </c>
      <c r="I4749">
        <v>0</v>
      </c>
      <c r="J4749">
        <v>30</v>
      </c>
    </row>
    <row r="4750" spans="1:10" x14ac:dyDescent="0.25">
      <c r="A4750" t="s">
        <v>24</v>
      </c>
      <c r="B4750" t="s">
        <v>21</v>
      </c>
      <c r="C4750" t="s">
        <v>18</v>
      </c>
      <c r="D4750" t="s">
        <v>16</v>
      </c>
      <c r="E4750">
        <v>0</v>
      </c>
      <c r="F4750">
        <v>0.75</v>
      </c>
      <c r="G4750">
        <v>0.84238004684448198</v>
      </c>
      <c r="H4750">
        <v>0</v>
      </c>
      <c r="I4750">
        <v>0</v>
      </c>
      <c r="J4750">
        <v>30</v>
      </c>
    </row>
    <row r="4751" spans="1:10" x14ac:dyDescent="0.25">
      <c r="A4751" t="s">
        <v>24</v>
      </c>
      <c r="B4751" t="s">
        <v>21</v>
      </c>
      <c r="C4751" t="s">
        <v>18</v>
      </c>
      <c r="D4751" t="s">
        <v>16</v>
      </c>
      <c r="E4751">
        <v>0</v>
      </c>
      <c r="F4751">
        <v>0.75</v>
      </c>
      <c r="G4751">
        <v>0.80512762069702104</v>
      </c>
      <c r="H4751">
        <v>0</v>
      </c>
      <c r="I4751">
        <v>0</v>
      </c>
      <c r="J4751">
        <v>30</v>
      </c>
    </row>
    <row r="4752" spans="1:10" x14ac:dyDescent="0.25">
      <c r="A4752" t="s">
        <v>24</v>
      </c>
      <c r="B4752" t="s">
        <v>21</v>
      </c>
      <c r="C4752" t="s">
        <v>18</v>
      </c>
      <c r="D4752" t="s">
        <v>16</v>
      </c>
      <c r="E4752">
        <v>0</v>
      </c>
      <c r="F4752">
        <v>0.75</v>
      </c>
      <c r="G4752">
        <v>0.89012742042541504</v>
      </c>
      <c r="H4752">
        <v>0</v>
      </c>
      <c r="I4752">
        <v>0</v>
      </c>
      <c r="J4752">
        <v>30</v>
      </c>
    </row>
    <row r="4753" spans="1:10" x14ac:dyDescent="0.25">
      <c r="A4753" t="s">
        <v>24</v>
      </c>
      <c r="B4753" t="s">
        <v>21</v>
      </c>
      <c r="C4753" t="s">
        <v>18</v>
      </c>
      <c r="D4753" t="s">
        <v>16</v>
      </c>
      <c r="E4753">
        <v>0</v>
      </c>
      <c r="F4753">
        <v>0.75</v>
      </c>
      <c r="G4753">
        <v>0.78000617027282704</v>
      </c>
      <c r="H4753">
        <v>0</v>
      </c>
      <c r="I4753">
        <v>0</v>
      </c>
      <c r="J4753">
        <v>30</v>
      </c>
    </row>
    <row r="4754" spans="1:10" x14ac:dyDescent="0.25">
      <c r="A4754" t="s">
        <v>24</v>
      </c>
      <c r="B4754" t="s">
        <v>21</v>
      </c>
      <c r="C4754" t="s">
        <v>18</v>
      </c>
      <c r="D4754" t="s">
        <v>16</v>
      </c>
      <c r="E4754">
        <v>0</v>
      </c>
      <c r="F4754">
        <v>0.75</v>
      </c>
      <c r="G4754">
        <v>0.89622712135314897</v>
      </c>
      <c r="H4754">
        <v>0</v>
      </c>
      <c r="I4754">
        <v>0</v>
      </c>
      <c r="J4754">
        <v>30</v>
      </c>
    </row>
    <row r="4755" spans="1:10" x14ac:dyDescent="0.25">
      <c r="A4755" t="s">
        <v>24</v>
      </c>
      <c r="B4755" t="s">
        <v>21</v>
      </c>
      <c r="C4755" t="s">
        <v>18</v>
      </c>
      <c r="D4755" t="s">
        <v>16</v>
      </c>
      <c r="E4755">
        <v>0</v>
      </c>
      <c r="F4755">
        <v>0.75</v>
      </c>
      <c r="G4755">
        <v>0.91880321502685502</v>
      </c>
      <c r="H4755">
        <v>0</v>
      </c>
      <c r="I4755">
        <v>0</v>
      </c>
      <c r="J4755">
        <v>30</v>
      </c>
    </row>
    <row r="4756" spans="1:10" x14ac:dyDescent="0.25">
      <c r="A4756" t="s">
        <v>24</v>
      </c>
      <c r="B4756" t="s">
        <v>21</v>
      </c>
      <c r="C4756" t="s">
        <v>18</v>
      </c>
      <c r="D4756" t="s">
        <v>16</v>
      </c>
      <c r="E4756">
        <v>0</v>
      </c>
      <c r="F4756">
        <v>0.75</v>
      </c>
      <c r="G4756">
        <v>0.89696025848388605</v>
      </c>
      <c r="H4756">
        <v>0</v>
      </c>
      <c r="I4756">
        <v>0</v>
      </c>
      <c r="J4756">
        <v>30</v>
      </c>
    </row>
    <row r="4757" spans="1:10" x14ac:dyDescent="0.25">
      <c r="A4757" t="s">
        <v>24</v>
      </c>
      <c r="B4757" t="s">
        <v>21</v>
      </c>
      <c r="C4757" t="s">
        <v>18</v>
      </c>
      <c r="D4757" t="s">
        <v>16</v>
      </c>
      <c r="E4757">
        <v>0</v>
      </c>
      <c r="F4757">
        <v>0.75</v>
      </c>
      <c r="G4757">
        <v>0.90319395065307595</v>
      </c>
      <c r="H4757">
        <v>0</v>
      </c>
      <c r="I4757">
        <v>0</v>
      </c>
      <c r="J4757">
        <v>30</v>
      </c>
    </row>
    <row r="4758" spans="1:10" x14ac:dyDescent="0.25">
      <c r="A4758" t="s">
        <v>24</v>
      </c>
      <c r="B4758" t="s">
        <v>21</v>
      </c>
      <c r="C4758" t="s">
        <v>18</v>
      </c>
      <c r="D4758" t="s">
        <v>16</v>
      </c>
      <c r="E4758">
        <v>0</v>
      </c>
      <c r="F4758">
        <v>0.75</v>
      </c>
      <c r="G4758">
        <v>0.846782445907592</v>
      </c>
      <c r="H4758">
        <v>0</v>
      </c>
      <c r="I4758">
        <v>0</v>
      </c>
      <c r="J4758">
        <v>30</v>
      </c>
    </row>
    <row r="4759" spans="1:10" x14ac:dyDescent="0.25">
      <c r="A4759" t="s">
        <v>24</v>
      </c>
      <c r="B4759" t="s">
        <v>21</v>
      </c>
      <c r="C4759" t="s">
        <v>18</v>
      </c>
      <c r="D4759" t="s">
        <v>16</v>
      </c>
      <c r="E4759">
        <v>0</v>
      </c>
      <c r="F4759">
        <v>0.75</v>
      </c>
      <c r="G4759">
        <v>0.83321619033813399</v>
      </c>
      <c r="H4759">
        <v>0</v>
      </c>
      <c r="I4759">
        <v>0</v>
      </c>
      <c r="J4759">
        <v>30</v>
      </c>
    </row>
    <row r="4760" spans="1:10" x14ac:dyDescent="0.25">
      <c r="A4760" t="s">
        <v>24</v>
      </c>
      <c r="B4760" t="s">
        <v>21</v>
      </c>
      <c r="C4760" t="s">
        <v>18</v>
      </c>
      <c r="D4760" t="s">
        <v>16</v>
      </c>
      <c r="E4760">
        <v>0</v>
      </c>
      <c r="F4760">
        <v>0.75</v>
      </c>
      <c r="G4760">
        <v>0.89855980873107899</v>
      </c>
      <c r="H4760">
        <v>0</v>
      </c>
      <c r="I4760">
        <v>0</v>
      </c>
      <c r="J4760">
        <v>30</v>
      </c>
    </row>
    <row r="4761" spans="1:10" x14ac:dyDescent="0.25">
      <c r="A4761" t="s">
        <v>24</v>
      </c>
      <c r="B4761" t="s">
        <v>21</v>
      </c>
      <c r="C4761" t="s">
        <v>18</v>
      </c>
      <c r="D4761" t="s">
        <v>16</v>
      </c>
      <c r="E4761">
        <v>0</v>
      </c>
      <c r="F4761">
        <v>0.75</v>
      </c>
      <c r="G4761">
        <v>0.87944078445434504</v>
      </c>
      <c r="H4761">
        <v>0</v>
      </c>
      <c r="I4761">
        <v>0</v>
      </c>
      <c r="J4761">
        <v>30</v>
      </c>
    </row>
    <row r="4762" spans="1:10" x14ac:dyDescent="0.25">
      <c r="A4762" t="s">
        <v>24</v>
      </c>
      <c r="B4762" t="s">
        <v>21</v>
      </c>
      <c r="C4762" t="s">
        <v>18</v>
      </c>
      <c r="D4762" t="s">
        <v>16</v>
      </c>
      <c r="E4762">
        <v>0</v>
      </c>
      <c r="F4762">
        <v>0.75</v>
      </c>
      <c r="G4762">
        <v>0.85680079460143999</v>
      </c>
      <c r="H4762">
        <v>0</v>
      </c>
      <c r="I4762">
        <v>0</v>
      </c>
      <c r="J4762">
        <v>30</v>
      </c>
    </row>
    <row r="4763" spans="1:10" x14ac:dyDescent="0.25">
      <c r="A4763" t="s">
        <v>24</v>
      </c>
      <c r="B4763" t="s">
        <v>21</v>
      </c>
      <c r="C4763" t="s">
        <v>18</v>
      </c>
      <c r="D4763" t="s">
        <v>16</v>
      </c>
      <c r="E4763">
        <v>0</v>
      </c>
      <c r="F4763">
        <v>0.75</v>
      </c>
      <c r="G4763">
        <v>0.87637019157409601</v>
      </c>
      <c r="H4763">
        <v>0</v>
      </c>
      <c r="I4763">
        <v>0</v>
      </c>
      <c r="J4763">
        <v>30</v>
      </c>
    </row>
    <row r="4764" spans="1:10" x14ac:dyDescent="0.25">
      <c r="A4764" t="s">
        <v>24</v>
      </c>
      <c r="B4764" t="s">
        <v>21</v>
      </c>
      <c r="C4764" t="s">
        <v>18</v>
      </c>
      <c r="D4764" t="s">
        <v>16</v>
      </c>
      <c r="E4764">
        <v>0</v>
      </c>
      <c r="F4764">
        <v>0.75</v>
      </c>
      <c r="G4764">
        <v>0.91723775863647405</v>
      </c>
      <c r="H4764">
        <v>0</v>
      </c>
      <c r="I4764">
        <v>0</v>
      </c>
      <c r="J4764">
        <v>30</v>
      </c>
    </row>
    <row r="4765" spans="1:10" x14ac:dyDescent="0.25">
      <c r="A4765" t="s">
        <v>24</v>
      </c>
      <c r="B4765" t="s">
        <v>21</v>
      </c>
      <c r="C4765" t="s">
        <v>18</v>
      </c>
      <c r="D4765" t="s">
        <v>16</v>
      </c>
      <c r="E4765">
        <v>0</v>
      </c>
      <c r="F4765">
        <v>0.75</v>
      </c>
      <c r="G4765">
        <v>0.87656116485595703</v>
      </c>
      <c r="H4765">
        <v>0</v>
      </c>
      <c r="I4765">
        <v>0</v>
      </c>
      <c r="J4765">
        <v>30</v>
      </c>
    </row>
    <row r="4766" spans="1:10" x14ac:dyDescent="0.25">
      <c r="A4766" t="s">
        <v>24</v>
      </c>
      <c r="B4766" t="s">
        <v>21</v>
      </c>
      <c r="C4766" t="s">
        <v>18</v>
      </c>
      <c r="D4766" t="s">
        <v>16</v>
      </c>
      <c r="E4766">
        <v>0</v>
      </c>
      <c r="F4766">
        <v>0.75</v>
      </c>
      <c r="G4766">
        <v>0.91630458831787098</v>
      </c>
      <c r="H4766">
        <v>0</v>
      </c>
      <c r="I4766">
        <v>0</v>
      </c>
      <c r="J4766">
        <v>30</v>
      </c>
    </row>
    <row r="4767" spans="1:10" x14ac:dyDescent="0.25">
      <c r="A4767" t="s">
        <v>24</v>
      </c>
      <c r="B4767" t="s">
        <v>21</v>
      </c>
      <c r="C4767" t="s">
        <v>18</v>
      </c>
      <c r="D4767" t="s">
        <v>16</v>
      </c>
      <c r="E4767">
        <v>0</v>
      </c>
      <c r="F4767">
        <v>0.75</v>
      </c>
      <c r="G4767">
        <v>0.93180894851684504</v>
      </c>
      <c r="H4767">
        <v>0</v>
      </c>
      <c r="I4767">
        <v>0</v>
      </c>
      <c r="J4767">
        <v>30</v>
      </c>
    </row>
    <row r="4768" spans="1:10" x14ac:dyDescent="0.25">
      <c r="A4768" t="s">
        <v>24</v>
      </c>
      <c r="B4768" t="s">
        <v>21</v>
      </c>
      <c r="C4768" t="s">
        <v>18</v>
      </c>
      <c r="D4768" t="s">
        <v>16</v>
      </c>
      <c r="E4768">
        <v>0</v>
      </c>
      <c r="F4768">
        <v>0.75</v>
      </c>
      <c r="G4768">
        <v>0.81913924217224099</v>
      </c>
      <c r="H4768">
        <v>0</v>
      </c>
      <c r="I4768">
        <v>0</v>
      </c>
      <c r="J4768">
        <v>30</v>
      </c>
    </row>
    <row r="4769" spans="1:10" x14ac:dyDescent="0.25">
      <c r="A4769" t="s">
        <v>24</v>
      </c>
      <c r="B4769" t="s">
        <v>21</v>
      </c>
      <c r="C4769" t="s">
        <v>18</v>
      </c>
      <c r="D4769" t="s">
        <v>16</v>
      </c>
      <c r="E4769">
        <v>0</v>
      </c>
      <c r="F4769">
        <v>0.75</v>
      </c>
      <c r="G4769">
        <v>0.90203166007995605</v>
      </c>
      <c r="H4769">
        <v>0</v>
      </c>
      <c r="I4769">
        <v>0</v>
      </c>
      <c r="J4769">
        <v>30</v>
      </c>
    </row>
    <row r="4770" spans="1:10" x14ac:dyDescent="0.25">
      <c r="A4770" t="s">
        <v>24</v>
      </c>
      <c r="B4770" t="s">
        <v>21</v>
      </c>
      <c r="C4770" t="s">
        <v>18</v>
      </c>
      <c r="D4770" t="s">
        <v>16</v>
      </c>
      <c r="E4770">
        <v>0</v>
      </c>
      <c r="F4770">
        <v>0.75</v>
      </c>
      <c r="G4770">
        <v>0.83215069770812899</v>
      </c>
      <c r="H4770">
        <v>0</v>
      </c>
      <c r="I4770">
        <v>0</v>
      </c>
      <c r="J4770">
        <v>30</v>
      </c>
    </row>
    <row r="4771" spans="1:10" x14ac:dyDescent="0.25">
      <c r="A4771" t="s">
        <v>24</v>
      </c>
      <c r="B4771" t="s">
        <v>21</v>
      </c>
      <c r="C4771" t="s">
        <v>18</v>
      </c>
      <c r="D4771" t="s">
        <v>16</v>
      </c>
      <c r="E4771">
        <v>0</v>
      </c>
      <c r="F4771">
        <v>0.75</v>
      </c>
      <c r="G4771">
        <v>0.90673065185546797</v>
      </c>
      <c r="H4771">
        <v>0</v>
      </c>
      <c r="I4771">
        <v>0</v>
      </c>
      <c r="J4771">
        <v>30</v>
      </c>
    </row>
    <row r="4772" spans="1:10" x14ac:dyDescent="0.25">
      <c r="A4772" t="s">
        <v>24</v>
      </c>
      <c r="B4772" t="s">
        <v>21</v>
      </c>
      <c r="C4772" t="s">
        <v>18</v>
      </c>
      <c r="D4772" t="s">
        <v>17</v>
      </c>
      <c r="E4772">
        <v>0.36355311355311298</v>
      </c>
      <c r="F4772">
        <v>0.82058287461254398</v>
      </c>
      <c r="G4772">
        <v>685.758249282836</v>
      </c>
      <c r="H4772">
        <v>93</v>
      </c>
      <c r="I4772">
        <v>102</v>
      </c>
      <c r="J4772">
        <v>30</v>
      </c>
    </row>
    <row r="4773" spans="1:10" x14ac:dyDescent="0.25">
      <c r="A4773" t="s">
        <v>24</v>
      </c>
      <c r="B4773" t="s">
        <v>21</v>
      </c>
      <c r="C4773" t="s">
        <v>18</v>
      </c>
      <c r="D4773" t="s">
        <v>17</v>
      </c>
      <c r="E4773">
        <v>0.32783882783882701</v>
      </c>
      <c r="F4773">
        <v>0.81440780498140897</v>
      </c>
      <c r="G4773">
        <v>775.47686481475796</v>
      </c>
      <c r="H4773">
        <v>111</v>
      </c>
      <c r="I4773">
        <v>124</v>
      </c>
      <c r="J4773">
        <v>30</v>
      </c>
    </row>
    <row r="4774" spans="1:10" x14ac:dyDescent="0.25">
      <c r="A4774" t="s">
        <v>24</v>
      </c>
      <c r="B4774" t="s">
        <v>21</v>
      </c>
      <c r="C4774" t="s">
        <v>18</v>
      </c>
      <c r="D4774" t="s">
        <v>17</v>
      </c>
      <c r="E4774">
        <v>0.37087912087912001</v>
      </c>
      <c r="F4774">
        <v>0.82345371102957898</v>
      </c>
      <c r="G4774">
        <v>793.85130643844604</v>
      </c>
      <c r="H4774">
        <v>102</v>
      </c>
      <c r="I4774">
        <v>114</v>
      </c>
      <c r="J4774">
        <v>30</v>
      </c>
    </row>
    <row r="4775" spans="1:10" x14ac:dyDescent="0.25">
      <c r="A4775" t="s">
        <v>24</v>
      </c>
      <c r="B4775" t="s">
        <v>21</v>
      </c>
      <c r="C4775" t="s">
        <v>18</v>
      </c>
      <c r="D4775" t="s">
        <v>17</v>
      </c>
      <c r="E4775">
        <v>0.36904761904761901</v>
      </c>
      <c r="F4775">
        <v>0.81512098230595198</v>
      </c>
      <c r="G4775">
        <v>802.46435332298199</v>
      </c>
      <c r="H4775">
        <v>104</v>
      </c>
      <c r="I4775">
        <v>121</v>
      </c>
      <c r="J4775">
        <v>30</v>
      </c>
    </row>
    <row r="4776" spans="1:10" x14ac:dyDescent="0.25">
      <c r="A4776" t="s">
        <v>24</v>
      </c>
      <c r="B4776" t="s">
        <v>21</v>
      </c>
      <c r="C4776" t="s">
        <v>18</v>
      </c>
      <c r="D4776" t="s">
        <v>17</v>
      </c>
      <c r="E4776">
        <v>0.38461538461538403</v>
      </c>
      <c r="F4776">
        <v>0.821338370369047</v>
      </c>
      <c r="G4776">
        <v>810.52098059654202</v>
      </c>
      <c r="H4776">
        <v>124</v>
      </c>
      <c r="I4776">
        <v>143</v>
      </c>
      <c r="J4776">
        <v>30</v>
      </c>
    </row>
    <row r="4777" spans="1:10" x14ac:dyDescent="0.25">
      <c r="A4777" t="s">
        <v>24</v>
      </c>
      <c r="B4777" t="s">
        <v>21</v>
      </c>
      <c r="C4777" t="s">
        <v>18</v>
      </c>
      <c r="D4777" t="s">
        <v>17</v>
      </c>
      <c r="E4777">
        <v>0.36904761904761901</v>
      </c>
      <c r="F4777">
        <v>0.82093369310100694</v>
      </c>
      <c r="G4777">
        <v>819.14045238494805</v>
      </c>
      <c r="H4777">
        <v>122</v>
      </c>
      <c r="I4777">
        <v>142</v>
      </c>
      <c r="J4777">
        <v>30</v>
      </c>
    </row>
    <row r="4778" spans="1:10" x14ac:dyDescent="0.25">
      <c r="A4778" t="s">
        <v>24</v>
      </c>
      <c r="B4778" t="s">
        <v>21</v>
      </c>
      <c r="C4778" t="s">
        <v>18</v>
      </c>
      <c r="D4778" t="s">
        <v>17</v>
      </c>
      <c r="E4778">
        <v>0.39560439560439498</v>
      </c>
      <c r="F4778">
        <v>0.82370282362042002</v>
      </c>
      <c r="G4778">
        <v>831.33669257164001</v>
      </c>
      <c r="H4778">
        <v>122</v>
      </c>
      <c r="I4778">
        <v>143</v>
      </c>
      <c r="J4778">
        <v>30</v>
      </c>
    </row>
    <row r="4779" spans="1:10" x14ac:dyDescent="0.25">
      <c r="A4779" t="s">
        <v>24</v>
      </c>
      <c r="B4779" t="s">
        <v>21</v>
      </c>
      <c r="C4779" t="s">
        <v>18</v>
      </c>
      <c r="D4779" t="s">
        <v>17</v>
      </c>
      <c r="E4779">
        <v>0.36263736263736202</v>
      </c>
      <c r="F4779">
        <v>0.82066182292756296</v>
      </c>
      <c r="G4779">
        <v>839.65275716781605</v>
      </c>
      <c r="H4779">
        <v>104</v>
      </c>
      <c r="I4779">
        <v>121</v>
      </c>
      <c r="J4779">
        <v>30</v>
      </c>
    </row>
    <row r="4780" spans="1:10" x14ac:dyDescent="0.25">
      <c r="A4780" t="s">
        <v>24</v>
      </c>
      <c r="B4780" t="s">
        <v>21</v>
      </c>
      <c r="C4780" t="s">
        <v>18</v>
      </c>
      <c r="D4780" t="s">
        <v>17</v>
      </c>
      <c r="E4780">
        <v>0.38461538461538403</v>
      </c>
      <c r="F4780">
        <v>0.82314395636282001</v>
      </c>
      <c r="G4780">
        <v>862.738230705261</v>
      </c>
      <c r="H4780">
        <v>126</v>
      </c>
      <c r="I4780">
        <v>137</v>
      </c>
      <c r="J4780">
        <v>30</v>
      </c>
    </row>
    <row r="4781" spans="1:10" x14ac:dyDescent="0.25">
      <c r="A4781" t="s">
        <v>24</v>
      </c>
      <c r="B4781" t="s">
        <v>21</v>
      </c>
      <c r="C4781" t="s">
        <v>18</v>
      </c>
      <c r="D4781" t="s">
        <v>17</v>
      </c>
      <c r="E4781">
        <v>0.383699633699633</v>
      </c>
      <c r="F4781">
        <v>0.82293487717957903</v>
      </c>
      <c r="G4781">
        <v>866.28432059288002</v>
      </c>
      <c r="H4781">
        <v>132</v>
      </c>
      <c r="I4781">
        <v>155</v>
      </c>
      <c r="J4781">
        <v>30</v>
      </c>
    </row>
    <row r="4782" spans="1:10" x14ac:dyDescent="0.25">
      <c r="A4782" t="s">
        <v>24</v>
      </c>
      <c r="B4782" t="s">
        <v>21</v>
      </c>
      <c r="C4782" t="s">
        <v>18</v>
      </c>
      <c r="D4782" t="s">
        <v>17</v>
      </c>
      <c r="E4782">
        <v>0.39835164835164799</v>
      </c>
      <c r="F4782">
        <v>0.82754944655979801</v>
      </c>
      <c r="G4782">
        <v>868.01534485816899</v>
      </c>
      <c r="H4782">
        <v>134</v>
      </c>
      <c r="I4782">
        <v>162</v>
      </c>
      <c r="J4782">
        <v>30</v>
      </c>
    </row>
    <row r="4783" spans="1:10" x14ac:dyDescent="0.25">
      <c r="A4783" t="s">
        <v>24</v>
      </c>
      <c r="B4783" t="s">
        <v>21</v>
      </c>
      <c r="C4783" t="s">
        <v>18</v>
      </c>
      <c r="D4783" t="s">
        <v>17</v>
      </c>
      <c r="E4783">
        <v>0.39102564102564102</v>
      </c>
      <c r="F4783">
        <v>0.82031407228708797</v>
      </c>
      <c r="G4783">
        <v>882.53088927268902</v>
      </c>
      <c r="H4783">
        <v>134</v>
      </c>
      <c r="I4783">
        <v>162</v>
      </c>
      <c r="J4783">
        <v>30</v>
      </c>
    </row>
    <row r="4784" spans="1:10" x14ac:dyDescent="0.25">
      <c r="A4784" t="s">
        <v>24</v>
      </c>
      <c r="B4784" t="s">
        <v>21</v>
      </c>
      <c r="C4784" t="s">
        <v>18</v>
      </c>
      <c r="D4784" t="s">
        <v>17</v>
      </c>
      <c r="E4784">
        <v>0.38827838827838801</v>
      </c>
      <c r="F4784">
        <v>0.82703086807609905</v>
      </c>
      <c r="G4784">
        <v>885.73082756996098</v>
      </c>
      <c r="H4784">
        <v>138</v>
      </c>
      <c r="I4784">
        <v>158</v>
      </c>
      <c r="J4784">
        <v>30</v>
      </c>
    </row>
    <row r="4785" spans="1:10" x14ac:dyDescent="0.25">
      <c r="A4785" t="s">
        <v>24</v>
      </c>
      <c r="B4785" t="s">
        <v>21</v>
      </c>
      <c r="C4785" t="s">
        <v>18</v>
      </c>
      <c r="D4785" t="s">
        <v>17</v>
      </c>
      <c r="E4785">
        <v>0.35622710622710602</v>
      </c>
      <c r="F4785">
        <v>0.82754443014212398</v>
      </c>
      <c r="G4785">
        <v>896.98341107368401</v>
      </c>
      <c r="H4785">
        <v>97</v>
      </c>
      <c r="I4785">
        <v>109</v>
      </c>
      <c r="J4785">
        <v>30</v>
      </c>
    </row>
    <row r="4786" spans="1:10" x14ac:dyDescent="0.25">
      <c r="A4786" t="s">
        <v>24</v>
      </c>
      <c r="B4786" t="s">
        <v>21</v>
      </c>
      <c r="C4786" t="s">
        <v>18</v>
      </c>
      <c r="D4786" t="s">
        <v>17</v>
      </c>
      <c r="E4786">
        <v>0.35073260073259999</v>
      </c>
      <c r="F4786">
        <v>0.81974046801355305</v>
      </c>
      <c r="G4786">
        <v>898.00598740577698</v>
      </c>
      <c r="H4786">
        <v>108</v>
      </c>
      <c r="I4786">
        <v>125</v>
      </c>
      <c r="J4786">
        <v>30</v>
      </c>
    </row>
    <row r="4787" spans="1:10" x14ac:dyDescent="0.25">
      <c r="A4787" t="s">
        <v>24</v>
      </c>
      <c r="B4787" t="s">
        <v>21</v>
      </c>
      <c r="C4787" t="s">
        <v>18</v>
      </c>
      <c r="D4787" t="s">
        <v>17</v>
      </c>
      <c r="E4787">
        <v>0.35164835164835101</v>
      </c>
      <c r="F4787">
        <v>0.81473104048956002</v>
      </c>
      <c r="G4787">
        <v>922.21177625656105</v>
      </c>
      <c r="H4787">
        <v>114</v>
      </c>
      <c r="I4787">
        <v>130</v>
      </c>
      <c r="J4787">
        <v>30</v>
      </c>
    </row>
    <row r="4788" spans="1:10" x14ac:dyDescent="0.25">
      <c r="A4788" t="s">
        <v>24</v>
      </c>
      <c r="B4788" t="s">
        <v>21</v>
      </c>
      <c r="C4788" t="s">
        <v>18</v>
      </c>
      <c r="D4788" t="s">
        <v>17</v>
      </c>
      <c r="E4788">
        <v>0.37637362637362598</v>
      </c>
      <c r="F4788">
        <v>0.82081793358754596</v>
      </c>
      <c r="G4788">
        <v>942.00191330909695</v>
      </c>
      <c r="H4788">
        <v>122</v>
      </c>
      <c r="I4788">
        <v>148</v>
      </c>
      <c r="J4788">
        <v>30</v>
      </c>
    </row>
    <row r="4789" spans="1:10" x14ac:dyDescent="0.25">
      <c r="A4789" t="s">
        <v>24</v>
      </c>
      <c r="B4789" t="s">
        <v>21</v>
      </c>
      <c r="C4789" t="s">
        <v>18</v>
      </c>
      <c r="D4789" t="s">
        <v>17</v>
      </c>
      <c r="E4789">
        <v>0.39377289377289298</v>
      </c>
      <c r="F4789">
        <v>0.82935894230567697</v>
      </c>
      <c r="G4789">
        <v>973.21900129318203</v>
      </c>
      <c r="H4789">
        <v>140</v>
      </c>
      <c r="I4789">
        <v>167</v>
      </c>
      <c r="J4789">
        <v>30</v>
      </c>
    </row>
    <row r="4790" spans="1:10" x14ac:dyDescent="0.25">
      <c r="A4790" t="s">
        <v>24</v>
      </c>
      <c r="B4790" t="s">
        <v>21</v>
      </c>
      <c r="C4790" t="s">
        <v>18</v>
      </c>
      <c r="D4790" t="s">
        <v>17</v>
      </c>
      <c r="E4790">
        <v>0.40201465201465197</v>
      </c>
      <c r="F4790">
        <v>0.82554618015732595</v>
      </c>
      <c r="G4790">
        <v>975.04320049285798</v>
      </c>
      <c r="H4790">
        <v>151</v>
      </c>
      <c r="I4790">
        <v>174</v>
      </c>
      <c r="J4790">
        <v>30</v>
      </c>
    </row>
    <row r="4791" spans="1:10" x14ac:dyDescent="0.25">
      <c r="A4791" t="s">
        <v>24</v>
      </c>
      <c r="B4791" t="s">
        <v>21</v>
      </c>
      <c r="C4791" t="s">
        <v>18</v>
      </c>
      <c r="D4791" t="s">
        <v>17</v>
      </c>
      <c r="E4791">
        <v>0.47252747252747201</v>
      </c>
      <c r="F4791">
        <v>0.84523845690686805</v>
      </c>
      <c r="G4791">
        <v>984.99334239959705</v>
      </c>
      <c r="H4791">
        <v>137</v>
      </c>
      <c r="I4791">
        <v>162</v>
      </c>
      <c r="J4791">
        <v>30</v>
      </c>
    </row>
    <row r="4792" spans="1:10" x14ac:dyDescent="0.25">
      <c r="A4792" t="s">
        <v>24</v>
      </c>
      <c r="B4792" t="s">
        <v>21</v>
      </c>
      <c r="C4792" t="s">
        <v>18</v>
      </c>
      <c r="D4792" t="s">
        <v>17</v>
      </c>
      <c r="E4792">
        <v>0.482600732600732</v>
      </c>
      <c r="F4792">
        <v>0.83091679277564001</v>
      </c>
      <c r="G4792">
        <v>1079.9181442260699</v>
      </c>
      <c r="H4792">
        <v>209</v>
      </c>
      <c r="I4792">
        <v>262</v>
      </c>
      <c r="J4792">
        <v>30</v>
      </c>
    </row>
    <row r="4793" spans="1:10" x14ac:dyDescent="0.25">
      <c r="A4793" t="s">
        <v>24</v>
      </c>
      <c r="B4793" t="s">
        <v>21</v>
      </c>
      <c r="C4793" t="s">
        <v>18</v>
      </c>
      <c r="D4793" t="s">
        <v>17</v>
      </c>
      <c r="E4793">
        <v>0.512820512820512</v>
      </c>
      <c r="F4793">
        <v>0.83531856760164702</v>
      </c>
      <c r="G4793">
        <v>1081.1963143348601</v>
      </c>
      <c r="H4793">
        <v>228</v>
      </c>
      <c r="I4793">
        <v>300</v>
      </c>
      <c r="J4793">
        <v>30</v>
      </c>
    </row>
    <row r="4794" spans="1:10" x14ac:dyDescent="0.25">
      <c r="A4794" t="s">
        <v>24</v>
      </c>
      <c r="B4794" t="s">
        <v>21</v>
      </c>
      <c r="C4794" t="s">
        <v>18</v>
      </c>
      <c r="D4794" t="s">
        <v>17</v>
      </c>
      <c r="E4794">
        <v>0.512820512820512</v>
      </c>
      <c r="F4794">
        <v>0.84431781327674005</v>
      </c>
      <c r="G4794">
        <v>1093.1300356388001</v>
      </c>
      <c r="H4794">
        <v>200</v>
      </c>
      <c r="I4794">
        <v>249</v>
      </c>
      <c r="J4794">
        <v>30</v>
      </c>
    </row>
    <row r="4795" spans="1:10" x14ac:dyDescent="0.25">
      <c r="A4795" t="s">
        <v>24</v>
      </c>
      <c r="B4795" t="s">
        <v>21</v>
      </c>
      <c r="C4795" t="s">
        <v>18</v>
      </c>
      <c r="D4795" t="s">
        <v>17</v>
      </c>
      <c r="E4795">
        <v>0.51373626373626302</v>
      </c>
      <c r="F4795">
        <v>0.84629053276181299</v>
      </c>
      <c r="G4795">
        <v>1105.0184915065699</v>
      </c>
      <c r="H4795">
        <v>204</v>
      </c>
      <c r="I4795">
        <v>247</v>
      </c>
      <c r="J4795">
        <v>30</v>
      </c>
    </row>
    <row r="4796" spans="1:10" x14ac:dyDescent="0.25">
      <c r="A4796" t="s">
        <v>24</v>
      </c>
      <c r="B4796" t="s">
        <v>21</v>
      </c>
      <c r="C4796" t="s">
        <v>18</v>
      </c>
      <c r="D4796" t="s">
        <v>17</v>
      </c>
      <c r="E4796">
        <v>0.52472527472527397</v>
      </c>
      <c r="F4796">
        <v>0.84746214323910196</v>
      </c>
      <c r="G4796">
        <v>1136.0937080383301</v>
      </c>
      <c r="H4796">
        <v>264</v>
      </c>
      <c r="I4796">
        <v>331</v>
      </c>
      <c r="J4796">
        <v>30</v>
      </c>
    </row>
    <row r="4797" spans="1:10" x14ac:dyDescent="0.25">
      <c r="A4797" t="s">
        <v>24</v>
      </c>
      <c r="B4797" t="s">
        <v>21</v>
      </c>
      <c r="C4797" t="s">
        <v>18</v>
      </c>
      <c r="D4797" t="s">
        <v>17</v>
      </c>
      <c r="E4797">
        <v>0.53113553113553102</v>
      </c>
      <c r="F4797">
        <v>0.84087170618699603</v>
      </c>
      <c r="G4797">
        <v>1154.90184235572</v>
      </c>
      <c r="H4797">
        <v>254</v>
      </c>
      <c r="I4797">
        <v>307</v>
      </c>
      <c r="J4797">
        <v>30</v>
      </c>
    </row>
    <row r="4798" spans="1:10" x14ac:dyDescent="0.25">
      <c r="A4798" t="s">
        <v>24</v>
      </c>
      <c r="B4798" t="s">
        <v>21</v>
      </c>
      <c r="C4798" t="s">
        <v>18</v>
      </c>
      <c r="D4798" t="s">
        <v>17</v>
      </c>
      <c r="E4798">
        <v>0.56318681318681296</v>
      </c>
      <c r="F4798">
        <v>0.84942925295796601</v>
      </c>
      <c r="G4798">
        <v>1164.7570066451999</v>
      </c>
      <c r="H4798">
        <v>286</v>
      </c>
      <c r="I4798">
        <v>355</v>
      </c>
      <c r="J4798">
        <v>30</v>
      </c>
    </row>
    <row r="4799" spans="1:10" x14ac:dyDescent="0.25">
      <c r="A4799" t="s">
        <v>24</v>
      </c>
      <c r="B4799" t="s">
        <v>21</v>
      </c>
      <c r="C4799" t="s">
        <v>18</v>
      </c>
      <c r="D4799" t="s">
        <v>17</v>
      </c>
      <c r="E4799">
        <v>0.48626373626373598</v>
      </c>
      <c r="F4799">
        <v>0.841214339299725</v>
      </c>
      <c r="G4799">
        <v>1170.2604784965499</v>
      </c>
      <c r="H4799">
        <v>235</v>
      </c>
      <c r="I4799">
        <v>303</v>
      </c>
      <c r="J4799">
        <v>30</v>
      </c>
    </row>
    <row r="4800" spans="1:10" x14ac:dyDescent="0.25">
      <c r="A4800" t="s">
        <v>24</v>
      </c>
      <c r="B4800" t="s">
        <v>21</v>
      </c>
      <c r="C4800" t="s">
        <v>18</v>
      </c>
      <c r="D4800" t="s">
        <v>17</v>
      </c>
      <c r="E4800">
        <v>0.586080586080586</v>
      </c>
      <c r="F4800">
        <v>0.84829932339844205</v>
      </c>
      <c r="G4800">
        <v>1196.4686486721</v>
      </c>
      <c r="H4800">
        <v>360</v>
      </c>
      <c r="I4800">
        <v>432</v>
      </c>
      <c r="J4800">
        <v>30</v>
      </c>
    </row>
    <row r="4801" spans="1:10" x14ac:dyDescent="0.25">
      <c r="A4801" t="s">
        <v>24</v>
      </c>
      <c r="B4801" t="s">
        <v>21</v>
      </c>
      <c r="C4801" t="s">
        <v>18</v>
      </c>
      <c r="D4801" t="s">
        <v>17</v>
      </c>
      <c r="E4801">
        <v>0.64560439560439498</v>
      </c>
      <c r="F4801">
        <v>0.85751168269111699</v>
      </c>
      <c r="G4801">
        <v>1210.8348677158299</v>
      </c>
      <c r="H4801">
        <v>430</v>
      </c>
      <c r="I4801">
        <v>541</v>
      </c>
      <c r="J4801">
        <v>30</v>
      </c>
    </row>
    <row r="4802" spans="1:10" x14ac:dyDescent="0.25">
      <c r="A4802" t="s">
        <v>25</v>
      </c>
      <c r="B4802" t="s">
        <v>11</v>
      </c>
      <c r="C4802" t="s">
        <v>12</v>
      </c>
      <c r="D4802" t="s">
        <v>13</v>
      </c>
      <c r="E4802">
        <v>0.96255707762556997</v>
      </c>
      <c r="F4802">
        <v>0.96594494620657501</v>
      </c>
      <c r="G4802">
        <v>21.599274396896298</v>
      </c>
      <c r="H4802">
        <v>45</v>
      </c>
      <c r="I4802">
        <v>77</v>
      </c>
      <c r="J4802">
        <v>30</v>
      </c>
    </row>
    <row r="4803" spans="1:10" x14ac:dyDescent="0.25">
      <c r="A4803" t="s">
        <v>25</v>
      </c>
      <c r="B4803" t="s">
        <v>11</v>
      </c>
      <c r="C4803" t="s">
        <v>12</v>
      </c>
      <c r="D4803" t="s">
        <v>13</v>
      </c>
      <c r="E4803">
        <v>0.97442922374429197</v>
      </c>
      <c r="F4803">
        <v>0.97592912617333305</v>
      </c>
      <c r="G4803">
        <v>21.7136356830596</v>
      </c>
      <c r="H4803">
        <v>41</v>
      </c>
      <c r="I4803">
        <v>72</v>
      </c>
      <c r="J4803">
        <v>30</v>
      </c>
    </row>
    <row r="4804" spans="1:10" x14ac:dyDescent="0.25">
      <c r="A4804" t="s">
        <v>25</v>
      </c>
      <c r="B4804" t="s">
        <v>11</v>
      </c>
      <c r="C4804" t="s">
        <v>12</v>
      </c>
      <c r="D4804" t="s">
        <v>13</v>
      </c>
      <c r="E4804">
        <v>0.97260273972602695</v>
      </c>
      <c r="F4804">
        <v>0.97611317500502204</v>
      </c>
      <c r="G4804">
        <v>21.122529029846099</v>
      </c>
      <c r="H4804">
        <v>47</v>
      </c>
      <c r="I4804">
        <v>84</v>
      </c>
      <c r="J4804">
        <v>30</v>
      </c>
    </row>
    <row r="4805" spans="1:10" x14ac:dyDescent="0.25">
      <c r="A4805" t="s">
        <v>25</v>
      </c>
      <c r="B4805" t="s">
        <v>11</v>
      </c>
      <c r="C4805" t="s">
        <v>12</v>
      </c>
      <c r="D4805" t="s">
        <v>13</v>
      </c>
      <c r="E4805">
        <v>0.97168949771689495</v>
      </c>
      <c r="F4805">
        <v>0.97565202179862998</v>
      </c>
      <c r="G4805">
        <v>22.649909019470201</v>
      </c>
      <c r="H4805">
        <v>38</v>
      </c>
      <c r="I4805">
        <v>60</v>
      </c>
      <c r="J4805">
        <v>30</v>
      </c>
    </row>
    <row r="4806" spans="1:10" x14ac:dyDescent="0.25">
      <c r="A4806" t="s">
        <v>25</v>
      </c>
      <c r="B4806" t="s">
        <v>11</v>
      </c>
      <c r="C4806" t="s">
        <v>12</v>
      </c>
      <c r="D4806" t="s">
        <v>13</v>
      </c>
      <c r="E4806">
        <v>0.97077625570776205</v>
      </c>
      <c r="F4806">
        <v>0.97330805205168902</v>
      </c>
      <c r="G4806">
        <v>24.549050092697101</v>
      </c>
      <c r="H4806">
        <v>43</v>
      </c>
      <c r="I4806">
        <v>70</v>
      </c>
      <c r="J4806">
        <v>30</v>
      </c>
    </row>
    <row r="4807" spans="1:10" x14ac:dyDescent="0.25">
      <c r="A4807" t="s">
        <v>25</v>
      </c>
      <c r="B4807" t="s">
        <v>11</v>
      </c>
      <c r="C4807" t="s">
        <v>12</v>
      </c>
      <c r="D4807" t="s">
        <v>13</v>
      </c>
      <c r="E4807">
        <v>0.9662100456621</v>
      </c>
      <c r="F4807">
        <v>0.969945398365753</v>
      </c>
      <c r="G4807">
        <v>23.870781421661299</v>
      </c>
      <c r="H4807">
        <v>55</v>
      </c>
      <c r="I4807">
        <v>101</v>
      </c>
      <c r="J4807">
        <v>30</v>
      </c>
    </row>
    <row r="4808" spans="1:10" x14ac:dyDescent="0.25">
      <c r="A4808" t="s">
        <v>25</v>
      </c>
      <c r="B4808" t="s">
        <v>11</v>
      </c>
      <c r="C4808" t="s">
        <v>12</v>
      </c>
      <c r="D4808" t="s">
        <v>13</v>
      </c>
      <c r="E4808">
        <v>0.96255707762556997</v>
      </c>
      <c r="F4808">
        <v>0.96698958569863003</v>
      </c>
      <c r="G4808">
        <v>24.251382589340199</v>
      </c>
      <c r="H4808">
        <v>64</v>
      </c>
      <c r="I4808">
        <v>124</v>
      </c>
      <c r="J4808">
        <v>30</v>
      </c>
    </row>
    <row r="4809" spans="1:10" x14ac:dyDescent="0.25">
      <c r="A4809" t="s">
        <v>25</v>
      </c>
      <c r="B4809" t="s">
        <v>11</v>
      </c>
      <c r="C4809" t="s">
        <v>12</v>
      </c>
      <c r="D4809" t="s">
        <v>13</v>
      </c>
      <c r="E4809">
        <v>0.96712328767123201</v>
      </c>
      <c r="F4809">
        <v>0.97175756683981696</v>
      </c>
      <c r="G4809">
        <v>24.422590494155799</v>
      </c>
      <c r="H4809">
        <v>56</v>
      </c>
      <c r="I4809">
        <v>107</v>
      </c>
      <c r="J4809">
        <v>30</v>
      </c>
    </row>
    <row r="4810" spans="1:10" x14ac:dyDescent="0.25">
      <c r="A4810" t="s">
        <v>25</v>
      </c>
      <c r="B4810" t="s">
        <v>11</v>
      </c>
      <c r="C4810" t="s">
        <v>12</v>
      </c>
      <c r="D4810" t="s">
        <v>13</v>
      </c>
      <c r="E4810">
        <v>0.97442922374429197</v>
      </c>
      <c r="F4810">
        <v>0.976828299028766</v>
      </c>
      <c r="G4810">
        <v>25.608875751495301</v>
      </c>
      <c r="H4810">
        <v>49</v>
      </c>
      <c r="I4810">
        <v>88</v>
      </c>
      <c r="J4810">
        <v>30</v>
      </c>
    </row>
    <row r="4811" spans="1:10" x14ac:dyDescent="0.25">
      <c r="A4811" t="s">
        <v>25</v>
      </c>
      <c r="B4811" t="s">
        <v>11</v>
      </c>
      <c r="C4811" t="s">
        <v>12</v>
      </c>
      <c r="D4811" t="s">
        <v>13</v>
      </c>
      <c r="E4811">
        <v>0.97625570776255699</v>
      </c>
      <c r="F4811">
        <v>0.97848338281378899</v>
      </c>
      <c r="G4811">
        <v>26.2070021629333</v>
      </c>
      <c r="H4811">
        <v>56</v>
      </c>
      <c r="I4811">
        <v>93</v>
      </c>
      <c r="J4811">
        <v>30</v>
      </c>
    </row>
    <row r="4812" spans="1:10" x14ac:dyDescent="0.25">
      <c r="A4812" t="s">
        <v>25</v>
      </c>
      <c r="B4812" t="s">
        <v>11</v>
      </c>
      <c r="C4812" t="s">
        <v>12</v>
      </c>
      <c r="D4812" t="s">
        <v>13</v>
      </c>
      <c r="E4812">
        <v>0.96712328767123201</v>
      </c>
      <c r="F4812">
        <v>0.96961172232876602</v>
      </c>
      <c r="G4812">
        <v>26.5883290767669</v>
      </c>
      <c r="H4812">
        <v>52</v>
      </c>
      <c r="I4812">
        <v>94</v>
      </c>
      <c r="J4812">
        <v>30</v>
      </c>
    </row>
    <row r="4813" spans="1:10" x14ac:dyDescent="0.25">
      <c r="A4813" t="s">
        <v>25</v>
      </c>
      <c r="B4813" t="s">
        <v>11</v>
      </c>
      <c r="C4813" t="s">
        <v>12</v>
      </c>
      <c r="D4813" t="s">
        <v>13</v>
      </c>
      <c r="E4813">
        <v>0.97168949771689495</v>
      </c>
      <c r="F4813">
        <v>0.97404484373872102</v>
      </c>
      <c r="G4813">
        <v>27.197726726531901</v>
      </c>
      <c r="H4813">
        <v>57</v>
      </c>
      <c r="I4813">
        <v>109</v>
      </c>
      <c r="J4813">
        <v>30</v>
      </c>
    </row>
    <row r="4814" spans="1:10" x14ac:dyDescent="0.25">
      <c r="A4814" t="s">
        <v>25</v>
      </c>
      <c r="B4814" t="s">
        <v>11</v>
      </c>
      <c r="C4814" t="s">
        <v>12</v>
      </c>
      <c r="D4814" t="s">
        <v>13</v>
      </c>
      <c r="E4814">
        <v>0.95525114155251101</v>
      </c>
      <c r="F4814">
        <v>0.96118847324794499</v>
      </c>
      <c r="G4814">
        <v>27.256907463073698</v>
      </c>
      <c r="H4814">
        <v>48</v>
      </c>
      <c r="I4814">
        <v>86</v>
      </c>
      <c r="J4814">
        <v>30</v>
      </c>
    </row>
    <row r="4815" spans="1:10" x14ac:dyDescent="0.25">
      <c r="A4815" t="s">
        <v>25</v>
      </c>
      <c r="B4815" t="s">
        <v>11</v>
      </c>
      <c r="C4815" t="s">
        <v>12</v>
      </c>
      <c r="D4815" t="s">
        <v>13</v>
      </c>
      <c r="E4815">
        <v>0.96986301369863004</v>
      </c>
      <c r="F4815">
        <v>0.97173764081726</v>
      </c>
      <c r="G4815">
        <v>26.4936075210571</v>
      </c>
      <c r="H4815">
        <v>62</v>
      </c>
      <c r="I4815">
        <v>116</v>
      </c>
      <c r="J4815">
        <v>30</v>
      </c>
    </row>
    <row r="4816" spans="1:10" x14ac:dyDescent="0.25">
      <c r="A4816" t="s">
        <v>25</v>
      </c>
      <c r="B4816" t="s">
        <v>11</v>
      </c>
      <c r="C4816" t="s">
        <v>12</v>
      </c>
      <c r="D4816" t="s">
        <v>13</v>
      </c>
      <c r="E4816">
        <v>0.96712328767123201</v>
      </c>
      <c r="F4816">
        <v>0.96912862562566204</v>
      </c>
      <c r="G4816">
        <v>26.546975135803201</v>
      </c>
      <c r="H4816">
        <v>57</v>
      </c>
      <c r="I4816">
        <v>99</v>
      </c>
      <c r="J4816">
        <v>30</v>
      </c>
    </row>
    <row r="4817" spans="1:10" x14ac:dyDescent="0.25">
      <c r="A4817" t="s">
        <v>25</v>
      </c>
      <c r="B4817" t="s">
        <v>11</v>
      </c>
      <c r="C4817" t="s">
        <v>12</v>
      </c>
      <c r="D4817" t="s">
        <v>13</v>
      </c>
      <c r="E4817">
        <v>0.96894977168949703</v>
      </c>
      <c r="F4817">
        <v>0.97367645872812703</v>
      </c>
      <c r="G4817">
        <v>26.978957891464201</v>
      </c>
      <c r="H4817">
        <v>46</v>
      </c>
      <c r="I4817">
        <v>78</v>
      </c>
      <c r="J4817">
        <v>30</v>
      </c>
    </row>
    <row r="4818" spans="1:10" x14ac:dyDescent="0.25">
      <c r="A4818" t="s">
        <v>25</v>
      </c>
      <c r="B4818" t="s">
        <v>11</v>
      </c>
      <c r="C4818" t="s">
        <v>12</v>
      </c>
      <c r="D4818" t="s">
        <v>13</v>
      </c>
      <c r="E4818">
        <v>0.96347031963470298</v>
      </c>
      <c r="F4818">
        <v>0.96762932451022798</v>
      </c>
      <c r="G4818">
        <v>27.4854221343994</v>
      </c>
      <c r="H4818">
        <v>50</v>
      </c>
      <c r="I4818">
        <v>98</v>
      </c>
      <c r="J4818">
        <v>30</v>
      </c>
    </row>
    <row r="4819" spans="1:10" x14ac:dyDescent="0.25">
      <c r="A4819" t="s">
        <v>25</v>
      </c>
      <c r="B4819" t="s">
        <v>11</v>
      </c>
      <c r="C4819" t="s">
        <v>12</v>
      </c>
      <c r="D4819" t="s">
        <v>13</v>
      </c>
      <c r="E4819">
        <v>0.95799086757990803</v>
      </c>
      <c r="F4819">
        <v>0.96310378774931404</v>
      </c>
      <c r="G4819">
        <v>29.924001932144101</v>
      </c>
      <c r="H4819">
        <v>56</v>
      </c>
      <c r="I4819">
        <v>100</v>
      </c>
      <c r="J4819">
        <v>30</v>
      </c>
    </row>
    <row r="4820" spans="1:10" x14ac:dyDescent="0.25">
      <c r="A4820" t="s">
        <v>25</v>
      </c>
      <c r="B4820" t="s">
        <v>11</v>
      </c>
      <c r="C4820" t="s">
        <v>12</v>
      </c>
      <c r="D4820" t="s">
        <v>13</v>
      </c>
      <c r="E4820">
        <v>0.95159817351598097</v>
      </c>
      <c r="F4820">
        <v>0.95613149566465605</v>
      </c>
      <c r="G4820">
        <v>29.960703372955301</v>
      </c>
      <c r="H4820">
        <v>54</v>
      </c>
      <c r="I4820">
        <v>94</v>
      </c>
      <c r="J4820">
        <v>30</v>
      </c>
    </row>
    <row r="4821" spans="1:10" x14ac:dyDescent="0.25">
      <c r="A4821" t="s">
        <v>25</v>
      </c>
      <c r="B4821" t="s">
        <v>11</v>
      </c>
      <c r="C4821" t="s">
        <v>12</v>
      </c>
      <c r="D4821" t="s">
        <v>13</v>
      </c>
      <c r="E4821">
        <v>0.96803652968036502</v>
      </c>
      <c r="F4821">
        <v>0.972129708097899</v>
      </c>
      <c r="G4821">
        <v>29.172530889511101</v>
      </c>
      <c r="H4821">
        <v>75</v>
      </c>
      <c r="I4821">
        <v>137</v>
      </c>
      <c r="J4821">
        <v>30</v>
      </c>
    </row>
    <row r="4822" spans="1:10" x14ac:dyDescent="0.25">
      <c r="A4822" t="s">
        <v>25</v>
      </c>
      <c r="B4822" t="s">
        <v>11</v>
      </c>
      <c r="C4822" t="s">
        <v>12</v>
      </c>
      <c r="D4822" t="s">
        <v>13</v>
      </c>
      <c r="E4822">
        <v>0.96986301369863004</v>
      </c>
      <c r="F4822">
        <v>0.973147036896165</v>
      </c>
      <c r="G4822">
        <v>29.5925788879394</v>
      </c>
      <c r="H4822">
        <v>68</v>
      </c>
      <c r="I4822">
        <v>134</v>
      </c>
      <c r="J4822">
        <v>30</v>
      </c>
    </row>
    <row r="4823" spans="1:10" x14ac:dyDescent="0.25">
      <c r="A4823" t="s">
        <v>25</v>
      </c>
      <c r="B4823" t="s">
        <v>11</v>
      </c>
      <c r="C4823" t="s">
        <v>12</v>
      </c>
      <c r="D4823" t="s">
        <v>13</v>
      </c>
      <c r="E4823">
        <v>0.96529680365296799</v>
      </c>
      <c r="F4823">
        <v>0.96951180953114102</v>
      </c>
      <c r="G4823">
        <v>30.917625904083199</v>
      </c>
      <c r="H4823">
        <v>54</v>
      </c>
      <c r="I4823">
        <v>111</v>
      </c>
      <c r="J4823">
        <v>30</v>
      </c>
    </row>
    <row r="4824" spans="1:10" x14ac:dyDescent="0.25">
      <c r="A4824" t="s">
        <v>25</v>
      </c>
      <c r="B4824" t="s">
        <v>11</v>
      </c>
      <c r="C4824" t="s">
        <v>12</v>
      </c>
      <c r="D4824" t="s">
        <v>13</v>
      </c>
      <c r="E4824">
        <v>0.96712328767123201</v>
      </c>
      <c r="F4824">
        <v>0.97049567546301396</v>
      </c>
      <c r="G4824">
        <v>30.748637437820399</v>
      </c>
      <c r="H4824">
        <v>65</v>
      </c>
      <c r="I4824">
        <v>135</v>
      </c>
      <c r="J4824">
        <v>30</v>
      </c>
    </row>
    <row r="4825" spans="1:10" x14ac:dyDescent="0.25">
      <c r="A4825" t="s">
        <v>25</v>
      </c>
      <c r="B4825" t="s">
        <v>11</v>
      </c>
      <c r="C4825" t="s">
        <v>12</v>
      </c>
      <c r="D4825" t="s">
        <v>13</v>
      </c>
      <c r="E4825">
        <v>0.96164383561643796</v>
      </c>
      <c r="F4825">
        <v>0.96528517992191698</v>
      </c>
      <c r="G4825">
        <v>30.768193483352601</v>
      </c>
      <c r="H4825">
        <v>66</v>
      </c>
      <c r="I4825">
        <v>127</v>
      </c>
      <c r="J4825">
        <v>30</v>
      </c>
    </row>
    <row r="4826" spans="1:10" x14ac:dyDescent="0.25">
      <c r="A4826" t="s">
        <v>25</v>
      </c>
      <c r="B4826" t="s">
        <v>11</v>
      </c>
      <c r="C4826" t="s">
        <v>12</v>
      </c>
      <c r="D4826" t="s">
        <v>13</v>
      </c>
      <c r="E4826">
        <v>0.95890410958904104</v>
      </c>
      <c r="F4826">
        <v>0.96482841172511402</v>
      </c>
      <c r="G4826">
        <v>31.231289863586401</v>
      </c>
      <c r="H4826">
        <v>60</v>
      </c>
      <c r="I4826">
        <v>110</v>
      </c>
      <c r="J4826">
        <v>30</v>
      </c>
    </row>
    <row r="4827" spans="1:10" x14ac:dyDescent="0.25">
      <c r="A4827" t="s">
        <v>25</v>
      </c>
      <c r="B4827" t="s">
        <v>11</v>
      </c>
      <c r="C4827" t="s">
        <v>12</v>
      </c>
      <c r="D4827" t="s">
        <v>13</v>
      </c>
      <c r="E4827">
        <v>0.97534246575342398</v>
      </c>
      <c r="F4827">
        <v>0.978064302759726</v>
      </c>
      <c r="G4827">
        <v>32.419267654418903</v>
      </c>
      <c r="H4827">
        <v>66</v>
      </c>
      <c r="I4827">
        <v>117</v>
      </c>
      <c r="J4827">
        <v>30</v>
      </c>
    </row>
    <row r="4828" spans="1:10" x14ac:dyDescent="0.25">
      <c r="A4828" t="s">
        <v>25</v>
      </c>
      <c r="B4828" t="s">
        <v>11</v>
      </c>
      <c r="C4828" t="s">
        <v>12</v>
      </c>
      <c r="D4828" t="s">
        <v>13</v>
      </c>
      <c r="E4828">
        <v>0.97442922374429197</v>
      </c>
      <c r="F4828">
        <v>0.977737619708128</v>
      </c>
      <c r="G4828">
        <v>32.639481306076</v>
      </c>
      <c r="H4828">
        <v>69</v>
      </c>
      <c r="I4828">
        <v>115</v>
      </c>
      <c r="J4828">
        <v>30</v>
      </c>
    </row>
    <row r="4829" spans="1:10" x14ac:dyDescent="0.25">
      <c r="A4829" t="s">
        <v>25</v>
      </c>
      <c r="B4829" t="s">
        <v>11</v>
      </c>
      <c r="C4829" t="s">
        <v>12</v>
      </c>
      <c r="D4829" t="s">
        <v>13</v>
      </c>
      <c r="E4829">
        <v>0.96073059360730595</v>
      </c>
      <c r="F4829">
        <v>0.96616828017744205</v>
      </c>
      <c r="G4829">
        <v>31.782611370086599</v>
      </c>
      <c r="H4829">
        <v>75</v>
      </c>
      <c r="I4829">
        <v>151</v>
      </c>
      <c r="J4829">
        <v>30</v>
      </c>
    </row>
    <row r="4830" spans="1:10" x14ac:dyDescent="0.25">
      <c r="A4830" t="s">
        <v>25</v>
      </c>
      <c r="B4830" t="s">
        <v>11</v>
      </c>
      <c r="C4830" t="s">
        <v>12</v>
      </c>
      <c r="D4830" t="s">
        <v>13</v>
      </c>
      <c r="E4830">
        <v>0.97351598173515896</v>
      </c>
      <c r="F4830">
        <v>0.975915941065023</v>
      </c>
      <c r="G4830">
        <v>32.757768392562802</v>
      </c>
      <c r="H4830">
        <v>70</v>
      </c>
      <c r="I4830">
        <v>129</v>
      </c>
      <c r="J4830">
        <v>30</v>
      </c>
    </row>
    <row r="4831" spans="1:10" x14ac:dyDescent="0.25">
      <c r="A4831" t="s">
        <v>25</v>
      </c>
      <c r="B4831" t="s">
        <v>11</v>
      </c>
      <c r="C4831" t="s">
        <v>12</v>
      </c>
      <c r="D4831" t="s">
        <v>13</v>
      </c>
      <c r="E4831">
        <v>0.95616438356164302</v>
      </c>
      <c r="F4831">
        <v>0.96374019761634699</v>
      </c>
      <c r="G4831">
        <v>32.057523012161198</v>
      </c>
      <c r="H4831">
        <v>83</v>
      </c>
      <c r="I4831">
        <v>149</v>
      </c>
      <c r="J4831">
        <v>30</v>
      </c>
    </row>
    <row r="4832" spans="1:10" x14ac:dyDescent="0.25">
      <c r="A4832" t="s">
        <v>25</v>
      </c>
      <c r="B4832" t="s">
        <v>11</v>
      </c>
      <c r="C4832" t="s">
        <v>12</v>
      </c>
      <c r="D4832" t="s">
        <v>14</v>
      </c>
      <c r="E4832">
        <v>0.90958904109589001</v>
      </c>
      <c r="F4832">
        <v>0.91827346011652899</v>
      </c>
      <c r="G4832">
        <v>21.856681823730401</v>
      </c>
      <c r="H4832">
        <v>12</v>
      </c>
      <c r="I4832">
        <v>12</v>
      </c>
      <c r="J4832">
        <v>30</v>
      </c>
    </row>
    <row r="4833" spans="1:10" x14ac:dyDescent="0.25">
      <c r="A4833" t="s">
        <v>25</v>
      </c>
      <c r="B4833" t="s">
        <v>11</v>
      </c>
      <c r="C4833" t="s">
        <v>12</v>
      </c>
      <c r="D4833" t="s">
        <v>14</v>
      </c>
      <c r="E4833">
        <v>0.91872146118721398</v>
      </c>
      <c r="F4833">
        <v>0.92551017907196398</v>
      </c>
      <c r="G4833">
        <v>22.667366743087701</v>
      </c>
      <c r="H4833">
        <v>13</v>
      </c>
      <c r="I4833">
        <v>13</v>
      </c>
      <c r="J4833">
        <v>30</v>
      </c>
    </row>
    <row r="4834" spans="1:10" x14ac:dyDescent="0.25">
      <c r="A4834" t="s">
        <v>25</v>
      </c>
      <c r="B4834" t="s">
        <v>11</v>
      </c>
      <c r="C4834" t="s">
        <v>12</v>
      </c>
      <c r="D4834" t="s">
        <v>14</v>
      </c>
      <c r="E4834">
        <v>0.90958904109589001</v>
      </c>
      <c r="F4834">
        <v>0.91741224730401805</v>
      </c>
      <c r="G4834">
        <v>23.318928241729701</v>
      </c>
      <c r="H4834">
        <v>13</v>
      </c>
      <c r="I4834">
        <v>13</v>
      </c>
      <c r="J4834">
        <v>30</v>
      </c>
    </row>
    <row r="4835" spans="1:10" x14ac:dyDescent="0.25">
      <c r="A4835" t="s">
        <v>25</v>
      </c>
      <c r="B4835" t="s">
        <v>11</v>
      </c>
      <c r="C4835" t="s">
        <v>12</v>
      </c>
      <c r="D4835" t="s">
        <v>14</v>
      </c>
      <c r="E4835">
        <v>0.92511415525114105</v>
      </c>
      <c r="F4835">
        <v>0.93058778654209995</v>
      </c>
      <c r="G4835">
        <v>24.081002712249699</v>
      </c>
      <c r="H4835">
        <v>13</v>
      </c>
      <c r="I4835">
        <v>13</v>
      </c>
      <c r="J4835">
        <v>30</v>
      </c>
    </row>
    <row r="4836" spans="1:10" x14ac:dyDescent="0.25">
      <c r="A4836" t="s">
        <v>25</v>
      </c>
      <c r="B4836" t="s">
        <v>11</v>
      </c>
      <c r="C4836" t="s">
        <v>12</v>
      </c>
      <c r="D4836" t="s">
        <v>14</v>
      </c>
      <c r="E4836">
        <v>0.91598173515981696</v>
      </c>
      <c r="F4836">
        <v>0.92255065969360905</v>
      </c>
      <c r="G4836">
        <v>25.095348834991398</v>
      </c>
      <c r="H4836">
        <v>13</v>
      </c>
      <c r="I4836">
        <v>13</v>
      </c>
      <c r="J4836">
        <v>30</v>
      </c>
    </row>
    <row r="4837" spans="1:10" x14ac:dyDescent="0.25">
      <c r="A4837" t="s">
        <v>25</v>
      </c>
      <c r="B4837" t="s">
        <v>11</v>
      </c>
      <c r="C4837" t="s">
        <v>12</v>
      </c>
      <c r="D4837" t="s">
        <v>14</v>
      </c>
      <c r="E4837">
        <v>0.908675799086758</v>
      </c>
      <c r="F4837">
        <v>0.91681862191871999</v>
      </c>
      <c r="G4837">
        <v>25.5964047908782</v>
      </c>
      <c r="H4837">
        <v>12</v>
      </c>
      <c r="I4837">
        <v>12</v>
      </c>
      <c r="J4837">
        <v>30</v>
      </c>
    </row>
    <row r="4838" spans="1:10" x14ac:dyDescent="0.25">
      <c r="A4838" t="s">
        <v>25</v>
      </c>
      <c r="B4838" t="s">
        <v>11</v>
      </c>
      <c r="C4838" t="s">
        <v>12</v>
      </c>
      <c r="D4838" t="s">
        <v>14</v>
      </c>
      <c r="E4838">
        <v>0.93424657534246502</v>
      </c>
      <c r="F4838">
        <v>0.93905134275159796</v>
      </c>
      <c r="G4838">
        <v>25.6365947723388</v>
      </c>
      <c r="H4838">
        <v>13</v>
      </c>
      <c r="I4838">
        <v>13</v>
      </c>
      <c r="J4838">
        <v>30</v>
      </c>
    </row>
    <row r="4839" spans="1:10" x14ac:dyDescent="0.25">
      <c r="A4839" t="s">
        <v>25</v>
      </c>
      <c r="B4839" t="s">
        <v>11</v>
      </c>
      <c r="C4839" t="s">
        <v>12</v>
      </c>
      <c r="D4839" t="s">
        <v>14</v>
      </c>
      <c r="E4839">
        <v>0.92328767123287603</v>
      </c>
      <c r="F4839">
        <v>0.92891907825835696</v>
      </c>
      <c r="G4839">
        <v>25.710371494293199</v>
      </c>
      <c r="H4839">
        <v>14</v>
      </c>
      <c r="I4839">
        <v>14</v>
      </c>
      <c r="J4839">
        <v>30</v>
      </c>
    </row>
    <row r="4840" spans="1:10" x14ac:dyDescent="0.25">
      <c r="A4840" t="s">
        <v>25</v>
      </c>
      <c r="B4840" t="s">
        <v>11</v>
      </c>
      <c r="C4840" t="s">
        <v>12</v>
      </c>
      <c r="D4840" t="s">
        <v>14</v>
      </c>
      <c r="E4840">
        <v>0.908675799086758</v>
      </c>
      <c r="F4840">
        <v>0.91630846613406303</v>
      </c>
      <c r="G4840">
        <v>25.442163705825799</v>
      </c>
      <c r="H4840">
        <v>13</v>
      </c>
      <c r="I4840">
        <v>13</v>
      </c>
      <c r="J4840">
        <v>30</v>
      </c>
    </row>
    <row r="4841" spans="1:10" x14ac:dyDescent="0.25">
      <c r="A4841" t="s">
        <v>25</v>
      </c>
      <c r="B4841" t="s">
        <v>11</v>
      </c>
      <c r="C4841" t="s">
        <v>12</v>
      </c>
      <c r="D4841" t="s">
        <v>14</v>
      </c>
      <c r="E4841">
        <v>0.91598173515981696</v>
      </c>
      <c r="F4841">
        <v>0.92277758900940499</v>
      </c>
      <c r="G4841">
        <v>26.123095989227199</v>
      </c>
      <c r="H4841">
        <v>12</v>
      </c>
      <c r="I4841">
        <v>12</v>
      </c>
      <c r="J4841">
        <v>30</v>
      </c>
    </row>
    <row r="4842" spans="1:10" x14ac:dyDescent="0.25">
      <c r="A4842" t="s">
        <v>25</v>
      </c>
      <c r="B4842" t="s">
        <v>11</v>
      </c>
      <c r="C4842" t="s">
        <v>12</v>
      </c>
      <c r="D4842" t="s">
        <v>14</v>
      </c>
      <c r="E4842">
        <v>0.931506849315068</v>
      </c>
      <c r="F4842">
        <v>0.936000461714246</v>
      </c>
      <c r="G4842">
        <v>26.382512807845998</v>
      </c>
      <c r="H4842">
        <v>14</v>
      </c>
      <c r="I4842">
        <v>14</v>
      </c>
      <c r="J4842">
        <v>30</v>
      </c>
    </row>
    <row r="4843" spans="1:10" x14ac:dyDescent="0.25">
      <c r="A4843" t="s">
        <v>25</v>
      </c>
      <c r="B4843" t="s">
        <v>11</v>
      </c>
      <c r="C4843" t="s">
        <v>12</v>
      </c>
      <c r="D4843" t="s">
        <v>14</v>
      </c>
      <c r="E4843">
        <v>0.92237442922374402</v>
      </c>
      <c r="F4843">
        <v>0.92842267831360703</v>
      </c>
      <c r="G4843">
        <v>26.417456626892001</v>
      </c>
      <c r="H4843">
        <v>15</v>
      </c>
      <c r="I4843">
        <v>15</v>
      </c>
      <c r="J4843">
        <v>30</v>
      </c>
    </row>
    <row r="4844" spans="1:10" x14ac:dyDescent="0.25">
      <c r="A4844" t="s">
        <v>25</v>
      </c>
      <c r="B4844" t="s">
        <v>11</v>
      </c>
      <c r="C4844" t="s">
        <v>12</v>
      </c>
      <c r="D4844" t="s">
        <v>14</v>
      </c>
      <c r="E4844">
        <v>0.91506849315068495</v>
      </c>
      <c r="F4844">
        <v>0.92238041709324203</v>
      </c>
      <c r="G4844">
        <v>26.503113746642999</v>
      </c>
      <c r="H4844">
        <v>13</v>
      </c>
      <c r="I4844">
        <v>13</v>
      </c>
      <c r="J4844">
        <v>30</v>
      </c>
    </row>
    <row r="4845" spans="1:10" x14ac:dyDescent="0.25">
      <c r="A4845" t="s">
        <v>25</v>
      </c>
      <c r="B4845" t="s">
        <v>11</v>
      </c>
      <c r="C4845" t="s">
        <v>12</v>
      </c>
      <c r="D4845" t="s">
        <v>14</v>
      </c>
      <c r="E4845">
        <v>0.93515981735159803</v>
      </c>
      <c r="F4845">
        <v>0.93875321062273898</v>
      </c>
      <c r="G4845">
        <v>27.052871227264401</v>
      </c>
      <c r="H4845">
        <v>14</v>
      </c>
      <c r="I4845">
        <v>14</v>
      </c>
      <c r="J4845">
        <v>30</v>
      </c>
    </row>
    <row r="4846" spans="1:10" x14ac:dyDescent="0.25">
      <c r="A4846" t="s">
        <v>25</v>
      </c>
      <c r="B4846" t="s">
        <v>11</v>
      </c>
      <c r="C4846" t="s">
        <v>12</v>
      </c>
      <c r="D4846" t="s">
        <v>14</v>
      </c>
      <c r="E4846">
        <v>0.92785388127853796</v>
      </c>
      <c r="F4846">
        <v>0.93277914742840096</v>
      </c>
      <c r="G4846">
        <v>27.146277427673301</v>
      </c>
      <c r="H4846">
        <v>14</v>
      </c>
      <c r="I4846">
        <v>14</v>
      </c>
      <c r="J4846">
        <v>30</v>
      </c>
    </row>
    <row r="4847" spans="1:10" x14ac:dyDescent="0.25">
      <c r="A4847" t="s">
        <v>25</v>
      </c>
      <c r="B4847" t="s">
        <v>11</v>
      </c>
      <c r="C4847" t="s">
        <v>12</v>
      </c>
      <c r="D4847" t="s">
        <v>14</v>
      </c>
      <c r="E4847">
        <v>0.91506849315068495</v>
      </c>
      <c r="F4847">
        <v>0.92288806101607301</v>
      </c>
      <c r="G4847">
        <v>27.474493265151899</v>
      </c>
      <c r="H4847">
        <v>14</v>
      </c>
      <c r="I4847">
        <v>14</v>
      </c>
      <c r="J4847">
        <v>30</v>
      </c>
    </row>
    <row r="4848" spans="1:10" x14ac:dyDescent="0.25">
      <c r="A4848" t="s">
        <v>25</v>
      </c>
      <c r="B4848" t="s">
        <v>11</v>
      </c>
      <c r="C4848" t="s">
        <v>12</v>
      </c>
      <c r="D4848" t="s">
        <v>14</v>
      </c>
      <c r="E4848">
        <v>0.92694063926940595</v>
      </c>
      <c r="F4848">
        <v>0.93162904960612003</v>
      </c>
      <c r="G4848">
        <v>27.557731866836502</v>
      </c>
      <c r="H4848">
        <v>14</v>
      </c>
      <c r="I4848">
        <v>14</v>
      </c>
      <c r="J4848">
        <v>30</v>
      </c>
    </row>
    <row r="4849" spans="1:10" x14ac:dyDescent="0.25">
      <c r="A4849" t="s">
        <v>25</v>
      </c>
      <c r="B4849" t="s">
        <v>11</v>
      </c>
      <c r="C4849" t="s">
        <v>12</v>
      </c>
      <c r="D4849" t="s">
        <v>14</v>
      </c>
      <c r="E4849">
        <v>0.92602739726027306</v>
      </c>
      <c r="F4849">
        <v>0.93139077283205496</v>
      </c>
      <c r="G4849">
        <v>27.680048465728699</v>
      </c>
      <c r="H4849">
        <v>14</v>
      </c>
      <c r="I4849">
        <v>14</v>
      </c>
      <c r="J4849">
        <v>30</v>
      </c>
    </row>
    <row r="4850" spans="1:10" x14ac:dyDescent="0.25">
      <c r="A4850" t="s">
        <v>25</v>
      </c>
      <c r="B4850" t="s">
        <v>11</v>
      </c>
      <c r="C4850" t="s">
        <v>12</v>
      </c>
      <c r="D4850" t="s">
        <v>14</v>
      </c>
      <c r="E4850">
        <v>0.92237442922374402</v>
      </c>
      <c r="F4850">
        <v>0.92885047292045597</v>
      </c>
      <c r="G4850">
        <v>27.793964862823401</v>
      </c>
      <c r="H4850">
        <v>13</v>
      </c>
      <c r="I4850">
        <v>13</v>
      </c>
      <c r="J4850">
        <v>30</v>
      </c>
    </row>
    <row r="4851" spans="1:10" x14ac:dyDescent="0.25">
      <c r="A4851" t="s">
        <v>25</v>
      </c>
      <c r="B4851" t="s">
        <v>11</v>
      </c>
      <c r="C4851" t="s">
        <v>12</v>
      </c>
      <c r="D4851" t="s">
        <v>14</v>
      </c>
      <c r="E4851">
        <v>0.92511415525114105</v>
      </c>
      <c r="F4851">
        <v>0.93048447593598105</v>
      </c>
      <c r="G4851">
        <v>27.831081390380799</v>
      </c>
      <c r="H4851">
        <v>14</v>
      </c>
      <c r="I4851">
        <v>14</v>
      </c>
      <c r="J4851">
        <v>30</v>
      </c>
    </row>
    <row r="4852" spans="1:10" x14ac:dyDescent="0.25">
      <c r="A4852" t="s">
        <v>25</v>
      </c>
      <c r="B4852" t="s">
        <v>11</v>
      </c>
      <c r="C4852" t="s">
        <v>12</v>
      </c>
      <c r="D4852" t="s">
        <v>14</v>
      </c>
      <c r="E4852">
        <v>0.91689497716894897</v>
      </c>
      <c r="F4852">
        <v>0.92336963829324104</v>
      </c>
      <c r="G4852">
        <v>27.8346092700958</v>
      </c>
      <c r="H4852">
        <v>14</v>
      </c>
      <c r="I4852">
        <v>14</v>
      </c>
      <c r="J4852">
        <v>30</v>
      </c>
    </row>
    <row r="4853" spans="1:10" x14ac:dyDescent="0.25">
      <c r="A4853" t="s">
        <v>25</v>
      </c>
      <c r="B4853" t="s">
        <v>11</v>
      </c>
      <c r="C4853" t="s">
        <v>12</v>
      </c>
      <c r="D4853" t="s">
        <v>14</v>
      </c>
      <c r="E4853">
        <v>0.92968036529680298</v>
      </c>
      <c r="F4853">
        <v>0.93430872855378999</v>
      </c>
      <c r="G4853">
        <v>27.9404792785644</v>
      </c>
      <c r="H4853">
        <v>14</v>
      </c>
      <c r="I4853">
        <v>14</v>
      </c>
      <c r="J4853">
        <v>30</v>
      </c>
    </row>
    <row r="4854" spans="1:10" x14ac:dyDescent="0.25">
      <c r="A4854" t="s">
        <v>25</v>
      </c>
      <c r="B4854" t="s">
        <v>11</v>
      </c>
      <c r="C4854" t="s">
        <v>12</v>
      </c>
      <c r="D4854" t="s">
        <v>14</v>
      </c>
      <c r="E4854">
        <v>0.91963470319634699</v>
      </c>
      <c r="F4854">
        <v>0.92577885230739598</v>
      </c>
      <c r="G4854">
        <v>27.961535453796301</v>
      </c>
      <c r="H4854">
        <v>14</v>
      </c>
      <c r="I4854">
        <v>14</v>
      </c>
      <c r="J4854">
        <v>30</v>
      </c>
    </row>
    <row r="4855" spans="1:10" x14ac:dyDescent="0.25">
      <c r="A4855" t="s">
        <v>25</v>
      </c>
      <c r="B4855" t="s">
        <v>11</v>
      </c>
      <c r="C4855" t="s">
        <v>12</v>
      </c>
      <c r="D4855" t="s">
        <v>14</v>
      </c>
      <c r="E4855">
        <v>0.92237442922374402</v>
      </c>
      <c r="F4855">
        <v>0.92836762364118697</v>
      </c>
      <c r="G4855">
        <v>28.0156714916229</v>
      </c>
      <c r="H4855">
        <v>14</v>
      </c>
      <c r="I4855">
        <v>14</v>
      </c>
      <c r="J4855">
        <v>30</v>
      </c>
    </row>
    <row r="4856" spans="1:10" x14ac:dyDescent="0.25">
      <c r="A4856" t="s">
        <v>25</v>
      </c>
      <c r="B4856" t="s">
        <v>11</v>
      </c>
      <c r="C4856" t="s">
        <v>12</v>
      </c>
      <c r="D4856" t="s">
        <v>14</v>
      </c>
      <c r="E4856">
        <v>0.920547945205479</v>
      </c>
      <c r="F4856">
        <v>0.92685472301451999</v>
      </c>
      <c r="G4856">
        <v>28.062958955764699</v>
      </c>
      <c r="H4856">
        <v>13</v>
      </c>
      <c r="I4856">
        <v>13</v>
      </c>
      <c r="J4856">
        <v>30</v>
      </c>
    </row>
    <row r="4857" spans="1:10" x14ac:dyDescent="0.25">
      <c r="A4857" t="s">
        <v>25</v>
      </c>
      <c r="B4857" t="s">
        <v>11</v>
      </c>
      <c r="C4857" t="s">
        <v>12</v>
      </c>
      <c r="D4857" t="s">
        <v>14</v>
      </c>
      <c r="E4857">
        <v>0.92602739726027306</v>
      </c>
      <c r="F4857">
        <v>0.93125851124502301</v>
      </c>
      <c r="G4857">
        <v>28.104596138000399</v>
      </c>
      <c r="H4857">
        <v>14</v>
      </c>
      <c r="I4857">
        <v>14</v>
      </c>
      <c r="J4857">
        <v>30</v>
      </c>
    </row>
    <row r="4858" spans="1:10" x14ac:dyDescent="0.25">
      <c r="A4858" t="s">
        <v>25</v>
      </c>
      <c r="B4858" t="s">
        <v>11</v>
      </c>
      <c r="C4858" t="s">
        <v>12</v>
      </c>
      <c r="D4858" t="s">
        <v>14</v>
      </c>
      <c r="E4858">
        <v>0.92785388127853796</v>
      </c>
      <c r="F4858">
        <v>0.93245622097506897</v>
      </c>
      <c r="G4858">
        <v>28.398642778396599</v>
      </c>
      <c r="H4858">
        <v>14</v>
      </c>
      <c r="I4858">
        <v>14</v>
      </c>
      <c r="J4858">
        <v>30</v>
      </c>
    </row>
    <row r="4859" spans="1:10" x14ac:dyDescent="0.25">
      <c r="A4859" t="s">
        <v>25</v>
      </c>
      <c r="B4859" t="s">
        <v>11</v>
      </c>
      <c r="C4859" t="s">
        <v>12</v>
      </c>
      <c r="D4859" t="s">
        <v>14</v>
      </c>
      <c r="E4859">
        <v>0.92876712328767097</v>
      </c>
      <c r="F4859">
        <v>0.934334782468766</v>
      </c>
      <c r="G4859">
        <v>28.4825534820556</v>
      </c>
      <c r="H4859">
        <v>14</v>
      </c>
      <c r="I4859">
        <v>14</v>
      </c>
      <c r="J4859">
        <v>30</v>
      </c>
    </row>
    <row r="4860" spans="1:10" x14ac:dyDescent="0.25">
      <c r="A4860" t="s">
        <v>25</v>
      </c>
      <c r="B4860" t="s">
        <v>11</v>
      </c>
      <c r="C4860" t="s">
        <v>12</v>
      </c>
      <c r="D4860" t="s">
        <v>14</v>
      </c>
      <c r="E4860">
        <v>0.91232876712328703</v>
      </c>
      <c r="F4860">
        <v>0.91981771900648301</v>
      </c>
      <c r="G4860">
        <v>28.535394668579102</v>
      </c>
      <c r="H4860">
        <v>14</v>
      </c>
      <c r="I4860">
        <v>14</v>
      </c>
      <c r="J4860">
        <v>30</v>
      </c>
    </row>
    <row r="4861" spans="1:10" x14ac:dyDescent="0.25">
      <c r="A4861" t="s">
        <v>25</v>
      </c>
      <c r="B4861" t="s">
        <v>11</v>
      </c>
      <c r="C4861" t="s">
        <v>12</v>
      </c>
      <c r="D4861" t="s">
        <v>14</v>
      </c>
      <c r="E4861">
        <v>0.91872146118721398</v>
      </c>
      <c r="F4861">
        <v>0.92586698665497702</v>
      </c>
      <c r="G4861">
        <v>28.5592777729034</v>
      </c>
      <c r="H4861">
        <v>15</v>
      </c>
      <c r="I4861">
        <v>15</v>
      </c>
      <c r="J4861">
        <v>30</v>
      </c>
    </row>
    <row r="4862" spans="1:10" x14ac:dyDescent="0.25">
      <c r="A4862" t="s">
        <v>25</v>
      </c>
      <c r="B4862" t="s">
        <v>11</v>
      </c>
      <c r="C4862" t="s">
        <v>12</v>
      </c>
      <c r="D4862" t="s">
        <v>15</v>
      </c>
      <c r="E4862">
        <v>0</v>
      </c>
      <c r="F4862">
        <v>0.75</v>
      </c>
      <c r="G4862">
        <v>0.470657348632812</v>
      </c>
      <c r="H4862">
        <v>0</v>
      </c>
      <c r="I4862">
        <v>0</v>
      </c>
      <c r="J4862">
        <v>30</v>
      </c>
    </row>
    <row r="4863" spans="1:10" x14ac:dyDescent="0.25">
      <c r="A4863" t="s">
        <v>25</v>
      </c>
      <c r="B4863" t="s">
        <v>11</v>
      </c>
      <c r="C4863" t="s">
        <v>12</v>
      </c>
      <c r="D4863" t="s">
        <v>15</v>
      </c>
      <c r="E4863">
        <v>0</v>
      </c>
      <c r="F4863">
        <v>0.75</v>
      </c>
      <c r="G4863">
        <v>0.45661258697509699</v>
      </c>
      <c r="H4863">
        <v>0</v>
      </c>
      <c r="I4863">
        <v>0</v>
      </c>
      <c r="J4863">
        <v>30</v>
      </c>
    </row>
    <row r="4864" spans="1:10" x14ac:dyDescent="0.25">
      <c r="A4864" t="s">
        <v>25</v>
      </c>
      <c r="B4864" t="s">
        <v>11</v>
      </c>
      <c r="C4864" t="s">
        <v>12</v>
      </c>
      <c r="D4864" t="s">
        <v>15</v>
      </c>
      <c r="E4864">
        <v>0</v>
      </c>
      <c r="F4864">
        <v>0.75</v>
      </c>
      <c r="G4864">
        <v>0.57856702804565396</v>
      </c>
      <c r="H4864">
        <v>0</v>
      </c>
      <c r="I4864">
        <v>0</v>
      </c>
      <c r="J4864">
        <v>30</v>
      </c>
    </row>
    <row r="4865" spans="1:10" x14ac:dyDescent="0.25">
      <c r="A4865" t="s">
        <v>25</v>
      </c>
      <c r="B4865" t="s">
        <v>11</v>
      </c>
      <c r="C4865" t="s">
        <v>12</v>
      </c>
      <c r="D4865" t="s">
        <v>15</v>
      </c>
      <c r="E4865">
        <v>0</v>
      </c>
      <c r="F4865">
        <v>0.75</v>
      </c>
      <c r="G4865">
        <v>0.62096095085143999</v>
      </c>
      <c r="H4865">
        <v>0</v>
      </c>
      <c r="I4865">
        <v>0</v>
      </c>
      <c r="J4865">
        <v>30</v>
      </c>
    </row>
    <row r="4866" spans="1:10" x14ac:dyDescent="0.25">
      <c r="A4866" t="s">
        <v>25</v>
      </c>
      <c r="B4866" t="s">
        <v>11</v>
      </c>
      <c r="C4866" t="s">
        <v>12</v>
      </c>
      <c r="D4866" t="s">
        <v>15</v>
      </c>
      <c r="E4866">
        <v>0</v>
      </c>
      <c r="F4866">
        <v>0.75</v>
      </c>
      <c r="G4866">
        <v>1.1497440338134699</v>
      </c>
      <c r="H4866">
        <v>2</v>
      </c>
      <c r="I4866">
        <v>3</v>
      </c>
      <c r="J4866">
        <v>30</v>
      </c>
    </row>
    <row r="4867" spans="1:10" x14ac:dyDescent="0.25">
      <c r="A4867" t="s">
        <v>25</v>
      </c>
      <c r="B4867" t="s">
        <v>11</v>
      </c>
      <c r="C4867" t="s">
        <v>12</v>
      </c>
      <c r="D4867" t="s">
        <v>15</v>
      </c>
      <c r="E4867">
        <v>0.89680365296803599</v>
      </c>
      <c r="F4867">
        <v>0.90971744947981703</v>
      </c>
      <c r="G4867">
        <v>1.24280786514282</v>
      </c>
      <c r="H4867">
        <v>2</v>
      </c>
      <c r="I4867">
        <v>4</v>
      </c>
      <c r="J4867">
        <v>30</v>
      </c>
    </row>
    <row r="4868" spans="1:10" x14ac:dyDescent="0.25">
      <c r="A4868" t="s">
        <v>25</v>
      </c>
      <c r="B4868" t="s">
        <v>11</v>
      </c>
      <c r="C4868" t="s">
        <v>12</v>
      </c>
      <c r="D4868" t="s">
        <v>15</v>
      </c>
      <c r="E4868">
        <v>0.89041095890410904</v>
      </c>
      <c r="F4868">
        <v>0.90313503960054597</v>
      </c>
      <c r="G4868">
        <v>1.46796894073486</v>
      </c>
      <c r="H4868">
        <v>5</v>
      </c>
      <c r="I4868">
        <v>4</v>
      </c>
      <c r="J4868">
        <v>30</v>
      </c>
    </row>
    <row r="4869" spans="1:10" x14ac:dyDescent="0.25">
      <c r="A4869" t="s">
        <v>25</v>
      </c>
      <c r="B4869" t="s">
        <v>11</v>
      </c>
      <c r="C4869" t="s">
        <v>12</v>
      </c>
      <c r="D4869" t="s">
        <v>15</v>
      </c>
      <c r="E4869">
        <v>0.90319634703196305</v>
      </c>
      <c r="F4869">
        <v>0.91403502241168799</v>
      </c>
      <c r="G4869">
        <v>1.77272152900695</v>
      </c>
      <c r="H4869">
        <v>4</v>
      </c>
      <c r="I4869">
        <v>7</v>
      </c>
      <c r="J4869">
        <v>30</v>
      </c>
    </row>
    <row r="4870" spans="1:10" x14ac:dyDescent="0.25">
      <c r="A4870" t="s">
        <v>25</v>
      </c>
      <c r="B4870" t="s">
        <v>11</v>
      </c>
      <c r="C4870" t="s">
        <v>12</v>
      </c>
      <c r="D4870" t="s">
        <v>15</v>
      </c>
      <c r="E4870">
        <v>0.88401826484018198</v>
      </c>
      <c r="F4870">
        <v>0.89920226918620705</v>
      </c>
      <c r="G4870">
        <v>2.3431949615478498</v>
      </c>
      <c r="H4870">
        <v>5</v>
      </c>
      <c r="I4870">
        <v>10</v>
      </c>
      <c r="J4870">
        <v>30</v>
      </c>
    </row>
    <row r="4871" spans="1:10" x14ac:dyDescent="0.25">
      <c r="A4871" t="s">
        <v>25</v>
      </c>
      <c r="B4871" t="s">
        <v>11</v>
      </c>
      <c r="C4871" t="s">
        <v>12</v>
      </c>
      <c r="D4871" t="s">
        <v>15</v>
      </c>
      <c r="E4871">
        <v>0.89680365296803599</v>
      </c>
      <c r="F4871">
        <v>0.90880177319862898</v>
      </c>
      <c r="G4871">
        <v>2.59954762458801</v>
      </c>
      <c r="H4871">
        <v>12</v>
      </c>
      <c r="I4871">
        <v>20</v>
      </c>
      <c r="J4871">
        <v>30</v>
      </c>
    </row>
    <row r="4872" spans="1:10" x14ac:dyDescent="0.25">
      <c r="A4872" t="s">
        <v>25</v>
      </c>
      <c r="B4872" t="s">
        <v>11</v>
      </c>
      <c r="C4872" t="s">
        <v>12</v>
      </c>
      <c r="D4872" t="s">
        <v>15</v>
      </c>
      <c r="E4872">
        <v>0.89315068493150596</v>
      </c>
      <c r="F4872">
        <v>0.90602086235616497</v>
      </c>
      <c r="G4872">
        <v>2.6852040290832502</v>
      </c>
      <c r="H4872">
        <v>2</v>
      </c>
      <c r="I4872">
        <v>3</v>
      </c>
      <c r="J4872">
        <v>30</v>
      </c>
    </row>
    <row r="4873" spans="1:10" x14ac:dyDescent="0.25">
      <c r="A4873" t="s">
        <v>25</v>
      </c>
      <c r="B4873" t="s">
        <v>11</v>
      </c>
      <c r="C4873" t="s">
        <v>12</v>
      </c>
      <c r="D4873" t="s">
        <v>15</v>
      </c>
      <c r="E4873">
        <v>0.90045662100456603</v>
      </c>
      <c r="F4873">
        <v>0.91119568845004395</v>
      </c>
      <c r="G4873">
        <v>2.9013986587524401</v>
      </c>
      <c r="H4873">
        <v>13</v>
      </c>
      <c r="I4873">
        <v>25</v>
      </c>
      <c r="J4873">
        <v>30</v>
      </c>
    </row>
    <row r="4874" spans="1:10" x14ac:dyDescent="0.25">
      <c r="A4874" t="s">
        <v>25</v>
      </c>
      <c r="B4874" t="s">
        <v>11</v>
      </c>
      <c r="C4874" t="s">
        <v>12</v>
      </c>
      <c r="D4874" t="s">
        <v>15</v>
      </c>
      <c r="E4874">
        <v>0.88219178082191696</v>
      </c>
      <c r="F4874">
        <v>0.89825765210137098</v>
      </c>
      <c r="G4874">
        <v>3.2274973392486501</v>
      </c>
      <c r="H4874">
        <v>6</v>
      </c>
      <c r="I4874">
        <v>13</v>
      </c>
      <c r="J4874">
        <v>30</v>
      </c>
    </row>
    <row r="4875" spans="1:10" x14ac:dyDescent="0.25">
      <c r="A4875" t="s">
        <v>25</v>
      </c>
      <c r="B4875" t="s">
        <v>11</v>
      </c>
      <c r="C4875" t="s">
        <v>12</v>
      </c>
      <c r="D4875" t="s">
        <v>15</v>
      </c>
      <c r="E4875">
        <v>0.90045662100456603</v>
      </c>
      <c r="F4875">
        <v>0.91288973230593695</v>
      </c>
      <c r="G4875">
        <v>3.38103079795837</v>
      </c>
      <c r="H4875">
        <v>13</v>
      </c>
      <c r="I4875">
        <v>25</v>
      </c>
      <c r="J4875">
        <v>30</v>
      </c>
    </row>
    <row r="4876" spans="1:10" x14ac:dyDescent="0.25">
      <c r="A4876" t="s">
        <v>25</v>
      </c>
      <c r="B4876" t="s">
        <v>11</v>
      </c>
      <c r="C4876" t="s">
        <v>12</v>
      </c>
      <c r="D4876" t="s">
        <v>15</v>
      </c>
      <c r="E4876">
        <v>0.90410958904109495</v>
      </c>
      <c r="F4876">
        <v>0.91624552896575395</v>
      </c>
      <c r="G4876">
        <v>3.3720145225524898</v>
      </c>
      <c r="H4876">
        <v>9</v>
      </c>
      <c r="I4876">
        <v>21</v>
      </c>
      <c r="J4876">
        <v>30</v>
      </c>
    </row>
    <row r="4877" spans="1:10" x14ac:dyDescent="0.25">
      <c r="A4877" t="s">
        <v>25</v>
      </c>
      <c r="B4877" t="s">
        <v>11</v>
      </c>
      <c r="C4877" t="s">
        <v>12</v>
      </c>
      <c r="D4877" t="s">
        <v>15</v>
      </c>
      <c r="E4877">
        <v>0.89863013698630101</v>
      </c>
      <c r="F4877">
        <v>0.91144586653515802</v>
      </c>
      <c r="G4877">
        <v>3.6448695659637398</v>
      </c>
      <c r="H4877">
        <v>7</v>
      </c>
      <c r="I4877">
        <v>16</v>
      </c>
      <c r="J4877">
        <v>30</v>
      </c>
    </row>
    <row r="4878" spans="1:10" x14ac:dyDescent="0.25">
      <c r="A4878" t="s">
        <v>25</v>
      </c>
      <c r="B4878" t="s">
        <v>11</v>
      </c>
      <c r="C4878" t="s">
        <v>12</v>
      </c>
      <c r="D4878" t="s">
        <v>15</v>
      </c>
      <c r="E4878">
        <v>0.88858447488584402</v>
      </c>
      <c r="F4878">
        <v>0.90444376309479302</v>
      </c>
      <c r="G4878">
        <v>3.7737321853637602</v>
      </c>
      <c r="H4878">
        <v>7</v>
      </c>
      <c r="I4878">
        <v>19</v>
      </c>
      <c r="J4878">
        <v>30</v>
      </c>
    </row>
    <row r="4879" spans="1:10" x14ac:dyDescent="0.25">
      <c r="A4879" t="s">
        <v>25</v>
      </c>
      <c r="B4879" t="s">
        <v>11</v>
      </c>
      <c r="C4879" t="s">
        <v>12</v>
      </c>
      <c r="D4879" t="s">
        <v>15</v>
      </c>
      <c r="E4879">
        <v>0.89406392694063896</v>
      </c>
      <c r="F4879">
        <v>0.90728420102575502</v>
      </c>
      <c r="G4879">
        <v>3.7926795482635498</v>
      </c>
      <c r="H4879">
        <v>11</v>
      </c>
      <c r="I4879">
        <v>24</v>
      </c>
      <c r="J4879">
        <v>30</v>
      </c>
    </row>
    <row r="4880" spans="1:10" x14ac:dyDescent="0.25">
      <c r="A4880" t="s">
        <v>25</v>
      </c>
      <c r="B4880" t="s">
        <v>11</v>
      </c>
      <c r="C4880" t="s">
        <v>12</v>
      </c>
      <c r="D4880" t="s">
        <v>15</v>
      </c>
      <c r="E4880">
        <v>0.89497716894977097</v>
      </c>
      <c r="F4880">
        <v>0.90700786755826401</v>
      </c>
      <c r="G4880">
        <v>3.9648578166961599</v>
      </c>
      <c r="H4880">
        <v>9</v>
      </c>
      <c r="I4880">
        <v>18</v>
      </c>
      <c r="J4880">
        <v>30</v>
      </c>
    </row>
    <row r="4881" spans="1:10" x14ac:dyDescent="0.25">
      <c r="A4881" t="s">
        <v>25</v>
      </c>
      <c r="B4881" t="s">
        <v>11</v>
      </c>
      <c r="C4881" t="s">
        <v>12</v>
      </c>
      <c r="D4881" t="s">
        <v>15</v>
      </c>
      <c r="E4881">
        <v>0.90593607305935997</v>
      </c>
      <c r="F4881">
        <v>0.91569692468018404</v>
      </c>
      <c r="G4881">
        <v>4.0631821155548096</v>
      </c>
      <c r="H4881">
        <v>15</v>
      </c>
      <c r="I4881">
        <v>30</v>
      </c>
      <c r="J4881">
        <v>30</v>
      </c>
    </row>
    <row r="4882" spans="1:10" x14ac:dyDescent="0.25">
      <c r="A4882" t="s">
        <v>25</v>
      </c>
      <c r="B4882" t="s">
        <v>11</v>
      </c>
      <c r="C4882" t="s">
        <v>12</v>
      </c>
      <c r="D4882" t="s">
        <v>15</v>
      </c>
      <c r="E4882">
        <v>0.89315068493150596</v>
      </c>
      <c r="F4882">
        <v>0.90505314664547698</v>
      </c>
      <c r="G4882">
        <v>5.11956334114074</v>
      </c>
      <c r="H4882">
        <v>12</v>
      </c>
      <c r="I4882">
        <v>36</v>
      </c>
      <c r="J4882">
        <v>30</v>
      </c>
    </row>
    <row r="4883" spans="1:10" x14ac:dyDescent="0.25">
      <c r="A4883" t="s">
        <v>25</v>
      </c>
      <c r="B4883" t="s">
        <v>11</v>
      </c>
      <c r="C4883" t="s">
        <v>12</v>
      </c>
      <c r="D4883" t="s">
        <v>15</v>
      </c>
      <c r="E4883">
        <v>0.89497716894977097</v>
      </c>
      <c r="F4883">
        <v>0.90734378242922498</v>
      </c>
      <c r="G4883">
        <v>5.3321962356567303</v>
      </c>
      <c r="H4883">
        <v>9</v>
      </c>
      <c r="I4883">
        <v>21</v>
      </c>
      <c r="J4883">
        <v>30</v>
      </c>
    </row>
    <row r="4884" spans="1:10" x14ac:dyDescent="0.25">
      <c r="A4884" t="s">
        <v>25</v>
      </c>
      <c r="B4884" t="s">
        <v>11</v>
      </c>
      <c r="C4884" t="s">
        <v>12</v>
      </c>
      <c r="D4884" t="s">
        <v>15</v>
      </c>
      <c r="E4884">
        <v>0.87945205479452004</v>
      </c>
      <c r="F4884">
        <v>0.89669700106740002</v>
      </c>
      <c r="G4884">
        <v>5.6762909889221103</v>
      </c>
      <c r="H4884">
        <v>13</v>
      </c>
      <c r="I4884">
        <v>29</v>
      </c>
      <c r="J4884">
        <v>30</v>
      </c>
    </row>
    <row r="4885" spans="1:10" x14ac:dyDescent="0.25">
      <c r="A4885" t="s">
        <v>25</v>
      </c>
      <c r="B4885" t="s">
        <v>11</v>
      </c>
      <c r="C4885" t="s">
        <v>12</v>
      </c>
      <c r="D4885" t="s">
        <v>15</v>
      </c>
      <c r="E4885">
        <v>0.89589041095890398</v>
      </c>
      <c r="F4885">
        <v>0.91043069342383498</v>
      </c>
      <c r="G4885">
        <v>5.7004334926605198</v>
      </c>
      <c r="H4885">
        <v>18</v>
      </c>
      <c r="I4885">
        <v>43</v>
      </c>
      <c r="J4885">
        <v>30</v>
      </c>
    </row>
    <row r="4886" spans="1:10" x14ac:dyDescent="0.25">
      <c r="A4886" t="s">
        <v>25</v>
      </c>
      <c r="B4886" t="s">
        <v>11</v>
      </c>
      <c r="C4886" t="s">
        <v>12</v>
      </c>
      <c r="D4886" t="s">
        <v>15</v>
      </c>
      <c r="E4886">
        <v>9.1324200913241995E-4</v>
      </c>
      <c r="F4886">
        <v>0.75000373845762502</v>
      </c>
      <c r="G4886">
        <v>6.7496526241302401</v>
      </c>
      <c r="H4886">
        <v>19</v>
      </c>
      <c r="I4886">
        <v>47</v>
      </c>
      <c r="J4886">
        <v>30</v>
      </c>
    </row>
    <row r="4887" spans="1:10" x14ac:dyDescent="0.25">
      <c r="A4887" t="s">
        <v>25</v>
      </c>
      <c r="B4887" t="s">
        <v>11</v>
      </c>
      <c r="C4887" t="s">
        <v>12</v>
      </c>
      <c r="D4887" t="s">
        <v>15</v>
      </c>
      <c r="E4887">
        <v>0.89497716894977097</v>
      </c>
      <c r="F4887">
        <v>0.907853431598172</v>
      </c>
      <c r="G4887">
        <v>7.0404722690582204</v>
      </c>
      <c r="H4887">
        <v>14</v>
      </c>
      <c r="I4887">
        <v>35</v>
      </c>
      <c r="J4887">
        <v>30</v>
      </c>
    </row>
    <row r="4888" spans="1:10" x14ac:dyDescent="0.25">
      <c r="A4888" t="s">
        <v>25</v>
      </c>
      <c r="B4888" t="s">
        <v>11</v>
      </c>
      <c r="C4888" t="s">
        <v>12</v>
      </c>
      <c r="D4888" t="s">
        <v>15</v>
      </c>
      <c r="E4888">
        <v>0.87945205479452004</v>
      </c>
      <c r="F4888">
        <v>0.89549599123113999</v>
      </c>
      <c r="G4888">
        <v>7.2675840854644704</v>
      </c>
      <c r="H4888">
        <v>20</v>
      </c>
      <c r="I4888">
        <v>42</v>
      </c>
      <c r="J4888">
        <v>30</v>
      </c>
    </row>
    <row r="4889" spans="1:10" x14ac:dyDescent="0.25">
      <c r="A4889" t="s">
        <v>25</v>
      </c>
      <c r="B4889" t="s">
        <v>11</v>
      </c>
      <c r="C4889" t="s">
        <v>12</v>
      </c>
      <c r="D4889" t="s">
        <v>15</v>
      </c>
      <c r="E4889">
        <v>0.88858447488584402</v>
      </c>
      <c r="F4889">
        <v>0.905173246294522</v>
      </c>
      <c r="G4889">
        <v>7.3474469184875399</v>
      </c>
      <c r="H4889">
        <v>27</v>
      </c>
      <c r="I4889">
        <v>63</v>
      </c>
      <c r="J4889">
        <v>30</v>
      </c>
    </row>
    <row r="4890" spans="1:10" x14ac:dyDescent="0.25">
      <c r="A4890" t="s">
        <v>25</v>
      </c>
      <c r="B4890" t="s">
        <v>11</v>
      </c>
      <c r="C4890" t="s">
        <v>12</v>
      </c>
      <c r="D4890" t="s">
        <v>15</v>
      </c>
      <c r="E4890">
        <v>3.6529680365296798E-3</v>
      </c>
      <c r="F4890">
        <v>0.75001121537287596</v>
      </c>
      <c r="G4890">
        <v>7.7207279205322203</v>
      </c>
      <c r="H4890">
        <v>17</v>
      </c>
      <c r="I4890">
        <v>48</v>
      </c>
      <c r="J4890">
        <v>30</v>
      </c>
    </row>
    <row r="4891" spans="1:10" x14ac:dyDescent="0.25">
      <c r="A4891" t="s">
        <v>25</v>
      </c>
      <c r="B4891" t="s">
        <v>11</v>
      </c>
      <c r="C4891" t="s">
        <v>12</v>
      </c>
      <c r="D4891" t="s">
        <v>15</v>
      </c>
      <c r="E4891">
        <v>0.91232876712328703</v>
      </c>
      <c r="F4891">
        <v>0.92263594507104796</v>
      </c>
      <c r="G4891">
        <v>7.9789943695068297</v>
      </c>
      <c r="H4891">
        <v>29</v>
      </c>
      <c r="I4891">
        <v>74</v>
      </c>
      <c r="J4891">
        <v>30</v>
      </c>
    </row>
    <row r="4892" spans="1:10" x14ac:dyDescent="0.25">
      <c r="A4892" t="s">
        <v>25</v>
      </c>
      <c r="B4892" t="s">
        <v>11</v>
      </c>
      <c r="C4892" t="s">
        <v>12</v>
      </c>
      <c r="D4892" t="s">
        <v>16</v>
      </c>
      <c r="E4892">
        <v>0</v>
      </c>
      <c r="F4892">
        <v>0.75</v>
      </c>
      <c r="G4892">
        <v>0.27488613128662098</v>
      </c>
      <c r="H4892">
        <v>0</v>
      </c>
      <c r="I4892">
        <v>0</v>
      </c>
      <c r="J4892">
        <v>30</v>
      </c>
    </row>
    <row r="4893" spans="1:10" x14ac:dyDescent="0.25">
      <c r="A4893" t="s">
        <v>25</v>
      </c>
      <c r="B4893" t="s">
        <v>11</v>
      </c>
      <c r="C4893" t="s">
        <v>12</v>
      </c>
      <c r="D4893" t="s">
        <v>16</v>
      </c>
      <c r="E4893">
        <v>0</v>
      </c>
      <c r="F4893">
        <v>0.75</v>
      </c>
      <c r="G4893">
        <v>0.36257672309875399</v>
      </c>
      <c r="H4893">
        <v>0</v>
      </c>
      <c r="I4893">
        <v>0</v>
      </c>
      <c r="J4893">
        <v>30</v>
      </c>
    </row>
    <row r="4894" spans="1:10" x14ac:dyDescent="0.25">
      <c r="A4894" t="s">
        <v>25</v>
      </c>
      <c r="B4894" t="s">
        <v>11</v>
      </c>
      <c r="C4894" t="s">
        <v>12</v>
      </c>
      <c r="D4894" t="s">
        <v>16</v>
      </c>
      <c r="E4894">
        <v>0</v>
      </c>
      <c r="F4894">
        <v>0.75</v>
      </c>
      <c r="G4894">
        <v>0.39268541336059498</v>
      </c>
      <c r="H4894">
        <v>0</v>
      </c>
      <c r="I4894">
        <v>0</v>
      </c>
      <c r="J4894">
        <v>30</v>
      </c>
    </row>
    <row r="4895" spans="1:10" x14ac:dyDescent="0.25">
      <c r="A4895" t="s">
        <v>25</v>
      </c>
      <c r="B4895" t="s">
        <v>11</v>
      </c>
      <c r="C4895" t="s">
        <v>12</v>
      </c>
      <c r="D4895" t="s">
        <v>16</v>
      </c>
      <c r="E4895">
        <v>0</v>
      </c>
      <c r="F4895">
        <v>0.75</v>
      </c>
      <c r="G4895">
        <v>0.45201230049133301</v>
      </c>
      <c r="H4895">
        <v>0</v>
      </c>
      <c r="I4895">
        <v>0</v>
      </c>
      <c r="J4895">
        <v>30</v>
      </c>
    </row>
    <row r="4896" spans="1:10" x14ac:dyDescent="0.25">
      <c r="A4896" t="s">
        <v>25</v>
      </c>
      <c r="B4896" t="s">
        <v>11</v>
      </c>
      <c r="C4896" t="s">
        <v>12</v>
      </c>
      <c r="D4896" t="s">
        <v>16</v>
      </c>
      <c r="E4896">
        <v>0</v>
      </c>
      <c r="F4896">
        <v>0.75</v>
      </c>
      <c r="G4896">
        <v>0.46594333648681602</v>
      </c>
      <c r="H4896">
        <v>0</v>
      </c>
      <c r="I4896">
        <v>0</v>
      </c>
      <c r="J4896">
        <v>30</v>
      </c>
    </row>
    <row r="4897" spans="1:10" x14ac:dyDescent="0.25">
      <c r="A4897" t="s">
        <v>25</v>
      </c>
      <c r="B4897" t="s">
        <v>11</v>
      </c>
      <c r="C4897" t="s">
        <v>12</v>
      </c>
      <c r="D4897" t="s">
        <v>16</v>
      </c>
      <c r="E4897">
        <v>0</v>
      </c>
      <c r="F4897">
        <v>0.75</v>
      </c>
      <c r="G4897">
        <v>0.45449805259704501</v>
      </c>
      <c r="H4897">
        <v>0</v>
      </c>
      <c r="I4897">
        <v>0</v>
      </c>
      <c r="J4897">
        <v>30</v>
      </c>
    </row>
    <row r="4898" spans="1:10" x14ac:dyDescent="0.25">
      <c r="A4898" t="s">
        <v>25</v>
      </c>
      <c r="B4898" t="s">
        <v>11</v>
      </c>
      <c r="C4898" t="s">
        <v>12</v>
      </c>
      <c r="D4898" t="s">
        <v>16</v>
      </c>
      <c r="E4898">
        <v>0</v>
      </c>
      <c r="F4898">
        <v>0.75</v>
      </c>
      <c r="G4898">
        <v>0.48700308799743602</v>
      </c>
      <c r="H4898">
        <v>0</v>
      </c>
      <c r="I4898">
        <v>0</v>
      </c>
      <c r="J4898">
        <v>30</v>
      </c>
    </row>
    <row r="4899" spans="1:10" x14ac:dyDescent="0.25">
      <c r="A4899" t="s">
        <v>25</v>
      </c>
      <c r="B4899" t="s">
        <v>11</v>
      </c>
      <c r="C4899" t="s">
        <v>12</v>
      </c>
      <c r="D4899" t="s">
        <v>16</v>
      </c>
      <c r="E4899">
        <v>0</v>
      </c>
      <c r="F4899">
        <v>0.75</v>
      </c>
      <c r="G4899">
        <v>0.442875146865844</v>
      </c>
      <c r="H4899">
        <v>0</v>
      </c>
      <c r="I4899">
        <v>0</v>
      </c>
      <c r="J4899">
        <v>30</v>
      </c>
    </row>
    <row r="4900" spans="1:10" x14ac:dyDescent="0.25">
      <c r="A4900" t="s">
        <v>25</v>
      </c>
      <c r="B4900" t="s">
        <v>11</v>
      </c>
      <c r="C4900" t="s">
        <v>12</v>
      </c>
      <c r="D4900" t="s">
        <v>16</v>
      </c>
      <c r="E4900">
        <v>0</v>
      </c>
      <c r="F4900">
        <v>0.75</v>
      </c>
      <c r="G4900">
        <v>0.50556015968322698</v>
      </c>
      <c r="H4900">
        <v>0</v>
      </c>
      <c r="I4900">
        <v>0</v>
      </c>
      <c r="J4900">
        <v>30</v>
      </c>
    </row>
    <row r="4901" spans="1:10" x14ac:dyDescent="0.25">
      <c r="A4901" t="s">
        <v>25</v>
      </c>
      <c r="B4901" t="s">
        <v>11</v>
      </c>
      <c r="C4901" t="s">
        <v>12</v>
      </c>
      <c r="D4901" t="s">
        <v>16</v>
      </c>
      <c r="E4901">
        <v>0</v>
      </c>
      <c r="F4901">
        <v>0.75</v>
      </c>
      <c r="G4901">
        <v>0.47449207305908198</v>
      </c>
      <c r="H4901">
        <v>0</v>
      </c>
      <c r="I4901">
        <v>0</v>
      </c>
      <c r="J4901">
        <v>30</v>
      </c>
    </row>
    <row r="4902" spans="1:10" x14ac:dyDescent="0.25">
      <c r="A4902" t="s">
        <v>25</v>
      </c>
      <c r="B4902" t="s">
        <v>11</v>
      </c>
      <c r="C4902" t="s">
        <v>12</v>
      </c>
      <c r="D4902" t="s">
        <v>16</v>
      </c>
      <c r="E4902">
        <v>0</v>
      </c>
      <c r="F4902">
        <v>0.75</v>
      </c>
      <c r="G4902">
        <v>0.52211761474609297</v>
      </c>
      <c r="H4902">
        <v>0</v>
      </c>
      <c r="I4902">
        <v>0</v>
      </c>
      <c r="J4902">
        <v>30</v>
      </c>
    </row>
    <row r="4903" spans="1:10" x14ac:dyDescent="0.25">
      <c r="A4903" t="s">
        <v>25</v>
      </c>
      <c r="B4903" t="s">
        <v>11</v>
      </c>
      <c r="C4903" t="s">
        <v>12</v>
      </c>
      <c r="D4903" t="s">
        <v>16</v>
      </c>
      <c r="E4903">
        <v>0</v>
      </c>
      <c r="F4903">
        <v>0.75</v>
      </c>
      <c r="G4903">
        <v>0.50211834907531705</v>
      </c>
      <c r="H4903">
        <v>0</v>
      </c>
      <c r="I4903">
        <v>0</v>
      </c>
      <c r="J4903">
        <v>30</v>
      </c>
    </row>
    <row r="4904" spans="1:10" x14ac:dyDescent="0.25">
      <c r="A4904" t="s">
        <v>25</v>
      </c>
      <c r="B4904" t="s">
        <v>11</v>
      </c>
      <c r="C4904" t="s">
        <v>12</v>
      </c>
      <c r="D4904" t="s">
        <v>16</v>
      </c>
      <c r="E4904">
        <v>0</v>
      </c>
      <c r="F4904">
        <v>0.75</v>
      </c>
      <c r="G4904">
        <v>0.54473996162414495</v>
      </c>
      <c r="H4904">
        <v>0</v>
      </c>
      <c r="I4904">
        <v>0</v>
      </c>
      <c r="J4904">
        <v>30</v>
      </c>
    </row>
    <row r="4905" spans="1:10" x14ac:dyDescent="0.25">
      <c r="A4905" t="s">
        <v>25</v>
      </c>
      <c r="B4905" t="s">
        <v>11</v>
      </c>
      <c r="C4905" t="s">
        <v>12</v>
      </c>
      <c r="D4905" t="s">
        <v>16</v>
      </c>
      <c r="E4905">
        <v>0</v>
      </c>
      <c r="F4905">
        <v>0.75</v>
      </c>
      <c r="G4905">
        <v>0.52117729187011697</v>
      </c>
      <c r="H4905">
        <v>0</v>
      </c>
      <c r="I4905">
        <v>0</v>
      </c>
      <c r="J4905">
        <v>30</v>
      </c>
    </row>
    <row r="4906" spans="1:10" x14ac:dyDescent="0.25">
      <c r="A4906" t="s">
        <v>25</v>
      </c>
      <c r="B4906" t="s">
        <v>11</v>
      </c>
      <c r="C4906" t="s">
        <v>12</v>
      </c>
      <c r="D4906" t="s">
        <v>16</v>
      </c>
      <c r="E4906">
        <v>0</v>
      </c>
      <c r="F4906">
        <v>0.75</v>
      </c>
      <c r="G4906">
        <v>0.45191216468811002</v>
      </c>
      <c r="H4906">
        <v>0</v>
      </c>
      <c r="I4906">
        <v>0</v>
      </c>
      <c r="J4906">
        <v>30</v>
      </c>
    </row>
    <row r="4907" spans="1:10" x14ac:dyDescent="0.25">
      <c r="A4907" t="s">
        <v>25</v>
      </c>
      <c r="B4907" t="s">
        <v>11</v>
      </c>
      <c r="C4907" t="s">
        <v>12</v>
      </c>
      <c r="D4907" t="s">
        <v>16</v>
      </c>
      <c r="E4907">
        <v>0</v>
      </c>
      <c r="F4907">
        <v>0.75</v>
      </c>
      <c r="G4907">
        <v>0.53623700141906705</v>
      </c>
      <c r="H4907">
        <v>0</v>
      </c>
      <c r="I4907">
        <v>0</v>
      </c>
      <c r="J4907">
        <v>30</v>
      </c>
    </row>
    <row r="4908" spans="1:10" x14ac:dyDescent="0.25">
      <c r="A4908" t="s">
        <v>25</v>
      </c>
      <c r="B4908" t="s">
        <v>11</v>
      </c>
      <c r="C4908" t="s">
        <v>12</v>
      </c>
      <c r="D4908" t="s">
        <v>16</v>
      </c>
      <c r="E4908">
        <v>0</v>
      </c>
      <c r="F4908">
        <v>0.75</v>
      </c>
      <c r="G4908">
        <v>0.57380843162536599</v>
      </c>
      <c r="H4908">
        <v>0</v>
      </c>
      <c r="I4908">
        <v>0</v>
      </c>
      <c r="J4908">
        <v>30</v>
      </c>
    </row>
    <row r="4909" spans="1:10" x14ac:dyDescent="0.25">
      <c r="A4909" t="s">
        <v>25</v>
      </c>
      <c r="B4909" t="s">
        <v>11</v>
      </c>
      <c r="C4909" t="s">
        <v>12</v>
      </c>
      <c r="D4909" t="s">
        <v>16</v>
      </c>
      <c r="E4909">
        <v>0</v>
      </c>
      <c r="F4909">
        <v>0.75</v>
      </c>
      <c r="G4909">
        <v>0.51609539985656705</v>
      </c>
      <c r="H4909">
        <v>0</v>
      </c>
      <c r="I4909">
        <v>0</v>
      </c>
      <c r="J4909">
        <v>30</v>
      </c>
    </row>
    <row r="4910" spans="1:10" x14ac:dyDescent="0.25">
      <c r="A4910" t="s">
        <v>25</v>
      </c>
      <c r="B4910" t="s">
        <v>11</v>
      </c>
      <c r="C4910" t="s">
        <v>12</v>
      </c>
      <c r="D4910" t="s">
        <v>16</v>
      </c>
      <c r="E4910">
        <v>0</v>
      </c>
      <c r="F4910">
        <v>0.75</v>
      </c>
      <c r="G4910">
        <v>0.51364898681640603</v>
      </c>
      <c r="H4910">
        <v>0</v>
      </c>
      <c r="I4910">
        <v>0</v>
      </c>
      <c r="J4910">
        <v>30</v>
      </c>
    </row>
    <row r="4911" spans="1:10" x14ac:dyDescent="0.25">
      <c r="A4911" t="s">
        <v>25</v>
      </c>
      <c r="B4911" t="s">
        <v>11</v>
      </c>
      <c r="C4911" t="s">
        <v>12</v>
      </c>
      <c r="D4911" t="s">
        <v>16</v>
      </c>
      <c r="E4911">
        <v>0</v>
      </c>
      <c r="F4911">
        <v>0.75</v>
      </c>
      <c r="G4911">
        <v>0.555303335189819</v>
      </c>
      <c r="H4911">
        <v>0</v>
      </c>
      <c r="I4911">
        <v>0</v>
      </c>
      <c r="J4911">
        <v>30</v>
      </c>
    </row>
    <row r="4912" spans="1:10" x14ac:dyDescent="0.25">
      <c r="A4912" t="s">
        <v>25</v>
      </c>
      <c r="B4912" t="s">
        <v>11</v>
      </c>
      <c r="C4912" t="s">
        <v>12</v>
      </c>
      <c r="D4912" t="s">
        <v>16</v>
      </c>
      <c r="E4912">
        <v>0</v>
      </c>
      <c r="F4912">
        <v>0.75</v>
      </c>
      <c r="G4912">
        <v>0.57079982757568304</v>
      </c>
      <c r="H4912">
        <v>0</v>
      </c>
      <c r="I4912">
        <v>0</v>
      </c>
      <c r="J4912">
        <v>30</v>
      </c>
    </row>
    <row r="4913" spans="1:10" x14ac:dyDescent="0.25">
      <c r="A4913" t="s">
        <v>25</v>
      </c>
      <c r="B4913" t="s">
        <v>11</v>
      </c>
      <c r="C4913" t="s">
        <v>12</v>
      </c>
      <c r="D4913" t="s">
        <v>16</v>
      </c>
      <c r="E4913">
        <v>0</v>
      </c>
      <c r="F4913">
        <v>0.75</v>
      </c>
      <c r="G4913">
        <v>0.54879832267761197</v>
      </c>
      <c r="H4913">
        <v>0</v>
      </c>
      <c r="I4913">
        <v>0</v>
      </c>
      <c r="J4913">
        <v>30</v>
      </c>
    </row>
    <row r="4914" spans="1:10" x14ac:dyDescent="0.25">
      <c r="A4914" t="s">
        <v>25</v>
      </c>
      <c r="B4914" t="s">
        <v>11</v>
      </c>
      <c r="C4914" t="s">
        <v>12</v>
      </c>
      <c r="D4914" t="s">
        <v>16</v>
      </c>
      <c r="E4914">
        <v>0</v>
      </c>
      <c r="F4914">
        <v>0.75</v>
      </c>
      <c r="G4914">
        <v>0.52515506744384699</v>
      </c>
      <c r="H4914">
        <v>0</v>
      </c>
      <c r="I4914">
        <v>0</v>
      </c>
      <c r="J4914">
        <v>30</v>
      </c>
    </row>
    <row r="4915" spans="1:10" x14ac:dyDescent="0.25">
      <c r="A4915" t="s">
        <v>25</v>
      </c>
      <c r="B4915" t="s">
        <v>11</v>
      </c>
      <c r="C4915" t="s">
        <v>12</v>
      </c>
      <c r="D4915" t="s">
        <v>16</v>
      </c>
      <c r="E4915">
        <v>0</v>
      </c>
      <c r="F4915">
        <v>0.75</v>
      </c>
      <c r="G4915">
        <v>0.54122900962829501</v>
      </c>
      <c r="H4915">
        <v>0</v>
      </c>
      <c r="I4915">
        <v>0</v>
      </c>
      <c r="J4915">
        <v>30</v>
      </c>
    </row>
    <row r="4916" spans="1:10" x14ac:dyDescent="0.25">
      <c r="A4916" t="s">
        <v>25</v>
      </c>
      <c r="B4916" t="s">
        <v>11</v>
      </c>
      <c r="C4916" t="s">
        <v>12</v>
      </c>
      <c r="D4916" t="s">
        <v>16</v>
      </c>
      <c r="E4916">
        <v>0</v>
      </c>
      <c r="F4916">
        <v>0.75</v>
      </c>
      <c r="G4916">
        <v>0.54422903060912997</v>
      </c>
      <c r="H4916">
        <v>0</v>
      </c>
      <c r="I4916">
        <v>0</v>
      </c>
      <c r="J4916">
        <v>30</v>
      </c>
    </row>
    <row r="4917" spans="1:10" x14ac:dyDescent="0.25">
      <c r="A4917" t="s">
        <v>25</v>
      </c>
      <c r="B4917" t="s">
        <v>11</v>
      </c>
      <c r="C4917" t="s">
        <v>12</v>
      </c>
      <c r="D4917" t="s">
        <v>16</v>
      </c>
      <c r="E4917">
        <v>0</v>
      </c>
      <c r="F4917">
        <v>0.75</v>
      </c>
      <c r="G4917">
        <v>0.499102592468261</v>
      </c>
      <c r="H4917">
        <v>0</v>
      </c>
      <c r="I4917">
        <v>0</v>
      </c>
      <c r="J4917">
        <v>30</v>
      </c>
    </row>
    <row r="4918" spans="1:10" x14ac:dyDescent="0.25">
      <c r="A4918" t="s">
        <v>25</v>
      </c>
      <c r="B4918" t="s">
        <v>11</v>
      </c>
      <c r="C4918" t="s">
        <v>12</v>
      </c>
      <c r="D4918" t="s">
        <v>16</v>
      </c>
      <c r="E4918">
        <v>0</v>
      </c>
      <c r="F4918">
        <v>0.75</v>
      </c>
      <c r="G4918">
        <v>0.54123735427856401</v>
      </c>
      <c r="H4918">
        <v>0</v>
      </c>
      <c r="I4918">
        <v>0</v>
      </c>
      <c r="J4918">
        <v>30</v>
      </c>
    </row>
    <row r="4919" spans="1:10" x14ac:dyDescent="0.25">
      <c r="A4919" t="s">
        <v>25</v>
      </c>
      <c r="B4919" t="s">
        <v>11</v>
      </c>
      <c r="C4919" t="s">
        <v>12</v>
      </c>
      <c r="D4919" t="s">
        <v>16</v>
      </c>
      <c r="E4919">
        <v>0</v>
      </c>
      <c r="F4919">
        <v>0.75</v>
      </c>
      <c r="G4919">
        <v>0.51416254043579102</v>
      </c>
      <c r="H4919">
        <v>0</v>
      </c>
      <c r="I4919">
        <v>0</v>
      </c>
      <c r="J4919">
        <v>30</v>
      </c>
    </row>
    <row r="4920" spans="1:10" x14ac:dyDescent="0.25">
      <c r="A4920" t="s">
        <v>25</v>
      </c>
      <c r="B4920" t="s">
        <v>11</v>
      </c>
      <c r="C4920" t="s">
        <v>12</v>
      </c>
      <c r="D4920" t="s">
        <v>16</v>
      </c>
      <c r="E4920">
        <v>0</v>
      </c>
      <c r="F4920">
        <v>0.75</v>
      </c>
      <c r="G4920">
        <v>0.54781031608581499</v>
      </c>
      <c r="H4920">
        <v>0</v>
      </c>
      <c r="I4920">
        <v>0</v>
      </c>
      <c r="J4920">
        <v>30</v>
      </c>
    </row>
    <row r="4921" spans="1:10" x14ac:dyDescent="0.25">
      <c r="A4921" t="s">
        <v>25</v>
      </c>
      <c r="B4921" t="s">
        <v>11</v>
      </c>
      <c r="C4921" t="s">
        <v>12</v>
      </c>
      <c r="D4921" t="s">
        <v>16</v>
      </c>
      <c r="E4921">
        <v>0</v>
      </c>
      <c r="F4921">
        <v>0.75</v>
      </c>
      <c r="G4921">
        <v>0.52872419357299805</v>
      </c>
      <c r="H4921">
        <v>0</v>
      </c>
      <c r="I4921">
        <v>0</v>
      </c>
      <c r="J4921">
        <v>30</v>
      </c>
    </row>
    <row r="4922" spans="1:10" x14ac:dyDescent="0.25">
      <c r="A4922" t="s">
        <v>25</v>
      </c>
      <c r="B4922" t="s">
        <v>11</v>
      </c>
      <c r="C4922" t="s">
        <v>12</v>
      </c>
      <c r="D4922" t="s">
        <v>17</v>
      </c>
      <c r="E4922">
        <v>0.90502283105022796</v>
      </c>
      <c r="F4922">
        <v>0.91899876947050196</v>
      </c>
      <c r="G4922">
        <v>22.267621755599901</v>
      </c>
      <c r="H4922">
        <v>44</v>
      </c>
      <c r="I4922">
        <v>82</v>
      </c>
      <c r="J4922">
        <v>30</v>
      </c>
    </row>
    <row r="4923" spans="1:10" x14ac:dyDescent="0.25">
      <c r="A4923" t="s">
        <v>25</v>
      </c>
      <c r="B4923" t="s">
        <v>11</v>
      </c>
      <c r="C4923" t="s">
        <v>12</v>
      </c>
      <c r="D4923" t="s">
        <v>17</v>
      </c>
      <c r="E4923">
        <v>0.88858447488584402</v>
      </c>
      <c r="F4923">
        <v>0.91364385661607395</v>
      </c>
      <c r="G4923">
        <v>26.5901551246643</v>
      </c>
      <c r="H4923">
        <v>50</v>
      </c>
      <c r="I4923">
        <v>82</v>
      </c>
      <c r="J4923">
        <v>30</v>
      </c>
    </row>
    <row r="4924" spans="1:10" x14ac:dyDescent="0.25">
      <c r="A4924" t="s">
        <v>25</v>
      </c>
      <c r="B4924" t="s">
        <v>11</v>
      </c>
      <c r="C4924" t="s">
        <v>12</v>
      </c>
      <c r="D4924" t="s">
        <v>17</v>
      </c>
      <c r="E4924">
        <v>0.88858447488584402</v>
      </c>
      <c r="F4924">
        <v>0.91738806178419896</v>
      </c>
      <c r="G4924">
        <v>40.222239255905102</v>
      </c>
      <c r="H4924">
        <v>45</v>
      </c>
      <c r="I4924">
        <v>81</v>
      </c>
      <c r="J4924">
        <v>30</v>
      </c>
    </row>
    <row r="4925" spans="1:10" x14ac:dyDescent="0.25">
      <c r="A4925" t="s">
        <v>25</v>
      </c>
      <c r="B4925" t="s">
        <v>11</v>
      </c>
      <c r="C4925" t="s">
        <v>12</v>
      </c>
      <c r="D4925" t="s">
        <v>17</v>
      </c>
      <c r="E4925">
        <v>0.92420091324200904</v>
      </c>
      <c r="F4925">
        <v>0.95843879415753297</v>
      </c>
      <c r="G4925">
        <v>45.919274806976297</v>
      </c>
      <c r="H4925">
        <v>117</v>
      </c>
      <c r="I4925">
        <v>154</v>
      </c>
      <c r="J4925">
        <v>30</v>
      </c>
    </row>
    <row r="4926" spans="1:10" x14ac:dyDescent="0.25">
      <c r="A4926" t="s">
        <v>25</v>
      </c>
      <c r="B4926" t="s">
        <v>11</v>
      </c>
      <c r="C4926" t="s">
        <v>12</v>
      </c>
      <c r="D4926" t="s">
        <v>17</v>
      </c>
      <c r="E4926">
        <v>0.93059360730593599</v>
      </c>
      <c r="F4926">
        <v>0.94215859480666597</v>
      </c>
      <c r="G4926">
        <v>55.7874498367309</v>
      </c>
      <c r="H4926">
        <v>145</v>
      </c>
      <c r="I4926">
        <v>189</v>
      </c>
      <c r="J4926">
        <v>30</v>
      </c>
    </row>
    <row r="4927" spans="1:10" x14ac:dyDescent="0.25">
      <c r="A4927" t="s">
        <v>25</v>
      </c>
      <c r="B4927" t="s">
        <v>11</v>
      </c>
      <c r="C4927" t="s">
        <v>12</v>
      </c>
      <c r="D4927" t="s">
        <v>17</v>
      </c>
      <c r="E4927">
        <v>0.92146118721461101</v>
      </c>
      <c r="F4927">
        <v>0.95919460644529697</v>
      </c>
      <c r="G4927">
        <v>57.143583059310899</v>
      </c>
      <c r="H4927">
        <v>137</v>
      </c>
      <c r="I4927">
        <v>169</v>
      </c>
      <c r="J4927">
        <v>30</v>
      </c>
    </row>
    <row r="4928" spans="1:10" x14ac:dyDescent="0.25">
      <c r="A4928" t="s">
        <v>25</v>
      </c>
      <c r="B4928" t="s">
        <v>11</v>
      </c>
      <c r="C4928" t="s">
        <v>12</v>
      </c>
      <c r="D4928" t="s">
        <v>17</v>
      </c>
      <c r="E4928">
        <v>0.92420091324200904</v>
      </c>
      <c r="F4928">
        <v>0.95574846479698705</v>
      </c>
      <c r="G4928">
        <v>58.609604358673003</v>
      </c>
      <c r="H4928">
        <v>126</v>
      </c>
      <c r="I4928">
        <v>179</v>
      </c>
      <c r="J4928">
        <v>30</v>
      </c>
    </row>
    <row r="4929" spans="1:10" x14ac:dyDescent="0.25">
      <c r="A4929" t="s">
        <v>25</v>
      </c>
      <c r="B4929" t="s">
        <v>11</v>
      </c>
      <c r="C4929" t="s">
        <v>12</v>
      </c>
      <c r="D4929" t="s">
        <v>17</v>
      </c>
      <c r="E4929">
        <v>0.92968036529680298</v>
      </c>
      <c r="F4929">
        <v>0.96048217154986204</v>
      </c>
      <c r="G4929">
        <v>61.0210311412811</v>
      </c>
      <c r="H4929">
        <v>151</v>
      </c>
      <c r="I4929">
        <v>172</v>
      </c>
      <c r="J4929">
        <v>30</v>
      </c>
    </row>
    <row r="4930" spans="1:10" x14ac:dyDescent="0.25">
      <c r="A4930" t="s">
        <v>25</v>
      </c>
      <c r="B4930" t="s">
        <v>11</v>
      </c>
      <c r="C4930" t="s">
        <v>12</v>
      </c>
      <c r="D4930" t="s">
        <v>17</v>
      </c>
      <c r="E4930">
        <v>0.91963470319634699</v>
      </c>
      <c r="F4930">
        <v>0.95290446743278401</v>
      </c>
      <c r="G4930">
        <v>61.707047700881901</v>
      </c>
      <c r="H4930">
        <v>132</v>
      </c>
      <c r="I4930">
        <v>167</v>
      </c>
      <c r="J4930">
        <v>30</v>
      </c>
    </row>
    <row r="4931" spans="1:10" x14ac:dyDescent="0.25">
      <c r="A4931" t="s">
        <v>25</v>
      </c>
      <c r="B4931" t="s">
        <v>11</v>
      </c>
      <c r="C4931" t="s">
        <v>12</v>
      </c>
      <c r="D4931" t="s">
        <v>17</v>
      </c>
      <c r="E4931">
        <v>0.91872146118721398</v>
      </c>
      <c r="F4931">
        <v>0.95371027208931403</v>
      </c>
      <c r="G4931">
        <v>62.9993958473205</v>
      </c>
      <c r="H4931">
        <v>164</v>
      </c>
      <c r="I4931">
        <v>200</v>
      </c>
      <c r="J4931">
        <v>30</v>
      </c>
    </row>
    <row r="4932" spans="1:10" x14ac:dyDescent="0.25">
      <c r="A4932" t="s">
        <v>25</v>
      </c>
      <c r="B4932" t="s">
        <v>11</v>
      </c>
      <c r="C4932" t="s">
        <v>12</v>
      </c>
      <c r="D4932" t="s">
        <v>17</v>
      </c>
      <c r="E4932">
        <v>0.92602739726027306</v>
      </c>
      <c r="F4932">
        <v>0.95106642202867497</v>
      </c>
      <c r="G4932">
        <v>64.859762430190997</v>
      </c>
      <c r="H4932">
        <v>172</v>
      </c>
      <c r="I4932">
        <v>206</v>
      </c>
      <c r="J4932">
        <v>30</v>
      </c>
    </row>
    <row r="4933" spans="1:10" x14ac:dyDescent="0.25">
      <c r="A4933" t="s">
        <v>25</v>
      </c>
      <c r="B4933" t="s">
        <v>11</v>
      </c>
      <c r="C4933" t="s">
        <v>12</v>
      </c>
      <c r="D4933" t="s">
        <v>17</v>
      </c>
      <c r="E4933">
        <v>0.91872146118721398</v>
      </c>
      <c r="F4933">
        <v>0.95432961904913305</v>
      </c>
      <c r="G4933">
        <v>65.8391916751861</v>
      </c>
      <c r="H4933">
        <v>137</v>
      </c>
      <c r="I4933">
        <v>175</v>
      </c>
      <c r="J4933">
        <v>30</v>
      </c>
    </row>
    <row r="4934" spans="1:10" x14ac:dyDescent="0.25">
      <c r="A4934" t="s">
        <v>25</v>
      </c>
      <c r="B4934" t="s">
        <v>11</v>
      </c>
      <c r="C4934" t="s">
        <v>12</v>
      </c>
      <c r="D4934" t="s">
        <v>17</v>
      </c>
      <c r="E4934">
        <v>0.920547945205479</v>
      </c>
      <c r="F4934">
        <v>0.95475012375625501</v>
      </c>
      <c r="G4934">
        <v>67.326821565627995</v>
      </c>
      <c r="H4934">
        <v>158</v>
      </c>
      <c r="I4934">
        <v>191</v>
      </c>
      <c r="J4934">
        <v>30</v>
      </c>
    </row>
    <row r="4935" spans="1:10" x14ac:dyDescent="0.25">
      <c r="A4935" t="s">
        <v>25</v>
      </c>
      <c r="B4935" t="s">
        <v>11</v>
      </c>
      <c r="C4935" t="s">
        <v>12</v>
      </c>
      <c r="D4935" t="s">
        <v>17</v>
      </c>
      <c r="E4935">
        <v>0.90502283105022796</v>
      </c>
      <c r="F4935">
        <v>0.95628786940538901</v>
      </c>
      <c r="G4935">
        <v>67.674770832061697</v>
      </c>
      <c r="H4935">
        <v>138</v>
      </c>
      <c r="I4935">
        <v>173</v>
      </c>
      <c r="J4935">
        <v>30</v>
      </c>
    </row>
    <row r="4936" spans="1:10" x14ac:dyDescent="0.25">
      <c r="A4936" t="s">
        <v>25</v>
      </c>
      <c r="B4936" t="s">
        <v>11</v>
      </c>
      <c r="C4936" t="s">
        <v>12</v>
      </c>
      <c r="D4936" t="s">
        <v>17</v>
      </c>
      <c r="E4936">
        <v>0.91232876712328703</v>
      </c>
      <c r="F4936">
        <v>0.95452259011059304</v>
      </c>
      <c r="G4936">
        <v>68.8163228034973</v>
      </c>
      <c r="H4936">
        <v>167</v>
      </c>
      <c r="I4936">
        <v>189</v>
      </c>
      <c r="J4936">
        <v>30</v>
      </c>
    </row>
    <row r="4937" spans="1:10" x14ac:dyDescent="0.25">
      <c r="A4937" t="s">
        <v>25</v>
      </c>
      <c r="B4937" t="s">
        <v>11</v>
      </c>
      <c r="C4937" t="s">
        <v>12</v>
      </c>
      <c r="D4937" t="s">
        <v>17</v>
      </c>
      <c r="E4937">
        <v>0.92694063926940595</v>
      </c>
      <c r="F4937">
        <v>0.95451897441296796</v>
      </c>
      <c r="G4937">
        <v>69.216277599334703</v>
      </c>
      <c r="H4937">
        <v>184</v>
      </c>
      <c r="I4937">
        <v>220</v>
      </c>
      <c r="J4937">
        <v>30</v>
      </c>
    </row>
    <row r="4938" spans="1:10" x14ac:dyDescent="0.25">
      <c r="A4938" t="s">
        <v>25</v>
      </c>
      <c r="B4938" t="s">
        <v>11</v>
      </c>
      <c r="C4938" t="s">
        <v>12</v>
      </c>
      <c r="D4938" t="s">
        <v>17</v>
      </c>
      <c r="E4938">
        <v>0.90410958904109495</v>
      </c>
      <c r="F4938">
        <v>0.95343095784219201</v>
      </c>
      <c r="G4938">
        <v>69.280565500259399</v>
      </c>
      <c r="H4938">
        <v>147</v>
      </c>
      <c r="I4938">
        <v>181</v>
      </c>
      <c r="J4938">
        <v>30</v>
      </c>
    </row>
    <row r="4939" spans="1:10" x14ac:dyDescent="0.25">
      <c r="A4939" t="s">
        <v>25</v>
      </c>
      <c r="B4939" t="s">
        <v>11</v>
      </c>
      <c r="C4939" t="s">
        <v>12</v>
      </c>
      <c r="D4939" t="s">
        <v>17</v>
      </c>
      <c r="E4939">
        <v>0.91598173515981696</v>
      </c>
      <c r="F4939">
        <v>0.95586115339159705</v>
      </c>
      <c r="G4939">
        <v>70.640773057937594</v>
      </c>
      <c r="H4939">
        <v>125</v>
      </c>
      <c r="I4939">
        <v>169</v>
      </c>
      <c r="J4939">
        <v>30</v>
      </c>
    </row>
    <row r="4940" spans="1:10" x14ac:dyDescent="0.25">
      <c r="A4940" t="s">
        <v>25</v>
      </c>
      <c r="B4940" t="s">
        <v>11</v>
      </c>
      <c r="C4940" t="s">
        <v>12</v>
      </c>
      <c r="D4940" t="s">
        <v>17</v>
      </c>
      <c r="E4940">
        <v>0.91232876712328703</v>
      </c>
      <c r="F4940">
        <v>0.94618562964100505</v>
      </c>
      <c r="G4940">
        <v>71.351131439208899</v>
      </c>
      <c r="H4940">
        <v>168</v>
      </c>
      <c r="I4940">
        <v>232</v>
      </c>
      <c r="J4940">
        <v>30</v>
      </c>
    </row>
    <row r="4941" spans="1:10" x14ac:dyDescent="0.25">
      <c r="A4941" t="s">
        <v>25</v>
      </c>
      <c r="B4941" t="s">
        <v>11</v>
      </c>
      <c r="C4941" t="s">
        <v>12</v>
      </c>
      <c r="D4941" t="s">
        <v>17</v>
      </c>
      <c r="E4941">
        <v>0.94429223744292201</v>
      </c>
      <c r="F4941">
        <v>0.96193567738630104</v>
      </c>
      <c r="G4941">
        <v>72.7434468269348</v>
      </c>
      <c r="H4941">
        <v>222</v>
      </c>
      <c r="I4941">
        <v>264</v>
      </c>
      <c r="J4941">
        <v>30</v>
      </c>
    </row>
    <row r="4942" spans="1:10" x14ac:dyDescent="0.25">
      <c r="A4942" t="s">
        <v>25</v>
      </c>
      <c r="B4942" t="s">
        <v>11</v>
      </c>
      <c r="C4942" t="s">
        <v>12</v>
      </c>
      <c r="D4942" t="s">
        <v>17</v>
      </c>
      <c r="E4942">
        <v>0.92785388127853796</v>
      </c>
      <c r="F4942">
        <v>0.96403808315543305</v>
      </c>
      <c r="G4942">
        <v>73.099916219711304</v>
      </c>
      <c r="H4942">
        <v>184</v>
      </c>
      <c r="I4942">
        <v>206</v>
      </c>
      <c r="J4942">
        <v>30</v>
      </c>
    </row>
    <row r="4943" spans="1:10" x14ac:dyDescent="0.25">
      <c r="A4943" t="s">
        <v>25</v>
      </c>
      <c r="B4943" t="s">
        <v>11</v>
      </c>
      <c r="C4943" t="s">
        <v>12</v>
      </c>
      <c r="D4943" t="s">
        <v>17</v>
      </c>
      <c r="E4943">
        <v>0.93242009132420001</v>
      </c>
      <c r="F4943">
        <v>0.96584919365388</v>
      </c>
      <c r="G4943">
        <v>75.341663599014197</v>
      </c>
      <c r="H4943">
        <v>196</v>
      </c>
      <c r="I4943">
        <v>238</v>
      </c>
      <c r="J4943">
        <v>30</v>
      </c>
    </row>
    <row r="4944" spans="1:10" x14ac:dyDescent="0.25">
      <c r="A4944" t="s">
        <v>25</v>
      </c>
      <c r="B4944" t="s">
        <v>11</v>
      </c>
      <c r="C4944" t="s">
        <v>12</v>
      </c>
      <c r="D4944" t="s">
        <v>17</v>
      </c>
      <c r="E4944">
        <v>0.94155251141552498</v>
      </c>
      <c r="F4944">
        <v>0.96205018269150699</v>
      </c>
      <c r="G4944">
        <v>75.439576625823904</v>
      </c>
      <c r="H4944">
        <v>210</v>
      </c>
      <c r="I4944">
        <v>241</v>
      </c>
      <c r="J4944">
        <v>30</v>
      </c>
    </row>
    <row r="4945" spans="1:10" x14ac:dyDescent="0.25">
      <c r="A4945" t="s">
        <v>25</v>
      </c>
      <c r="B4945" t="s">
        <v>11</v>
      </c>
      <c r="C4945" t="s">
        <v>12</v>
      </c>
      <c r="D4945" t="s">
        <v>17</v>
      </c>
      <c r="E4945">
        <v>0.94246575342465699</v>
      </c>
      <c r="F4945">
        <v>0.96896344275461099</v>
      </c>
      <c r="G4945">
        <v>75.487154245376502</v>
      </c>
      <c r="H4945">
        <v>183</v>
      </c>
      <c r="I4945">
        <v>221</v>
      </c>
      <c r="J4945">
        <v>30</v>
      </c>
    </row>
    <row r="4946" spans="1:10" x14ac:dyDescent="0.25">
      <c r="A4946" t="s">
        <v>25</v>
      </c>
      <c r="B4946" t="s">
        <v>11</v>
      </c>
      <c r="C4946" t="s">
        <v>12</v>
      </c>
      <c r="D4946" t="s">
        <v>17</v>
      </c>
      <c r="E4946">
        <v>0.92968036529680298</v>
      </c>
      <c r="F4946">
        <v>0.95639300272146099</v>
      </c>
      <c r="G4946">
        <v>75.875790596008301</v>
      </c>
      <c r="H4946">
        <v>223</v>
      </c>
      <c r="I4946">
        <v>255</v>
      </c>
      <c r="J4946">
        <v>30</v>
      </c>
    </row>
    <row r="4947" spans="1:10" x14ac:dyDescent="0.25">
      <c r="A4947" t="s">
        <v>25</v>
      </c>
      <c r="B4947" t="s">
        <v>11</v>
      </c>
      <c r="C4947" t="s">
        <v>12</v>
      </c>
      <c r="D4947" t="s">
        <v>17</v>
      </c>
      <c r="E4947">
        <v>0.95068493150684896</v>
      </c>
      <c r="F4947">
        <v>0.96451903500063996</v>
      </c>
      <c r="G4947">
        <v>75.974097967147799</v>
      </c>
      <c r="H4947">
        <v>278</v>
      </c>
      <c r="I4947">
        <v>292</v>
      </c>
      <c r="J4947">
        <v>30</v>
      </c>
    </row>
    <row r="4948" spans="1:10" x14ac:dyDescent="0.25">
      <c r="A4948" t="s">
        <v>25</v>
      </c>
      <c r="B4948" t="s">
        <v>11</v>
      </c>
      <c r="C4948" t="s">
        <v>12</v>
      </c>
      <c r="D4948" t="s">
        <v>17</v>
      </c>
      <c r="E4948">
        <v>0.92694063926940595</v>
      </c>
      <c r="F4948">
        <v>0.96724596139561603</v>
      </c>
      <c r="G4948">
        <v>76.555159330367999</v>
      </c>
      <c r="H4948">
        <v>194</v>
      </c>
      <c r="I4948">
        <v>233</v>
      </c>
      <c r="J4948">
        <v>30</v>
      </c>
    </row>
    <row r="4949" spans="1:10" x14ac:dyDescent="0.25">
      <c r="A4949" t="s">
        <v>25</v>
      </c>
      <c r="B4949" t="s">
        <v>11</v>
      </c>
      <c r="C4949" t="s">
        <v>12</v>
      </c>
      <c r="D4949" t="s">
        <v>17</v>
      </c>
      <c r="E4949">
        <v>0.91598173515981696</v>
      </c>
      <c r="F4949">
        <v>0.95603252550374296</v>
      </c>
      <c r="G4949">
        <v>77.301355838775606</v>
      </c>
      <c r="H4949">
        <v>198</v>
      </c>
      <c r="I4949">
        <v>236</v>
      </c>
      <c r="J4949">
        <v>30</v>
      </c>
    </row>
    <row r="4950" spans="1:10" x14ac:dyDescent="0.25">
      <c r="A4950" t="s">
        <v>25</v>
      </c>
      <c r="B4950" t="s">
        <v>11</v>
      </c>
      <c r="C4950" t="s">
        <v>12</v>
      </c>
      <c r="D4950" t="s">
        <v>17</v>
      </c>
      <c r="E4950">
        <v>0.94246575342465699</v>
      </c>
      <c r="F4950">
        <v>0.96572851875433796</v>
      </c>
      <c r="G4950">
        <v>77.673074483871403</v>
      </c>
      <c r="H4950">
        <v>233</v>
      </c>
      <c r="I4950">
        <v>285</v>
      </c>
      <c r="J4950">
        <v>30</v>
      </c>
    </row>
    <row r="4951" spans="1:10" x14ac:dyDescent="0.25">
      <c r="A4951" t="s">
        <v>25</v>
      </c>
      <c r="B4951" t="s">
        <v>11</v>
      </c>
      <c r="C4951" t="s">
        <v>12</v>
      </c>
      <c r="D4951" t="s">
        <v>17</v>
      </c>
      <c r="E4951">
        <v>0.93972602739725997</v>
      </c>
      <c r="F4951">
        <v>0.96650625127716805</v>
      </c>
      <c r="G4951">
        <v>79.113238811492906</v>
      </c>
      <c r="H4951">
        <v>261</v>
      </c>
      <c r="I4951">
        <v>320</v>
      </c>
      <c r="J4951">
        <v>30</v>
      </c>
    </row>
    <row r="4952" spans="1:10" x14ac:dyDescent="0.25">
      <c r="A4952" t="s">
        <v>25</v>
      </c>
      <c r="B4952" t="s">
        <v>11</v>
      </c>
      <c r="C4952" t="s">
        <v>18</v>
      </c>
      <c r="D4952" t="s">
        <v>13</v>
      </c>
      <c r="E4952">
        <v>0.93607305936073004</v>
      </c>
      <c r="F4952">
        <v>0.93898223185415497</v>
      </c>
      <c r="G4952">
        <v>16.965893745422299</v>
      </c>
      <c r="H4952">
        <v>9</v>
      </c>
      <c r="I4952">
        <v>10</v>
      </c>
      <c r="J4952">
        <v>30</v>
      </c>
    </row>
    <row r="4953" spans="1:10" x14ac:dyDescent="0.25">
      <c r="A4953" t="s">
        <v>25</v>
      </c>
      <c r="B4953" t="s">
        <v>11</v>
      </c>
      <c r="C4953" t="s">
        <v>18</v>
      </c>
      <c r="D4953" t="s">
        <v>13</v>
      </c>
      <c r="E4953">
        <v>0.93607305936073004</v>
      </c>
      <c r="F4953">
        <v>0.94118191760301195</v>
      </c>
      <c r="G4953">
        <v>18.949432849884001</v>
      </c>
      <c r="H4953">
        <v>11</v>
      </c>
      <c r="I4953">
        <v>13</v>
      </c>
      <c r="J4953">
        <v>30</v>
      </c>
    </row>
    <row r="4954" spans="1:10" x14ac:dyDescent="0.25">
      <c r="A4954" t="s">
        <v>25</v>
      </c>
      <c r="B4954" t="s">
        <v>11</v>
      </c>
      <c r="C4954" t="s">
        <v>18</v>
      </c>
      <c r="D4954" t="s">
        <v>13</v>
      </c>
      <c r="E4954">
        <v>0.93881278538812696</v>
      </c>
      <c r="F4954">
        <v>0.943772362070319</v>
      </c>
      <c r="G4954">
        <v>19.917473077774002</v>
      </c>
      <c r="H4954">
        <v>7</v>
      </c>
      <c r="I4954">
        <v>9</v>
      </c>
      <c r="J4954">
        <v>30</v>
      </c>
    </row>
    <row r="4955" spans="1:10" x14ac:dyDescent="0.25">
      <c r="A4955" t="s">
        <v>25</v>
      </c>
      <c r="B4955" t="s">
        <v>11</v>
      </c>
      <c r="C4955" t="s">
        <v>18</v>
      </c>
      <c r="D4955" t="s">
        <v>13</v>
      </c>
      <c r="E4955">
        <v>0.96255707762556997</v>
      </c>
      <c r="F4955">
        <v>0.96728196678063905</v>
      </c>
      <c r="G4955">
        <v>19.884678125381399</v>
      </c>
      <c r="H4955">
        <v>19</v>
      </c>
      <c r="I4955">
        <v>29</v>
      </c>
      <c r="J4955">
        <v>30</v>
      </c>
    </row>
    <row r="4956" spans="1:10" x14ac:dyDescent="0.25">
      <c r="A4956" t="s">
        <v>25</v>
      </c>
      <c r="B4956" t="s">
        <v>11</v>
      </c>
      <c r="C4956" t="s">
        <v>18</v>
      </c>
      <c r="D4956" t="s">
        <v>13</v>
      </c>
      <c r="E4956">
        <v>0.96347031963470298</v>
      </c>
      <c r="F4956">
        <v>0.96655973975004505</v>
      </c>
      <c r="G4956">
        <v>22.9121975898742</v>
      </c>
      <c r="H4956">
        <v>22</v>
      </c>
      <c r="I4956">
        <v>31</v>
      </c>
      <c r="J4956">
        <v>30</v>
      </c>
    </row>
    <row r="4957" spans="1:10" x14ac:dyDescent="0.25">
      <c r="A4957" t="s">
        <v>25</v>
      </c>
      <c r="B4957" t="s">
        <v>11</v>
      </c>
      <c r="C4957" t="s">
        <v>18</v>
      </c>
      <c r="D4957" t="s">
        <v>13</v>
      </c>
      <c r="E4957">
        <v>0.95525114155251101</v>
      </c>
      <c r="F4957">
        <v>0.95944909161707703</v>
      </c>
      <c r="G4957">
        <v>23.022182226180998</v>
      </c>
      <c r="H4957">
        <v>21</v>
      </c>
      <c r="I4957">
        <v>27</v>
      </c>
      <c r="J4957">
        <v>30</v>
      </c>
    </row>
    <row r="4958" spans="1:10" x14ac:dyDescent="0.25">
      <c r="A4958" t="s">
        <v>25</v>
      </c>
      <c r="B4958" t="s">
        <v>11</v>
      </c>
      <c r="C4958" t="s">
        <v>18</v>
      </c>
      <c r="D4958" t="s">
        <v>13</v>
      </c>
      <c r="E4958">
        <v>0.954337899543379</v>
      </c>
      <c r="F4958">
        <v>0.95774618273963397</v>
      </c>
      <c r="G4958">
        <v>23.311378955841001</v>
      </c>
      <c r="H4958">
        <v>22</v>
      </c>
      <c r="I4958">
        <v>38</v>
      </c>
      <c r="J4958">
        <v>30</v>
      </c>
    </row>
    <row r="4959" spans="1:10" x14ac:dyDescent="0.25">
      <c r="A4959" t="s">
        <v>25</v>
      </c>
      <c r="B4959" t="s">
        <v>11</v>
      </c>
      <c r="C4959" t="s">
        <v>18</v>
      </c>
      <c r="D4959" t="s">
        <v>13</v>
      </c>
      <c r="E4959">
        <v>0.95525114155251101</v>
      </c>
      <c r="F4959">
        <v>0.95889006630858398</v>
      </c>
      <c r="G4959">
        <v>23.710206985473601</v>
      </c>
      <c r="H4959">
        <v>18</v>
      </c>
      <c r="I4959">
        <v>24</v>
      </c>
      <c r="J4959">
        <v>30</v>
      </c>
    </row>
    <row r="4960" spans="1:10" x14ac:dyDescent="0.25">
      <c r="A4960" t="s">
        <v>25</v>
      </c>
      <c r="B4960" t="s">
        <v>11</v>
      </c>
      <c r="C4960" t="s">
        <v>18</v>
      </c>
      <c r="D4960" t="s">
        <v>13</v>
      </c>
      <c r="E4960">
        <v>0.954337899543379</v>
      </c>
      <c r="F4960">
        <v>0.96052644374830998</v>
      </c>
      <c r="G4960">
        <v>24.116595029830901</v>
      </c>
      <c r="H4960">
        <v>24</v>
      </c>
      <c r="I4960">
        <v>40</v>
      </c>
      <c r="J4960">
        <v>30</v>
      </c>
    </row>
    <row r="4961" spans="1:10" x14ac:dyDescent="0.25">
      <c r="A4961" t="s">
        <v>25</v>
      </c>
      <c r="B4961" t="s">
        <v>11</v>
      </c>
      <c r="C4961" t="s">
        <v>18</v>
      </c>
      <c r="D4961" t="s">
        <v>13</v>
      </c>
      <c r="E4961">
        <v>0.95799086757990803</v>
      </c>
      <c r="F4961">
        <v>0.96312797612803602</v>
      </c>
      <c r="G4961">
        <v>24.698479175567599</v>
      </c>
      <c r="H4961">
        <v>20</v>
      </c>
      <c r="I4961">
        <v>28</v>
      </c>
      <c r="J4961">
        <v>30</v>
      </c>
    </row>
    <row r="4962" spans="1:10" x14ac:dyDescent="0.25">
      <c r="A4962" t="s">
        <v>25</v>
      </c>
      <c r="B4962" t="s">
        <v>11</v>
      </c>
      <c r="C4962" t="s">
        <v>18</v>
      </c>
      <c r="D4962" t="s">
        <v>13</v>
      </c>
      <c r="E4962">
        <v>0.94794520547945205</v>
      </c>
      <c r="F4962">
        <v>0.95154885361972597</v>
      </c>
      <c r="G4962">
        <v>25.3899693489074</v>
      </c>
      <c r="H4962">
        <v>14</v>
      </c>
      <c r="I4962">
        <v>19</v>
      </c>
      <c r="J4962">
        <v>30</v>
      </c>
    </row>
    <row r="4963" spans="1:10" x14ac:dyDescent="0.25">
      <c r="A4963" t="s">
        <v>25</v>
      </c>
      <c r="B4963" t="s">
        <v>11</v>
      </c>
      <c r="C4963" t="s">
        <v>18</v>
      </c>
      <c r="D4963" t="s">
        <v>13</v>
      </c>
      <c r="E4963">
        <v>0.94337899543379</v>
      </c>
      <c r="F4963">
        <v>0.94748880155853799</v>
      </c>
      <c r="G4963">
        <v>25.475263833999598</v>
      </c>
      <c r="H4963">
        <v>20</v>
      </c>
      <c r="I4963">
        <v>27</v>
      </c>
      <c r="J4963">
        <v>30</v>
      </c>
    </row>
    <row r="4964" spans="1:10" x14ac:dyDescent="0.25">
      <c r="A4964" t="s">
        <v>25</v>
      </c>
      <c r="B4964" t="s">
        <v>11</v>
      </c>
      <c r="C4964" t="s">
        <v>18</v>
      </c>
      <c r="D4964" t="s">
        <v>13</v>
      </c>
      <c r="E4964">
        <v>0.96164383561643796</v>
      </c>
      <c r="F4964">
        <v>0.96531284680264795</v>
      </c>
      <c r="G4964">
        <v>26.393475532531699</v>
      </c>
      <c r="H4964">
        <v>28</v>
      </c>
      <c r="I4964">
        <v>39</v>
      </c>
      <c r="J4964">
        <v>30</v>
      </c>
    </row>
    <row r="4965" spans="1:10" x14ac:dyDescent="0.25">
      <c r="A4965" t="s">
        <v>25</v>
      </c>
      <c r="B4965" t="s">
        <v>11</v>
      </c>
      <c r="C4965" t="s">
        <v>18</v>
      </c>
      <c r="D4965" t="s">
        <v>13</v>
      </c>
      <c r="E4965">
        <v>0.95981735159817305</v>
      </c>
      <c r="F4965">
        <v>0.96279337318584501</v>
      </c>
      <c r="G4965">
        <v>26.8121335506439</v>
      </c>
      <c r="H4965">
        <v>26</v>
      </c>
      <c r="I4965">
        <v>34</v>
      </c>
      <c r="J4965">
        <v>30</v>
      </c>
    </row>
    <row r="4966" spans="1:10" x14ac:dyDescent="0.25">
      <c r="A4966" t="s">
        <v>25</v>
      </c>
      <c r="B4966" t="s">
        <v>11</v>
      </c>
      <c r="C4966" t="s">
        <v>18</v>
      </c>
      <c r="D4966" t="s">
        <v>13</v>
      </c>
      <c r="E4966">
        <v>0.95525114155251101</v>
      </c>
      <c r="F4966">
        <v>0.95922764272611805</v>
      </c>
      <c r="G4966">
        <v>26.889838933944699</v>
      </c>
      <c r="H4966">
        <v>21</v>
      </c>
      <c r="I4966">
        <v>27</v>
      </c>
      <c r="J4966">
        <v>30</v>
      </c>
    </row>
    <row r="4967" spans="1:10" x14ac:dyDescent="0.25">
      <c r="A4967" t="s">
        <v>25</v>
      </c>
      <c r="B4967" t="s">
        <v>11</v>
      </c>
      <c r="C4967" t="s">
        <v>18</v>
      </c>
      <c r="D4967" t="s">
        <v>13</v>
      </c>
      <c r="E4967">
        <v>0.95981735159817305</v>
      </c>
      <c r="F4967">
        <v>0.96412801759214595</v>
      </c>
      <c r="G4967">
        <v>27.503238916396999</v>
      </c>
      <c r="H4967">
        <v>25</v>
      </c>
      <c r="I4967">
        <v>31</v>
      </c>
      <c r="J4967">
        <v>30</v>
      </c>
    </row>
    <row r="4968" spans="1:10" x14ac:dyDescent="0.25">
      <c r="A4968" t="s">
        <v>25</v>
      </c>
      <c r="B4968" t="s">
        <v>11</v>
      </c>
      <c r="C4968" t="s">
        <v>18</v>
      </c>
      <c r="D4968" t="s">
        <v>13</v>
      </c>
      <c r="E4968">
        <v>0.95525114155251101</v>
      </c>
      <c r="F4968">
        <v>0.95742624169415502</v>
      </c>
      <c r="G4968">
        <v>27.986564397811801</v>
      </c>
      <c r="H4968">
        <v>18</v>
      </c>
      <c r="I4968">
        <v>26</v>
      </c>
      <c r="J4968">
        <v>30</v>
      </c>
    </row>
    <row r="4969" spans="1:10" x14ac:dyDescent="0.25">
      <c r="A4969" t="s">
        <v>25</v>
      </c>
      <c r="B4969" t="s">
        <v>11</v>
      </c>
      <c r="C4969" t="s">
        <v>18</v>
      </c>
      <c r="D4969" t="s">
        <v>13</v>
      </c>
      <c r="E4969">
        <v>0.95525114155251101</v>
      </c>
      <c r="F4969">
        <v>0.95884389216621002</v>
      </c>
      <c r="G4969">
        <v>28.089855909347499</v>
      </c>
      <c r="H4969">
        <v>25</v>
      </c>
      <c r="I4969">
        <v>35</v>
      </c>
      <c r="J4969">
        <v>30</v>
      </c>
    </row>
    <row r="4970" spans="1:10" x14ac:dyDescent="0.25">
      <c r="A4970" t="s">
        <v>25</v>
      </c>
      <c r="B4970" t="s">
        <v>11</v>
      </c>
      <c r="C4970" t="s">
        <v>18</v>
      </c>
      <c r="D4970" t="s">
        <v>13</v>
      </c>
      <c r="E4970">
        <v>0.95981735159817305</v>
      </c>
      <c r="F4970">
        <v>0.964987808173697</v>
      </c>
      <c r="G4970">
        <v>28.374419927597</v>
      </c>
      <c r="H4970">
        <v>20</v>
      </c>
      <c r="I4970">
        <v>28</v>
      </c>
      <c r="J4970">
        <v>30</v>
      </c>
    </row>
    <row r="4971" spans="1:10" x14ac:dyDescent="0.25">
      <c r="A4971" t="s">
        <v>25</v>
      </c>
      <c r="B4971" t="s">
        <v>11</v>
      </c>
      <c r="C4971" t="s">
        <v>18</v>
      </c>
      <c r="D4971" t="s">
        <v>13</v>
      </c>
      <c r="E4971">
        <v>0.94611872146118703</v>
      </c>
      <c r="F4971">
        <v>0.95302389347269501</v>
      </c>
      <c r="G4971">
        <v>28.6215484142303</v>
      </c>
      <c r="H4971">
        <v>18</v>
      </c>
      <c r="I4971">
        <v>22</v>
      </c>
      <c r="J4971">
        <v>30</v>
      </c>
    </row>
    <row r="4972" spans="1:10" x14ac:dyDescent="0.25">
      <c r="A4972" t="s">
        <v>25</v>
      </c>
      <c r="B4972" t="s">
        <v>11</v>
      </c>
      <c r="C4972" t="s">
        <v>18</v>
      </c>
      <c r="D4972" t="s">
        <v>13</v>
      </c>
      <c r="E4972">
        <v>0.96712328767123201</v>
      </c>
      <c r="F4972">
        <v>0.96832627105451996</v>
      </c>
      <c r="G4972">
        <v>28.836978673934901</v>
      </c>
      <c r="H4972">
        <v>25</v>
      </c>
      <c r="I4972">
        <v>31</v>
      </c>
      <c r="J4972">
        <v>30</v>
      </c>
    </row>
    <row r="4973" spans="1:10" x14ac:dyDescent="0.25">
      <c r="A4973" t="s">
        <v>25</v>
      </c>
      <c r="B4973" t="s">
        <v>11</v>
      </c>
      <c r="C4973" t="s">
        <v>18</v>
      </c>
      <c r="D4973" t="s">
        <v>13</v>
      </c>
      <c r="E4973">
        <v>0.96073059360730595</v>
      </c>
      <c r="F4973">
        <v>0.96407433980840096</v>
      </c>
      <c r="G4973">
        <v>28.920992374420099</v>
      </c>
      <c r="H4973">
        <v>18</v>
      </c>
      <c r="I4973">
        <v>22</v>
      </c>
      <c r="J4973">
        <v>30</v>
      </c>
    </row>
    <row r="4974" spans="1:10" x14ac:dyDescent="0.25">
      <c r="A4974" t="s">
        <v>25</v>
      </c>
      <c r="B4974" t="s">
        <v>11</v>
      </c>
      <c r="C4974" t="s">
        <v>18</v>
      </c>
      <c r="D4974" t="s">
        <v>13</v>
      </c>
      <c r="E4974">
        <v>0.95981735159817305</v>
      </c>
      <c r="F4974">
        <v>0.96310970295305798</v>
      </c>
      <c r="G4974">
        <v>29.303861141204798</v>
      </c>
      <c r="H4974">
        <v>20</v>
      </c>
      <c r="I4974">
        <v>34</v>
      </c>
      <c r="J4974">
        <v>30</v>
      </c>
    </row>
    <row r="4975" spans="1:10" x14ac:dyDescent="0.25">
      <c r="A4975" t="s">
        <v>25</v>
      </c>
      <c r="B4975" t="s">
        <v>11</v>
      </c>
      <c r="C4975" t="s">
        <v>18</v>
      </c>
      <c r="D4975" t="s">
        <v>13</v>
      </c>
      <c r="E4975">
        <v>0.96347031963470298</v>
      </c>
      <c r="F4975">
        <v>0.96470525491232895</v>
      </c>
      <c r="G4975">
        <v>29.621036767959499</v>
      </c>
      <c r="H4975">
        <v>22</v>
      </c>
      <c r="I4975">
        <v>28</v>
      </c>
      <c r="J4975">
        <v>30</v>
      </c>
    </row>
    <row r="4976" spans="1:10" x14ac:dyDescent="0.25">
      <c r="A4976" t="s">
        <v>25</v>
      </c>
      <c r="B4976" t="s">
        <v>11</v>
      </c>
      <c r="C4976" t="s">
        <v>18</v>
      </c>
      <c r="D4976" t="s">
        <v>13</v>
      </c>
      <c r="E4976">
        <v>0.954337899543379</v>
      </c>
      <c r="F4976">
        <v>0.95972849552913098</v>
      </c>
      <c r="G4976">
        <v>30.3891150951385</v>
      </c>
      <c r="H4976">
        <v>15</v>
      </c>
      <c r="I4976">
        <v>19</v>
      </c>
      <c r="J4976">
        <v>30</v>
      </c>
    </row>
    <row r="4977" spans="1:10" x14ac:dyDescent="0.25">
      <c r="A4977" t="s">
        <v>25</v>
      </c>
      <c r="B4977" t="s">
        <v>11</v>
      </c>
      <c r="C4977" t="s">
        <v>18</v>
      </c>
      <c r="D4977" t="s">
        <v>13</v>
      </c>
      <c r="E4977">
        <v>0.95616438356164302</v>
      </c>
      <c r="F4977">
        <v>0.96148440504949695</v>
      </c>
      <c r="G4977">
        <v>30.833726644515899</v>
      </c>
      <c r="H4977">
        <v>17</v>
      </c>
      <c r="I4977">
        <v>32</v>
      </c>
      <c r="J4977">
        <v>30</v>
      </c>
    </row>
    <row r="4978" spans="1:10" x14ac:dyDescent="0.25">
      <c r="A4978" t="s">
        <v>25</v>
      </c>
      <c r="B4978" t="s">
        <v>11</v>
      </c>
      <c r="C4978" t="s">
        <v>18</v>
      </c>
      <c r="D4978" t="s">
        <v>13</v>
      </c>
      <c r="E4978">
        <v>0.95251141552511398</v>
      </c>
      <c r="F4978">
        <v>0.95611254074438301</v>
      </c>
      <c r="G4978">
        <v>31.0795655250549</v>
      </c>
      <c r="H4978">
        <v>22</v>
      </c>
      <c r="I4978">
        <v>31</v>
      </c>
      <c r="J4978">
        <v>30</v>
      </c>
    </row>
    <row r="4979" spans="1:10" x14ac:dyDescent="0.25">
      <c r="A4979" t="s">
        <v>25</v>
      </c>
      <c r="B4979" t="s">
        <v>11</v>
      </c>
      <c r="C4979" t="s">
        <v>18</v>
      </c>
      <c r="D4979" t="s">
        <v>13</v>
      </c>
      <c r="E4979">
        <v>0.96438356164383499</v>
      </c>
      <c r="F4979">
        <v>0.96789053678566195</v>
      </c>
      <c r="G4979">
        <v>31.148447275161701</v>
      </c>
      <c r="H4979">
        <v>23</v>
      </c>
      <c r="I4979">
        <v>33</v>
      </c>
      <c r="J4979">
        <v>30</v>
      </c>
    </row>
    <row r="4980" spans="1:10" x14ac:dyDescent="0.25">
      <c r="A4980" t="s">
        <v>25</v>
      </c>
      <c r="B4980" t="s">
        <v>11</v>
      </c>
      <c r="C4980" t="s">
        <v>18</v>
      </c>
      <c r="D4980" t="s">
        <v>13</v>
      </c>
      <c r="E4980">
        <v>0.95159817351598097</v>
      </c>
      <c r="F4980">
        <v>0.95369124609881295</v>
      </c>
      <c r="G4980">
        <v>31.354153871536202</v>
      </c>
      <c r="H4980">
        <v>14</v>
      </c>
      <c r="I4980">
        <v>18</v>
      </c>
      <c r="J4980">
        <v>30</v>
      </c>
    </row>
    <row r="4981" spans="1:10" x14ac:dyDescent="0.25">
      <c r="A4981" t="s">
        <v>25</v>
      </c>
      <c r="B4981" t="s">
        <v>11</v>
      </c>
      <c r="C4981" t="s">
        <v>18</v>
      </c>
      <c r="D4981" t="s">
        <v>13</v>
      </c>
      <c r="E4981">
        <v>0.96073059360730595</v>
      </c>
      <c r="F4981">
        <v>0.96387405060465703</v>
      </c>
      <c r="G4981">
        <v>31.697703123092602</v>
      </c>
      <c r="H4981">
        <v>27</v>
      </c>
      <c r="I4981">
        <v>38</v>
      </c>
      <c r="J4981">
        <v>30</v>
      </c>
    </row>
    <row r="4982" spans="1:10" x14ac:dyDescent="0.25">
      <c r="A4982" t="s">
        <v>25</v>
      </c>
      <c r="B4982" t="s">
        <v>11</v>
      </c>
      <c r="C4982" t="s">
        <v>18</v>
      </c>
      <c r="D4982" t="s">
        <v>14</v>
      </c>
      <c r="E4982">
        <v>0.90958904109589001</v>
      </c>
      <c r="F4982">
        <v>0.91766197657862902</v>
      </c>
      <c r="G4982">
        <v>19.065981388091998</v>
      </c>
      <c r="H4982">
        <v>2</v>
      </c>
      <c r="I4982">
        <v>2</v>
      </c>
      <c r="J4982">
        <v>30</v>
      </c>
    </row>
    <row r="4983" spans="1:10" x14ac:dyDescent="0.25">
      <c r="A4983" t="s">
        <v>25</v>
      </c>
      <c r="B4983" t="s">
        <v>11</v>
      </c>
      <c r="C4983" t="s">
        <v>18</v>
      </c>
      <c r="D4983" t="s">
        <v>14</v>
      </c>
      <c r="E4983">
        <v>0.90958904109589001</v>
      </c>
      <c r="F4983">
        <v>0.91825081103671302</v>
      </c>
      <c r="G4983">
        <v>21.230898141860902</v>
      </c>
      <c r="H4983">
        <v>2</v>
      </c>
      <c r="I4983">
        <v>2</v>
      </c>
      <c r="J4983">
        <v>30</v>
      </c>
    </row>
    <row r="4984" spans="1:10" x14ac:dyDescent="0.25">
      <c r="A4984" t="s">
        <v>25</v>
      </c>
      <c r="B4984" t="s">
        <v>11</v>
      </c>
      <c r="C4984" t="s">
        <v>18</v>
      </c>
      <c r="D4984" t="s">
        <v>14</v>
      </c>
      <c r="E4984">
        <v>0.90776255707762499</v>
      </c>
      <c r="F4984">
        <v>0.91723069911205302</v>
      </c>
      <c r="G4984">
        <v>23.384919881820601</v>
      </c>
      <c r="H4984">
        <v>2</v>
      </c>
      <c r="I4984">
        <v>2</v>
      </c>
      <c r="J4984">
        <v>30</v>
      </c>
    </row>
    <row r="4985" spans="1:10" x14ac:dyDescent="0.25">
      <c r="A4985" t="s">
        <v>25</v>
      </c>
      <c r="B4985" t="s">
        <v>11</v>
      </c>
      <c r="C4985" t="s">
        <v>18</v>
      </c>
      <c r="D4985" t="s">
        <v>14</v>
      </c>
      <c r="E4985">
        <v>0.90958904109589001</v>
      </c>
      <c r="F4985">
        <v>0.91773792396712295</v>
      </c>
      <c r="G4985">
        <v>23.498855113983101</v>
      </c>
      <c r="H4985">
        <v>2</v>
      </c>
      <c r="I4985">
        <v>2</v>
      </c>
      <c r="J4985">
        <v>30</v>
      </c>
    </row>
    <row r="4986" spans="1:10" x14ac:dyDescent="0.25">
      <c r="A4986" t="s">
        <v>25</v>
      </c>
      <c r="B4986" t="s">
        <v>11</v>
      </c>
      <c r="C4986" t="s">
        <v>18</v>
      </c>
      <c r="D4986" t="s">
        <v>14</v>
      </c>
      <c r="E4986">
        <v>0.90136986301369804</v>
      </c>
      <c r="F4986">
        <v>0.911030702017262</v>
      </c>
      <c r="G4986">
        <v>23.628767490386899</v>
      </c>
      <c r="H4986">
        <v>2</v>
      </c>
      <c r="I4986">
        <v>2</v>
      </c>
      <c r="J4986">
        <v>30</v>
      </c>
    </row>
    <row r="4987" spans="1:10" x14ac:dyDescent="0.25">
      <c r="A4987" t="s">
        <v>25</v>
      </c>
      <c r="B4987" t="s">
        <v>11</v>
      </c>
      <c r="C4987" t="s">
        <v>18</v>
      </c>
      <c r="D4987" t="s">
        <v>14</v>
      </c>
      <c r="E4987">
        <v>0.90684931506849298</v>
      </c>
      <c r="F4987">
        <v>0.91552050794374296</v>
      </c>
      <c r="G4987">
        <v>24.742095232009799</v>
      </c>
      <c r="H4987">
        <v>2</v>
      </c>
      <c r="I4987">
        <v>2</v>
      </c>
      <c r="J4987">
        <v>30</v>
      </c>
    </row>
    <row r="4988" spans="1:10" x14ac:dyDescent="0.25">
      <c r="A4988" t="s">
        <v>25</v>
      </c>
      <c r="B4988" t="s">
        <v>11</v>
      </c>
      <c r="C4988" t="s">
        <v>18</v>
      </c>
      <c r="D4988" t="s">
        <v>14</v>
      </c>
      <c r="E4988">
        <v>0.90776255707762499</v>
      </c>
      <c r="F4988">
        <v>0.916177964285387</v>
      </c>
      <c r="G4988">
        <v>25.113270044326701</v>
      </c>
      <c r="H4988">
        <v>2</v>
      </c>
      <c r="I4988">
        <v>2</v>
      </c>
      <c r="J4988">
        <v>30</v>
      </c>
    </row>
    <row r="4989" spans="1:10" x14ac:dyDescent="0.25">
      <c r="A4989" t="s">
        <v>25</v>
      </c>
      <c r="B4989" t="s">
        <v>11</v>
      </c>
      <c r="C4989" t="s">
        <v>18</v>
      </c>
      <c r="D4989" t="s">
        <v>14</v>
      </c>
      <c r="E4989">
        <v>0.90684931506849298</v>
      </c>
      <c r="F4989">
        <v>0.91549257389040894</v>
      </c>
      <c r="G4989">
        <v>25.072903633117601</v>
      </c>
      <c r="H4989">
        <v>2</v>
      </c>
      <c r="I4989">
        <v>2</v>
      </c>
      <c r="J4989">
        <v>30</v>
      </c>
    </row>
    <row r="4990" spans="1:10" x14ac:dyDescent="0.25">
      <c r="A4990" t="s">
        <v>25</v>
      </c>
      <c r="B4990" t="s">
        <v>11</v>
      </c>
      <c r="C4990" t="s">
        <v>18</v>
      </c>
      <c r="D4990" t="s">
        <v>14</v>
      </c>
      <c r="E4990">
        <v>0.91232876712328703</v>
      </c>
      <c r="F4990">
        <v>0.91975391523351502</v>
      </c>
      <c r="G4990">
        <v>25.293961524963301</v>
      </c>
      <c r="H4990">
        <v>2</v>
      </c>
      <c r="I4990">
        <v>2</v>
      </c>
      <c r="J4990">
        <v>30</v>
      </c>
    </row>
    <row r="4991" spans="1:10" x14ac:dyDescent="0.25">
      <c r="A4991" t="s">
        <v>25</v>
      </c>
      <c r="B4991" t="s">
        <v>11</v>
      </c>
      <c r="C4991" t="s">
        <v>18</v>
      </c>
      <c r="D4991" t="s">
        <v>14</v>
      </c>
      <c r="E4991">
        <v>0.91324200913242004</v>
      </c>
      <c r="F4991">
        <v>0.92060193062575402</v>
      </c>
      <c r="G4991">
        <v>25.387331962585399</v>
      </c>
      <c r="H4991">
        <v>2</v>
      </c>
      <c r="I4991">
        <v>2</v>
      </c>
      <c r="J4991">
        <v>30</v>
      </c>
    </row>
    <row r="4992" spans="1:10" x14ac:dyDescent="0.25">
      <c r="A4992" t="s">
        <v>25</v>
      </c>
      <c r="B4992" t="s">
        <v>11</v>
      </c>
      <c r="C4992" t="s">
        <v>18</v>
      </c>
      <c r="D4992" t="s">
        <v>14</v>
      </c>
      <c r="E4992">
        <v>0.90593607305935997</v>
      </c>
      <c r="F4992">
        <v>0.914787000729952</v>
      </c>
      <c r="G4992">
        <v>25.4063673019409</v>
      </c>
      <c r="H4992">
        <v>2</v>
      </c>
      <c r="I4992">
        <v>2</v>
      </c>
      <c r="J4992">
        <v>30</v>
      </c>
    </row>
    <row r="4993" spans="1:10" x14ac:dyDescent="0.25">
      <c r="A4993" t="s">
        <v>25</v>
      </c>
      <c r="B4993" t="s">
        <v>11</v>
      </c>
      <c r="C4993" t="s">
        <v>18</v>
      </c>
      <c r="D4993" t="s">
        <v>14</v>
      </c>
      <c r="E4993">
        <v>0.91963470319634699</v>
      </c>
      <c r="F4993">
        <v>0.92568992910538705</v>
      </c>
      <c r="G4993">
        <v>25.751016139984099</v>
      </c>
      <c r="H4993">
        <v>2</v>
      </c>
      <c r="I4993">
        <v>2</v>
      </c>
      <c r="J4993">
        <v>30</v>
      </c>
    </row>
    <row r="4994" spans="1:10" x14ac:dyDescent="0.25">
      <c r="A4994" t="s">
        <v>25</v>
      </c>
      <c r="B4994" t="s">
        <v>11</v>
      </c>
      <c r="C4994" t="s">
        <v>18</v>
      </c>
      <c r="D4994" t="s">
        <v>14</v>
      </c>
      <c r="E4994">
        <v>0.90684931506849298</v>
      </c>
      <c r="F4994">
        <v>0.91604594590629995</v>
      </c>
      <c r="G4994">
        <v>25.907463312149002</v>
      </c>
      <c r="H4994">
        <v>2</v>
      </c>
      <c r="I4994">
        <v>2</v>
      </c>
      <c r="J4994">
        <v>30</v>
      </c>
    </row>
    <row r="4995" spans="1:10" x14ac:dyDescent="0.25">
      <c r="A4995" t="s">
        <v>25</v>
      </c>
      <c r="B4995" t="s">
        <v>11</v>
      </c>
      <c r="C4995" t="s">
        <v>18</v>
      </c>
      <c r="D4995" t="s">
        <v>14</v>
      </c>
      <c r="E4995">
        <v>0.91872146118721398</v>
      </c>
      <c r="F4995">
        <v>0.92505263467670995</v>
      </c>
      <c r="G4995">
        <v>25.917448997497502</v>
      </c>
      <c r="H4995">
        <v>2</v>
      </c>
      <c r="I4995">
        <v>2</v>
      </c>
      <c r="J4995">
        <v>30</v>
      </c>
    </row>
    <row r="4996" spans="1:10" x14ac:dyDescent="0.25">
      <c r="A4996" t="s">
        <v>25</v>
      </c>
      <c r="B4996" t="s">
        <v>11</v>
      </c>
      <c r="C4996" t="s">
        <v>18</v>
      </c>
      <c r="D4996" t="s">
        <v>14</v>
      </c>
      <c r="E4996">
        <v>0.90319634703196305</v>
      </c>
      <c r="F4996">
        <v>0.91244927700337797</v>
      </c>
      <c r="G4996">
        <v>26.125159740447899</v>
      </c>
      <c r="H4996">
        <v>2</v>
      </c>
      <c r="I4996">
        <v>2</v>
      </c>
      <c r="J4996">
        <v>30</v>
      </c>
    </row>
    <row r="4997" spans="1:10" x14ac:dyDescent="0.25">
      <c r="A4997" t="s">
        <v>25</v>
      </c>
      <c r="B4997" t="s">
        <v>11</v>
      </c>
      <c r="C4997" t="s">
        <v>18</v>
      </c>
      <c r="D4997" t="s">
        <v>14</v>
      </c>
      <c r="E4997">
        <v>0.90776255707762499</v>
      </c>
      <c r="F4997">
        <v>0.91624041738428996</v>
      </c>
      <c r="G4997">
        <v>26.623409509658799</v>
      </c>
      <c r="H4997">
        <v>2</v>
      </c>
      <c r="I4997">
        <v>2</v>
      </c>
      <c r="J4997">
        <v>30</v>
      </c>
    </row>
    <row r="4998" spans="1:10" x14ac:dyDescent="0.25">
      <c r="A4998" t="s">
        <v>25</v>
      </c>
      <c r="B4998" t="s">
        <v>11</v>
      </c>
      <c r="C4998" t="s">
        <v>18</v>
      </c>
      <c r="D4998" t="s">
        <v>14</v>
      </c>
      <c r="E4998">
        <v>0.90684931506849298</v>
      </c>
      <c r="F4998">
        <v>0.915507724871506</v>
      </c>
      <c r="G4998">
        <v>26.79439163208</v>
      </c>
      <c r="H4998">
        <v>2</v>
      </c>
      <c r="I4998">
        <v>2</v>
      </c>
      <c r="J4998">
        <v>30</v>
      </c>
    </row>
    <row r="4999" spans="1:10" x14ac:dyDescent="0.25">
      <c r="A4999" t="s">
        <v>25</v>
      </c>
      <c r="B4999" t="s">
        <v>11</v>
      </c>
      <c r="C4999" t="s">
        <v>18</v>
      </c>
      <c r="D4999" t="s">
        <v>14</v>
      </c>
      <c r="E4999">
        <v>0.91415525114155205</v>
      </c>
      <c r="F4999">
        <v>0.92134918463205395</v>
      </c>
      <c r="G4999">
        <v>26.855539083480799</v>
      </c>
      <c r="H4999">
        <v>2</v>
      </c>
      <c r="I4999">
        <v>2</v>
      </c>
      <c r="J4999">
        <v>30</v>
      </c>
    </row>
    <row r="5000" spans="1:10" x14ac:dyDescent="0.25">
      <c r="A5000" t="s">
        <v>25</v>
      </c>
      <c r="B5000" t="s">
        <v>11</v>
      </c>
      <c r="C5000" t="s">
        <v>18</v>
      </c>
      <c r="D5000" t="s">
        <v>14</v>
      </c>
      <c r="E5000">
        <v>0.89954337899543302</v>
      </c>
      <c r="F5000">
        <v>0.90955523440548003</v>
      </c>
      <c r="G5000">
        <v>26.9734947681427</v>
      </c>
      <c r="H5000">
        <v>2</v>
      </c>
      <c r="I5000">
        <v>2</v>
      </c>
      <c r="J5000">
        <v>30</v>
      </c>
    </row>
    <row r="5001" spans="1:10" x14ac:dyDescent="0.25">
      <c r="A5001" t="s">
        <v>25</v>
      </c>
      <c r="B5001" t="s">
        <v>11</v>
      </c>
      <c r="C5001" t="s">
        <v>18</v>
      </c>
      <c r="D5001" t="s">
        <v>14</v>
      </c>
      <c r="E5001">
        <v>0.90502283105022796</v>
      </c>
      <c r="F5001">
        <v>0.91402591388127796</v>
      </c>
      <c r="G5001">
        <v>27.1686255931854</v>
      </c>
      <c r="H5001">
        <v>2</v>
      </c>
      <c r="I5001">
        <v>2</v>
      </c>
      <c r="J5001">
        <v>30</v>
      </c>
    </row>
    <row r="5002" spans="1:10" x14ac:dyDescent="0.25">
      <c r="A5002" t="s">
        <v>25</v>
      </c>
      <c r="B5002" t="s">
        <v>11</v>
      </c>
      <c r="C5002" t="s">
        <v>18</v>
      </c>
      <c r="D5002" t="s">
        <v>14</v>
      </c>
      <c r="E5002">
        <v>0.89406392694063896</v>
      </c>
      <c r="F5002">
        <v>0.90500992503397104</v>
      </c>
      <c r="G5002">
        <v>27.280888795852601</v>
      </c>
      <c r="H5002">
        <v>2</v>
      </c>
      <c r="I5002">
        <v>2</v>
      </c>
      <c r="J5002">
        <v>30</v>
      </c>
    </row>
    <row r="5003" spans="1:10" x14ac:dyDescent="0.25">
      <c r="A5003" t="s">
        <v>25</v>
      </c>
      <c r="B5003" t="s">
        <v>11</v>
      </c>
      <c r="C5003" t="s">
        <v>18</v>
      </c>
      <c r="D5003" t="s">
        <v>14</v>
      </c>
      <c r="E5003">
        <v>0.91598173515981696</v>
      </c>
      <c r="F5003">
        <v>0.922751454357991</v>
      </c>
      <c r="G5003">
        <v>27.334582805633499</v>
      </c>
      <c r="H5003">
        <v>2</v>
      </c>
      <c r="I5003">
        <v>2</v>
      </c>
      <c r="J5003">
        <v>30</v>
      </c>
    </row>
    <row r="5004" spans="1:10" x14ac:dyDescent="0.25">
      <c r="A5004" t="s">
        <v>25</v>
      </c>
      <c r="B5004" t="s">
        <v>11</v>
      </c>
      <c r="C5004" t="s">
        <v>18</v>
      </c>
      <c r="D5004" t="s">
        <v>14</v>
      </c>
      <c r="E5004">
        <v>0.89863013698630101</v>
      </c>
      <c r="F5004">
        <v>0.90879836876895104</v>
      </c>
      <c r="G5004">
        <v>27.3962788581848</v>
      </c>
      <c r="H5004">
        <v>2</v>
      </c>
      <c r="I5004">
        <v>2</v>
      </c>
      <c r="J5004">
        <v>30</v>
      </c>
    </row>
    <row r="5005" spans="1:10" x14ac:dyDescent="0.25">
      <c r="A5005" t="s">
        <v>25</v>
      </c>
      <c r="B5005" t="s">
        <v>11</v>
      </c>
      <c r="C5005" t="s">
        <v>18</v>
      </c>
      <c r="D5005" t="s">
        <v>14</v>
      </c>
      <c r="E5005">
        <v>0.90958904109589001</v>
      </c>
      <c r="F5005">
        <v>0.91825406028748702</v>
      </c>
      <c r="G5005">
        <v>27.466489315032899</v>
      </c>
      <c r="H5005">
        <v>2</v>
      </c>
      <c r="I5005">
        <v>2</v>
      </c>
      <c r="J5005">
        <v>30</v>
      </c>
    </row>
    <row r="5006" spans="1:10" x14ac:dyDescent="0.25">
      <c r="A5006" t="s">
        <v>25</v>
      </c>
      <c r="B5006" t="s">
        <v>11</v>
      </c>
      <c r="C5006" t="s">
        <v>18</v>
      </c>
      <c r="D5006" t="s">
        <v>14</v>
      </c>
      <c r="E5006">
        <v>0.91963470319634699</v>
      </c>
      <c r="F5006">
        <v>0.92575387174885704</v>
      </c>
      <c r="G5006">
        <v>27.439405679702698</v>
      </c>
      <c r="H5006">
        <v>2</v>
      </c>
      <c r="I5006">
        <v>2</v>
      </c>
      <c r="J5006">
        <v>30</v>
      </c>
    </row>
    <row r="5007" spans="1:10" x14ac:dyDescent="0.25">
      <c r="A5007" t="s">
        <v>25</v>
      </c>
      <c r="B5007" t="s">
        <v>11</v>
      </c>
      <c r="C5007" t="s">
        <v>18</v>
      </c>
      <c r="D5007" t="s">
        <v>14</v>
      </c>
      <c r="E5007">
        <v>0.91050228310502201</v>
      </c>
      <c r="F5007">
        <v>0.91847413260958899</v>
      </c>
      <c r="G5007">
        <v>27.4047608375549</v>
      </c>
      <c r="H5007">
        <v>2</v>
      </c>
      <c r="I5007">
        <v>2</v>
      </c>
      <c r="J5007">
        <v>30</v>
      </c>
    </row>
    <row r="5008" spans="1:10" x14ac:dyDescent="0.25">
      <c r="A5008" t="s">
        <v>25</v>
      </c>
      <c r="B5008" t="s">
        <v>11</v>
      </c>
      <c r="C5008" t="s">
        <v>18</v>
      </c>
      <c r="D5008" t="s">
        <v>14</v>
      </c>
      <c r="E5008">
        <v>0.91324200913242004</v>
      </c>
      <c r="F5008">
        <v>0.92063875210310298</v>
      </c>
      <c r="G5008">
        <v>27.445769548416099</v>
      </c>
      <c r="H5008">
        <v>2</v>
      </c>
      <c r="I5008">
        <v>2</v>
      </c>
      <c r="J5008">
        <v>30</v>
      </c>
    </row>
    <row r="5009" spans="1:10" x14ac:dyDescent="0.25">
      <c r="A5009" t="s">
        <v>25</v>
      </c>
      <c r="B5009" t="s">
        <v>11</v>
      </c>
      <c r="C5009" t="s">
        <v>18</v>
      </c>
      <c r="D5009" t="s">
        <v>14</v>
      </c>
      <c r="E5009">
        <v>0.90228310502283104</v>
      </c>
      <c r="F5009">
        <v>0.91165701258264598</v>
      </c>
      <c r="G5009">
        <v>27.519063472747799</v>
      </c>
      <c r="H5009">
        <v>2</v>
      </c>
      <c r="I5009">
        <v>2</v>
      </c>
      <c r="J5009">
        <v>30</v>
      </c>
    </row>
    <row r="5010" spans="1:10" x14ac:dyDescent="0.25">
      <c r="A5010" t="s">
        <v>25</v>
      </c>
      <c r="B5010" t="s">
        <v>11</v>
      </c>
      <c r="C5010" t="s">
        <v>18</v>
      </c>
      <c r="D5010" t="s">
        <v>14</v>
      </c>
      <c r="E5010">
        <v>0.90776255707762499</v>
      </c>
      <c r="F5010">
        <v>0.91616245732027302</v>
      </c>
      <c r="G5010">
        <v>27.568648815155001</v>
      </c>
      <c r="H5010">
        <v>2</v>
      </c>
      <c r="I5010">
        <v>2</v>
      </c>
      <c r="J5010">
        <v>30</v>
      </c>
    </row>
    <row r="5011" spans="1:10" x14ac:dyDescent="0.25">
      <c r="A5011" t="s">
        <v>25</v>
      </c>
      <c r="B5011" t="s">
        <v>11</v>
      </c>
      <c r="C5011" t="s">
        <v>18</v>
      </c>
      <c r="D5011" t="s">
        <v>14</v>
      </c>
      <c r="E5011">
        <v>0.92328767123287603</v>
      </c>
      <c r="F5011">
        <v>0.92861060652812899</v>
      </c>
      <c r="G5011">
        <v>27.614719867706299</v>
      </c>
      <c r="H5011">
        <v>2</v>
      </c>
      <c r="I5011">
        <v>2</v>
      </c>
      <c r="J5011">
        <v>30</v>
      </c>
    </row>
    <row r="5012" spans="1:10" x14ac:dyDescent="0.25">
      <c r="A5012" t="s">
        <v>25</v>
      </c>
      <c r="B5012" t="s">
        <v>11</v>
      </c>
      <c r="C5012" t="s">
        <v>18</v>
      </c>
      <c r="D5012" t="s">
        <v>15</v>
      </c>
      <c r="E5012">
        <v>0</v>
      </c>
      <c r="F5012">
        <v>0.75</v>
      </c>
      <c r="G5012">
        <v>0.45102691650390597</v>
      </c>
      <c r="H5012">
        <v>0</v>
      </c>
      <c r="I5012">
        <v>0</v>
      </c>
      <c r="J5012">
        <v>30</v>
      </c>
    </row>
    <row r="5013" spans="1:10" x14ac:dyDescent="0.25">
      <c r="A5013" t="s">
        <v>25</v>
      </c>
      <c r="B5013" t="s">
        <v>11</v>
      </c>
      <c r="C5013" t="s">
        <v>18</v>
      </c>
      <c r="D5013" t="s">
        <v>15</v>
      </c>
      <c r="E5013">
        <v>0.90410958904109495</v>
      </c>
      <c r="F5013">
        <v>0.91414736381397299</v>
      </c>
      <c r="G5013">
        <v>1.5725233554839999</v>
      </c>
      <c r="H5013">
        <v>3</v>
      </c>
      <c r="I5013">
        <v>13</v>
      </c>
      <c r="J5013">
        <v>30</v>
      </c>
    </row>
    <row r="5014" spans="1:10" x14ac:dyDescent="0.25">
      <c r="A5014" t="s">
        <v>25</v>
      </c>
      <c r="B5014" t="s">
        <v>11</v>
      </c>
      <c r="C5014" t="s">
        <v>18</v>
      </c>
      <c r="D5014" t="s">
        <v>15</v>
      </c>
      <c r="E5014">
        <v>0.88949771689497703</v>
      </c>
      <c r="F5014">
        <v>0.90240331505662297</v>
      </c>
      <c r="G5014">
        <v>1.90672755241394</v>
      </c>
      <c r="H5014">
        <v>6</v>
      </c>
      <c r="I5014">
        <v>7</v>
      </c>
      <c r="J5014">
        <v>30</v>
      </c>
    </row>
    <row r="5015" spans="1:10" x14ac:dyDescent="0.25">
      <c r="A5015" t="s">
        <v>25</v>
      </c>
      <c r="B5015" t="s">
        <v>11</v>
      </c>
      <c r="C5015" t="s">
        <v>18</v>
      </c>
      <c r="D5015" t="s">
        <v>15</v>
      </c>
      <c r="E5015">
        <v>0.90136986301369804</v>
      </c>
      <c r="F5015">
        <v>0.91164745300493299</v>
      </c>
      <c r="G5015">
        <v>2.0972664356231601</v>
      </c>
      <c r="H5015">
        <v>4</v>
      </c>
      <c r="I5015">
        <v>6</v>
      </c>
      <c r="J5015">
        <v>30</v>
      </c>
    </row>
    <row r="5016" spans="1:10" x14ac:dyDescent="0.25">
      <c r="A5016" t="s">
        <v>25</v>
      </c>
      <c r="B5016" t="s">
        <v>11</v>
      </c>
      <c r="C5016" t="s">
        <v>18</v>
      </c>
      <c r="D5016" t="s">
        <v>15</v>
      </c>
      <c r="E5016">
        <v>0.90776255707762499</v>
      </c>
      <c r="F5016">
        <v>0.91596185455205503</v>
      </c>
      <c r="G5016">
        <v>2.2812283039093</v>
      </c>
      <c r="H5016">
        <v>4</v>
      </c>
      <c r="I5016">
        <v>4</v>
      </c>
      <c r="J5016">
        <v>30</v>
      </c>
    </row>
    <row r="5017" spans="1:10" x14ac:dyDescent="0.25">
      <c r="A5017" t="s">
        <v>25</v>
      </c>
      <c r="B5017" t="s">
        <v>11</v>
      </c>
      <c r="C5017" t="s">
        <v>18</v>
      </c>
      <c r="D5017" t="s">
        <v>15</v>
      </c>
      <c r="E5017">
        <v>0.89497716894977097</v>
      </c>
      <c r="F5017">
        <v>0.90752245785132502</v>
      </c>
      <c r="G5017">
        <v>2.6520590782165501</v>
      </c>
      <c r="H5017">
        <v>1</v>
      </c>
      <c r="I5017">
        <v>1</v>
      </c>
      <c r="J5017">
        <v>30</v>
      </c>
    </row>
    <row r="5018" spans="1:10" x14ac:dyDescent="0.25">
      <c r="A5018" t="s">
        <v>25</v>
      </c>
      <c r="B5018" t="s">
        <v>11</v>
      </c>
      <c r="C5018" t="s">
        <v>18</v>
      </c>
      <c r="D5018" t="s">
        <v>15</v>
      </c>
      <c r="E5018">
        <v>0.89132420091324205</v>
      </c>
      <c r="F5018">
        <v>0.90402165587132399</v>
      </c>
      <c r="G5018">
        <v>2.9966869354247998</v>
      </c>
      <c r="H5018">
        <v>8</v>
      </c>
      <c r="I5018">
        <v>22</v>
      </c>
      <c r="J5018">
        <v>30</v>
      </c>
    </row>
    <row r="5019" spans="1:10" x14ac:dyDescent="0.25">
      <c r="A5019" t="s">
        <v>25</v>
      </c>
      <c r="B5019" t="s">
        <v>11</v>
      </c>
      <c r="C5019" t="s">
        <v>18</v>
      </c>
      <c r="D5019" t="s">
        <v>15</v>
      </c>
      <c r="E5019">
        <v>0.89041095890410904</v>
      </c>
      <c r="F5019">
        <v>0.90282337650684796</v>
      </c>
      <c r="G5019">
        <v>3.3819801807403498</v>
      </c>
      <c r="H5019">
        <v>8</v>
      </c>
      <c r="I5019">
        <v>14</v>
      </c>
      <c r="J5019">
        <v>30</v>
      </c>
    </row>
    <row r="5020" spans="1:10" x14ac:dyDescent="0.25">
      <c r="A5020" t="s">
        <v>25</v>
      </c>
      <c r="B5020" t="s">
        <v>11</v>
      </c>
      <c r="C5020" t="s">
        <v>18</v>
      </c>
      <c r="D5020" t="s">
        <v>15</v>
      </c>
      <c r="E5020">
        <v>0.90319634703196305</v>
      </c>
      <c r="F5020">
        <v>0.91336413856145904</v>
      </c>
      <c r="G5020">
        <v>3.82113480567932</v>
      </c>
      <c r="H5020">
        <v>11</v>
      </c>
      <c r="I5020">
        <v>23</v>
      </c>
      <c r="J5020">
        <v>30</v>
      </c>
    </row>
    <row r="5021" spans="1:10" x14ac:dyDescent="0.25">
      <c r="A5021" t="s">
        <v>25</v>
      </c>
      <c r="B5021" t="s">
        <v>11</v>
      </c>
      <c r="C5021" t="s">
        <v>18</v>
      </c>
      <c r="D5021" t="s">
        <v>15</v>
      </c>
      <c r="E5021">
        <v>0.88036529680365205</v>
      </c>
      <c r="F5021">
        <v>0.89554416905497802</v>
      </c>
      <c r="G5021">
        <v>3.9863204956054599</v>
      </c>
      <c r="H5021">
        <v>6</v>
      </c>
      <c r="I5021">
        <v>11</v>
      </c>
      <c r="J5021">
        <v>30</v>
      </c>
    </row>
    <row r="5022" spans="1:10" x14ac:dyDescent="0.25">
      <c r="A5022" t="s">
        <v>25</v>
      </c>
      <c r="B5022" t="s">
        <v>11</v>
      </c>
      <c r="C5022" t="s">
        <v>18</v>
      </c>
      <c r="D5022" t="s">
        <v>15</v>
      </c>
      <c r="E5022">
        <v>0.87123287671232796</v>
      </c>
      <c r="F5022">
        <v>0.88754845605369703</v>
      </c>
      <c r="G5022">
        <v>4.04152035713195</v>
      </c>
      <c r="H5022">
        <v>13</v>
      </c>
      <c r="I5022">
        <v>26</v>
      </c>
      <c r="J5022">
        <v>30</v>
      </c>
    </row>
    <row r="5023" spans="1:10" x14ac:dyDescent="0.25">
      <c r="A5023" t="s">
        <v>25</v>
      </c>
      <c r="B5023" t="s">
        <v>11</v>
      </c>
      <c r="C5023" t="s">
        <v>18</v>
      </c>
      <c r="D5023" t="s">
        <v>15</v>
      </c>
      <c r="E5023">
        <v>0.89223744292237395</v>
      </c>
      <c r="F5023">
        <v>0.90839247356219199</v>
      </c>
      <c r="G5023">
        <v>4.2502295970916704</v>
      </c>
      <c r="H5023">
        <v>10</v>
      </c>
      <c r="I5023">
        <v>29</v>
      </c>
      <c r="J5023">
        <v>30</v>
      </c>
    </row>
    <row r="5024" spans="1:10" x14ac:dyDescent="0.25">
      <c r="A5024" t="s">
        <v>25</v>
      </c>
      <c r="B5024" t="s">
        <v>11</v>
      </c>
      <c r="C5024" t="s">
        <v>18</v>
      </c>
      <c r="D5024" t="s">
        <v>15</v>
      </c>
      <c r="E5024">
        <v>0.89680365296803599</v>
      </c>
      <c r="F5024">
        <v>0.90846800411643702</v>
      </c>
      <c r="G5024">
        <v>4.8470807075500399</v>
      </c>
      <c r="H5024">
        <v>5</v>
      </c>
      <c r="I5024">
        <v>18</v>
      </c>
      <c r="J5024">
        <v>30</v>
      </c>
    </row>
    <row r="5025" spans="1:10" x14ac:dyDescent="0.25">
      <c r="A5025" t="s">
        <v>25</v>
      </c>
      <c r="B5025" t="s">
        <v>11</v>
      </c>
      <c r="C5025" t="s">
        <v>18</v>
      </c>
      <c r="D5025" t="s">
        <v>15</v>
      </c>
      <c r="E5025">
        <v>0.897716894977169</v>
      </c>
      <c r="F5025">
        <v>0.91168262693552604</v>
      </c>
      <c r="G5025">
        <v>4.8816819190979004</v>
      </c>
      <c r="H5025">
        <v>10</v>
      </c>
      <c r="I5025">
        <v>23</v>
      </c>
      <c r="J5025">
        <v>30</v>
      </c>
    </row>
    <row r="5026" spans="1:10" x14ac:dyDescent="0.25">
      <c r="A5026" t="s">
        <v>25</v>
      </c>
      <c r="B5026" t="s">
        <v>11</v>
      </c>
      <c r="C5026" t="s">
        <v>18</v>
      </c>
      <c r="D5026" t="s">
        <v>15</v>
      </c>
      <c r="E5026">
        <v>0.89041095890410904</v>
      </c>
      <c r="F5026">
        <v>0.90317499294063797</v>
      </c>
      <c r="G5026">
        <v>5.2001545429229701</v>
      </c>
      <c r="H5026">
        <v>10</v>
      </c>
      <c r="I5026">
        <v>18</v>
      </c>
      <c r="J5026">
        <v>30</v>
      </c>
    </row>
    <row r="5027" spans="1:10" x14ac:dyDescent="0.25">
      <c r="A5027" t="s">
        <v>25</v>
      </c>
      <c r="B5027" t="s">
        <v>11</v>
      </c>
      <c r="C5027" t="s">
        <v>18</v>
      </c>
      <c r="D5027" t="s">
        <v>15</v>
      </c>
      <c r="E5027">
        <v>0.89497716894977097</v>
      </c>
      <c r="F5027">
        <v>0.91059890716776304</v>
      </c>
      <c r="G5027">
        <v>5.5362353324890101</v>
      </c>
      <c r="H5027">
        <v>13</v>
      </c>
      <c r="I5027">
        <v>41</v>
      </c>
      <c r="J5027">
        <v>30</v>
      </c>
    </row>
    <row r="5028" spans="1:10" x14ac:dyDescent="0.25">
      <c r="A5028" t="s">
        <v>25</v>
      </c>
      <c r="B5028" t="s">
        <v>11</v>
      </c>
      <c r="C5028" t="s">
        <v>18</v>
      </c>
      <c r="D5028" t="s">
        <v>15</v>
      </c>
      <c r="E5028">
        <v>0.89132420091324205</v>
      </c>
      <c r="F5028">
        <v>0.90424599852420195</v>
      </c>
      <c r="G5028">
        <v>5.5923616886138898</v>
      </c>
      <c r="H5028">
        <v>9</v>
      </c>
      <c r="I5028">
        <v>17</v>
      </c>
      <c r="J5028">
        <v>30</v>
      </c>
    </row>
    <row r="5029" spans="1:10" x14ac:dyDescent="0.25">
      <c r="A5029" t="s">
        <v>25</v>
      </c>
      <c r="B5029" t="s">
        <v>11</v>
      </c>
      <c r="C5029" t="s">
        <v>18</v>
      </c>
      <c r="D5029" t="s">
        <v>15</v>
      </c>
      <c r="E5029">
        <v>0.89041095890410904</v>
      </c>
      <c r="F5029">
        <v>0.90642516634822101</v>
      </c>
      <c r="G5029">
        <v>5.72637844085693</v>
      </c>
      <c r="H5029">
        <v>11</v>
      </c>
      <c r="I5029">
        <v>24</v>
      </c>
      <c r="J5029">
        <v>30</v>
      </c>
    </row>
    <row r="5030" spans="1:10" x14ac:dyDescent="0.25">
      <c r="A5030" t="s">
        <v>25</v>
      </c>
      <c r="B5030" t="s">
        <v>11</v>
      </c>
      <c r="C5030" t="s">
        <v>18</v>
      </c>
      <c r="D5030" t="s">
        <v>15</v>
      </c>
      <c r="E5030">
        <v>0.88949771689497703</v>
      </c>
      <c r="F5030">
        <v>0.90381756368291999</v>
      </c>
      <c r="G5030">
        <v>6.1054153442382804</v>
      </c>
      <c r="H5030">
        <v>15</v>
      </c>
      <c r="I5030">
        <v>39</v>
      </c>
      <c r="J5030">
        <v>30</v>
      </c>
    </row>
    <row r="5031" spans="1:10" x14ac:dyDescent="0.25">
      <c r="A5031" t="s">
        <v>25</v>
      </c>
      <c r="B5031" t="s">
        <v>11</v>
      </c>
      <c r="C5031" t="s">
        <v>18</v>
      </c>
      <c r="D5031" t="s">
        <v>15</v>
      </c>
      <c r="E5031">
        <v>0.88767123287671201</v>
      </c>
      <c r="F5031">
        <v>0.90285312080593505</v>
      </c>
      <c r="G5031">
        <v>6.35550832748413</v>
      </c>
      <c r="H5031">
        <v>7</v>
      </c>
      <c r="I5031">
        <v>15</v>
      </c>
      <c r="J5031">
        <v>30</v>
      </c>
    </row>
    <row r="5032" spans="1:10" x14ac:dyDescent="0.25">
      <c r="A5032" t="s">
        <v>25</v>
      </c>
      <c r="B5032" t="s">
        <v>11</v>
      </c>
      <c r="C5032" t="s">
        <v>18</v>
      </c>
      <c r="D5032" t="s">
        <v>15</v>
      </c>
      <c r="E5032">
        <v>0.90319634703196305</v>
      </c>
      <c r="F5032">
        <v>0.91333191921662205</v>
      </c>
      <c r="G5032">
        <v>6.4061737060546804</v>
      </c>
      <c r="H5032">
        <v>19</v>
      </c>
      <c r="I5032">
        <v>35</v>
      </c>
      <c r="J5032">
        <v>30</v>
      </c>
    </row>
    <row r="5033" spans="1:10" x14ac:dyDescent="0.25">
      <c r="A5033" t="s">
        <v>25</v>
      </c>
      <c r="B5033" t="s">
        <v>11</v>
      </c>
      <c r="C5033" t="s">
        <v>18</v>
      </c>
      <c r="D5033" t="s">
        <v>15</v>
      </c>
      <c r="E5033">
        <v>0.89954337899543302</v>
      </c>
      <c r="F5033">
        <v>0.91131161871406496</v>
      </c>
      <c r="G5033">
        <v>6.9568831920623699</v>
      </c>
      <c r="H5033">
        <v>13</v>
      </c>
      <c r="I5033">
        <v>30</v>
      </c>
      <c r="J5033">
        <v>30</v>
      </c>
    </row>
    <row r="5034" spans="1:10" x14ac:dyDescent="0.25">
      <c r="A5034" t="s">
        <v>25</v>
      </c>
      <c r="B5034" t="s">
        <v>11</v>
      </c>
      <c r="C5034" t="s">
        <v>18</v>
      </c>
      <c r="D5034" t="s">
        <v>15</v>
      </c>
      <c r="E5034">
        <v>0.90593607305935997</v>
      </c>
      <c r="F5034">
        <v>0.91450092324748899</v>
      </c>
      <c r="G5034">
        <v>7.26729011535644</v>
      </c>
      <c r="H5034">
        <v>15</v>
      </c>
      <c r="I5034">
        <v>28</v>
      </c>
      <c r="J5034">
        <v>30</v>
      </c>
    </row>
    <row r="5035" spans="1:10" x14ac:dyDescent="0.25">
      <c r="A5035" t="s">
        <v>25</v>
      </c>
      <c r="B5035" t="s">
        <v>11</v>
      </c>
      <c r="C5035" t="s">
        <v>18</v>
      </c>
      <c r="D5035" t="s">
        <v>15</v>
      </c>
      <c r="E5035">
        <v>0.89497716894977097</v>
      </c>
      <c r="F5035">
        <v>0.91027549589479395</v>
      </c>
      <c r="G5035">
        <v>7.72580742835998</v>
      </c>
      <c r="H5035">
        <v>18</v>
      </c>
      <c r="I5035">
        <v>45</v>
      </c>
      <c r="J5035">
        <v>30</v>
      </c>
    </row>
    <row r="5036" spans="1:10" x14ac:dyDescent="0.25">
      <c r="A5036" t="s">
        <v>25</v>
      </c>
      <c r="B5036" t="s">
        <v>11</v>
      </c>
      <c r="C5036" t="s">
        <v>18</v>
      </c>
      <c r="D5036" t="s">
        <v>15</v>
      </c>
      <c r="E5036">
        <v>0.89954337899543302</v>
      </c>
      <c r="F5036">
        <v>0.90978930986922202</v>
      </c>
      <c r="G5036">
        <v>7.8186454772949201</v>
      </c>
      <c r="H5036">
        <v>14</v>
      </c>
      <c r="I5036">
        <v>26</v>
      </c>
      <c r="J5036">
        <v>30</v>
      </c>
    </row>
    <row r="5037" spans="1:10" x14ac:dyDescent="0.25">
      <c r="A5037" t="s">
        <v>25</v>
      </c>
      <c r="B5037" t="s">
        <v>11</v>
      </c>
      <c r="C5037" t="s">
        <v>18</v>
      </c>
      <c r="D5037" t="s">
        <v>15</v>
      </c>
      <c r="E5037">
        <v>0.90410958904109495</v>
      </c>
      <c r="F5037">
        <v>0.91183741186008904</v>
      </c>
      <c r="G5037">
        <v>7.8709831237792898</v>
      </c>
      <c r="H5037">
        <v>17</v>
      </c>
      <c r="I5037">
        <v>46</v>
      </c>
      <c r="J5037">
        <v>30</v>
      </c>
    </row>
    <row r="5038" spans="1:10" x14ac:dyDescent="0.25">
      <c r="A5038" t="s">
        <v>25</v>
      </c>
      <c r="B5038" t="s">
        <v>11</v>
      </c>
      <c r="C5038" t="s">
        <v>18</v>
      </c>
      <c r="D5038" t="s">
        <v>15</v>
      </c>
      <c r="E5038">
        <v>0.885844748858447</v>
      </c>
      <c r="F5038">
        <v>0.90226030756045805</v>
      </c>
      <c r="G5038">
        <v>7.9211192131042401</v>
      </c>
      <c r="H5038">
        <v>18</v>
      </c>
      <c r="I5038">
        <v>52</v>
      </c>
      <c r="J5038">
        <v>30</v>
      </c>
    </row>
    <row r="5039" spans="1:10" x14ac:dyDescent="0.25">
      <c r="A5039" t="s">
        <v>25</v>
      </c>
      <c r="B5039" t="s">
        <v>11</v>
      </c>
      <c r="C5039" t="s">
        <v>18</v>
      </c>
      <c r="D5039" t="s">
        <v>15</v>
      </c>
      <c r="E5039">
        <v>4.5662100456621002E-3</v>
      </c>
      <c r="F5039">
        <v>0.75029795036703195</v>
      </c>
      <c r="G5039">
        <v>8.3751797676086408</v>
      </c>
      <c r="H5039">
        <v>21</v>
      </c>
      <c r="I5039">
        <v>58</v>
      </c>
      <c r="J5039">
        <v>30</v>
      </c>
    </row>
    <row r="5040" spans="1:10" x14ac:dyDescent="0.25">
      <c r="A5040" t="s">
        <v>25</v>
      </c>
      <c r="B5040" t="s">
        <v>11</v>
      </c>
      <c r="C5040" t="s">
        <v>18</v>
      </c>
      <c r="D5040" t="s">
        <v>15</v>
      </c>
      <c r="E5040">
        <v>0.88219178082191696</v>
      </c>
      <c r="F5040">
        <v>0.89754418652365098</v>
      </c>
      <c r="G5040">
        <v>8.5775494575500399</v>
      </c>
      <c r="H5040">
        <v>16</v>
      </c>
      <c r="I5040">
        <v>34</v>
      </c>
      <c r="J5040">
        <v>30</v>
      </c>
    </row>
    <row r="5041" spans="1:10" x14ac:dyDescent="0.25">
      <c r="A5041" t="s">
        <v>25</v>
      </c>
      <c r="B5041" t="s">
        <v>11</v>
      </c>
      <c r="C5041" t="s">
        <v>18</v>
      </c>
      <c r="D5041" t="s">
        <v>15</v>
      </c>
      <c r="E5041">
        <v>0.89315068493150596</v>
      </c>
      <c r="F5041">
        <v>0.90874787775397303</v>
      </c>
      <c r="G5041">
        <v>8.7397809028625399</v>
      </c>
      <c r="H5041">
        <v>27</v>
      </c>
      <c r="I5041">
        <v>69</v>
      </c>
      <c r="J5041">
        <v>30</v>
      </c>
    </row>
    <row r="5042" spans="1:10" x14ac:dyDescent="0.25">
      <c r="A5042" t="s">
        <v>25</v>
      </c>
      <c r="B5042" t="s">
        <v>11</v>
      </c>
      <c r="C5042" t="s">
        <v>18</v>
      </c>
      <c r="D5042" t="s">
        <v>16</v>
      </c>
      <c r="E5042">
        <v>0</v>
      </c>
      <c r="F5042">
        <v>0.75</v>
      </c>
      <c r="G5042">
        <v>0.32101511955261203</v>
      </c>
      <c r="H5042">
        <v>0</v>
      </c>
      <c r="I5042">
        <v>0</v>
      </c>
      <c r="J5042">
        <v>30</v>
      </c>
    </row>
    <row r="5043" spans="1:10" x14ac:dyDescent="0.25">
      <c r="A5043" t="s">
        <v>25</v>
      </c>
      <c r="B5043" t="s">
        <v>11</v>
      </c>
      <c r="C5043" t="s">
        <v>18</v>
      </c>
      <c r="D5043" t="s">
        <v>16</v>
      </c>
      <c r="E5043">
        <v>0</v>
      </c>
      <c r="F5043">
        <v>0.75</v>
      </c>
      <c r="G5043">
        <v>0.36156868934631298</v>
      </c>
      <c r="H5043">
        <v>0</v>
      </c>
      <c r="I5043">
        <v>0</v>
      </c>
      <c r="J5043">
        <v>30</v>
      </c>
    </row>
    <row r="5044" spans="1:10" x14ac:dyDescent="0.25">
      <c r="A5044" t="s">
        <v>25</v>
      </c>
      <c r="B5044" t="s">
        <v>11</v>
      </c>
      <c r="C5044" t="s">
        <v>18</v>
      </c>
      <c r="D5044" t="s">
        <v>16</v>
      </c>
      <c r="E5044">
        <v>0</v>
      </c>
      <c r="F5044">
        <v>0.75</v>
      </c>
      <c r="G5044">
        <v>0.39571404457092202</v>
      </c>
      <c r="H5044">
        <v>0</v>
      </c>
      <c r="I5044">
        <v>0</v>
      </c>
      <c r="J5044">
        <v>30</v>
      </c>
    </row>
    <row r="5045" spans="1:10" x14ac:dyDescent="0.25">
      <c r="A5045" t="s">
        <v>25</v>
      </c>
      <c r="B5045" t="s">
        <v>11</v>
      </c>
      <c r="C5045" t="s">
        <v>18</v>
      </c>
      <c r="D5045" t="s">
        <v>16</v>
      </c>
      <c r="E5045">
        <v>0</v>
      </c>
      <c r="F5045">
        <v>0.75</v>
      </c>
      <c r="G5045">
        <v>0.468466997146606</v>
      </c>
      <c r="H5045">
        <v>0</v>
      </c>
      <c r="I5045">
        <v>0</v>
      </c>
      <c r="J5045">
        <v>30</v>
      </c>
    </row>
    <row r="5046" spans="1:10" x14ac:dyDescent="0.25">
      <c r="A5046" t="s">
        <v>25</v>
      </c>
      <c r="B5046" t="s">
        <v>11</v>
      </c>
      <c r="C5046" t="s">
        <v>18</v>
      </c>
      <c r="D5046" t="s">
        <v>16</v>
      </c>
      <c r="E5046">
        <v>0</v>
      </c>
      <c r="F5046">
        <v>0.75</v>
      </c>
      <c r="G5046">
        <v>0.49854326248168901</v>
      </c>
      <c r="H5046">
        <v>0</v>
      </c>
      <c r="I5046">
        <v>0</v>
      </c>
      <c r="J5046">
        <v>30</v>
      </c>
    </row>
    <row r="5047" spans="1:10" x14ac:dyDescent="0.25">
      <c r="A5047" t="s">
        <v>25</v>
      </c>
      <c r="B5047" t="s">
        <v>11</v>
      </c>
      <c r="C5047" t="s">
        <v>18</v>
      </c>
      <c r="D5047" t="s">
        <v>16</v>
      </c>
      <c r="E5047">
        <v>0</v>
      </c>
      <c r="F5047">
        <v>0.75</v>
      </c>
      <c r="G5047">
        <v>0.47594594955444303</v>
      </c>
      <c r="H5047">
        <v>0</v>
      </c>
      <c r="I5047">
        <v>0</v>
      </c>
      <c r="J5047">
        <v>30</v>
      </c>
    </row>
    <row r="5048" spans="1:10" x14ac:dyDescent="0.25">
      <c r="A5048" t="s">
        <v>25</v>
      </c>
      <c r="B5048" t="s">
        <v>11</v>
      </c>
      <c r="C5048" t="s">
        <v>18</v>
      </c>
      <c r="D5048" t="s">
        <v>16</v>
      </c>
      <c r="E5048">
        <v>0</v>
      </c>
      <c r="F5048">
        <v>0.75</v>
      </c>
      <c r="G5048">
        <v>0.45335364341735801</v>
      </c>
      <c r="H5048">
        <v>0</v>
      </c>
      <c r="I5048">
        <v>0</v>
      </c>
      <c r="J5048">
        <v>30</v>
      </c>
    </row>
    <row r="5049" spans="1:10" x14ac:dyDescent="0.25">
      <c r="A5049" t="s">
        <v>25</v>
      </c>
      <c r="B5049" t="s">
        <v>11</v>
      </c>
      <c r="C5049" t="s">
        <v>18</v>
      </c>
      <c r="D5049" t="s">
        <v>16</v>
      </c>
      <c r="E5049">
        <v>0</v>
      </c>
      <c r="F5049">
        <v>0.75</v>
      </c>
      <c r="G5049">
        <v>0.52624654769897405</v>
      </c>
      <c r="H5049">
        <v>0</v>
      </c>
      <c r="I5049">
        <v>0</v>
      </c>
      <c r="J5049">
        <v>30</v>
      </c>
    </row>
    <row r="5050" spans="1:10" x14ac:dyDescent="0.25">
      <c r="A5050" t="s">
        <v>25</v>
      </c>
      <c r="B5050" t="s">
        <v>11</v>
      </c>
      <c r="C5050" t="s">
        <v>18</v>
      </c>
      <c r="D5050" t="s">
        <v>16</v>
      </c>
      <c r="E5050">
        <v>0</v>
      </c>
      <c r="F5050">
        <v>0.75</v>
      </c>
      <c r="G5050">
        <v>0.533247470855712</v>
      </c>
      <c r="H5050">
        <v>0</v>
      </c>
      <c r="I5050">
        <v>0</v>
      </c>
      <c r="J5050">
        <v>30</v>
      </c>
    </row>
    <row r="5051" spans="1:10" x14ac:dyDescent="0.25">
      <c r="A5051" t="s">
        <v>25</v>
      </c>
      <c r="B5051" t="s">
        <v>11</v>
      </c>
      <c r="C5051" t="s">
        <v>18</v>
      </c>
      <c r="D5051" t="s">
        <v>16</v>
      </c>
      <c r="E5051">
        <v>0</v>
      </c>
      <c r="F5051">
        <v>0.75</v>
      </c>
      <c r="G5051">
        <v>0.53524661064147905</v>
      </c>
      <c r="H5051">
        <v>0</v>
      </c>
      <c r="I5051">
        <v>0</v>
      </c>
      <c r="J5051">
        <v>30</v>
      </c>
    </row>
    <row r="5052" spans="1:10" x14ac:dyDescent="0.25">
      <c r="A5052" t="s">
        <v>25</v>
      </c>
      <c r="B5052" t="s">
        <v>11</v>
      </c>
      <c r="C5052" t="s">
        <v>18</v>
      </c>
      <c r="D5052" t="s">
        <v>16</v>
      </c>
      <c r="E5052">
        <v>0</v>
      </c>
      <c r="F5052">
        <v>0.75</v>
      </c>
      <c r="G5052">
        <v>0.50355720520019498</v>
      </c>
      <c r="H5052">
        <v>0</v>
      </c>
      <c r="I5052">
        <v>0</v>
      </c>
      <c r="J5052">
        <v>30</v>
      </c>
    </row>
    <row r="5053" spans="1:10" x14ac:dyDescent="0.25">
      <c r="A5053" t="s">
        <v>25</v>
      </c>
      <c r="B5053" t="s">
        <v>11</v>
      </c>
      <c r="C5053" t="s">
        <v>18</v>
      </c>
      <c r="D5053" t="s">
        <v>16</v>
      </c>
      <c r="E5053">
        <v>0</v>
      </c>
      <c r="F5053">
        <v>0.75</v>
      </c>
      <c r="G5053">
        <v>0.53471446037292403</v>
      </c>
      <c r="H5053">
        <v>0</v>
      </c>
      <c r="I5053">
        <v>0</v>
      </c>
      <c r="J5053">
        <v>30</v>
      </c>
    </row>
    <row r="5054" spans="1:10" x14ac:dyDescent="0.25">
      <c r="A5054" t="s">
        <v>25</v>
      </c>
      <c r="B5054" t="s">
        <v>11</v>
      </c>
      <c r="C5054" t="s">
        <v>18</v>
      </c>
      <c r="D5054" t="s">
        <v>16</v>
      </c>
      <c r="E5054">
        <v>0</v>
      </c>
      <c r="F5054">
        <v>0.75</v>
      </c>
      <c r="G5054">
        <v>0.52362489700317305</v>
      </c>
      <c r="H5054">
        <v>0</v>
      </c>
      <c r="I5054">
        <v>0</v>
      </c>
      <c r="J5054">
        <v>30</v>
      </c>
    </row>
    <row r="5055" spans="1:10" x14ac:dyDescent="0.25">
      <c r="A5055" t="s">
        <v>25</v>
      </c>
      <c r="B5055" t="s">
        <v>11</v>
      </c>
      <c r="C5055" t="s">
        <v>18</v>
      </c>
      <c r="D5055" t="s">
        <v>16</v>
      </c>
      <c r="E5055">
        <v>0</v>
      </c>
      <c r="F5055">
        <v>0.75</v>
      </c>
      <c r="G5055">
        <v>0.53871488571166903</v>
      </c>
      <c r="H5055">
        <v>0</v>
      </c>
      <c r="I5055">
        <v>0</v>
      </c>
      <c r="J5055">
        <v>30</v>
      </c>
    </row>
    <row r="5056" spans="1:10" x14ac:dyDescent="0.25">
      <c r="A5056" t="s">
        <v>25</v>
      </c>
      <c r="B5056" t="s">
        <v>11</v>
      </c>
      <c r="C5056" t="s">
        <v>18</v>
      </c>
      <c r="D5056" t="s">
        <v>16</v>
      </c>
      <c r="E5056">
        <v>0</v>
      </c>
      <c r="F5056">
        <v>0.75</v>
      </c>
      <c r="G5056">
        <v>0.47297787666320801</v>
      </c>
      <c r="H5056">
        <v>0</v>
      </c>
      <c r="I5056">
        <v>0</v>
      </c>
      <c r="J5056">
        <v>30</v>
      </c>
    </row>
    <row r="5057" spans="1:10" x14ac:dyDescent="0.25">
      <c r="A5057" t="s">
        <v>25</v>
      </c>
      <c r="B5057" t="s">
        <v>11</v>
      </c>
      <c r="C5057" t="s">
        <v>18</v>
      </c>
      <c r="D5057" t="s">
        <v>16</v>
      </c>
      <c r="E5057">
        <v>0</v>
      </c>
      <c r="F5057">
        <v>0.75</v>
      </c>
      <c r="G5057">
        <v>0.51305270195007302</v>
      </c>
      <c r="H5057">
        <v>0</v>
      </c>
      <c r="I5057">
        <v>0</v>
      </c>
      <c r="J5057">
        <v>30</v>
      </c>
    </row>
    <row r="5058" spans="1:10" x14ac:dyDescent="0.25">
      <c r="A5058" t="s">
        <v>25</v>
      </c>
      <c r="B5058" t="s">
        <v>11</v>
      </c>
      <c r="C5058" t="s">
        <v>18</v>
      </c>
      <c r="D5058" t="s">
        <v>16</v>
      </c>
      <c r="E5058">
        <v>0</v>
      </c>
      <c r="F5058">
        <v>0.75</v>
      </c>
      <c r="G5058">
        <v>0.53720760345458896</v>
      </c>
      <c r="H5058">
        <v>0</v>
      </c>
      <c r="I5058">
        <v>0</v>
      </c>
      <c r="J5058">
        <v>30</v>
      </c>
    </row>
    <row r="5059" spans="1:10" x14ac:dyDescent="0.25">
      <c r="A5059" t="s">
        <v>25</v>
      </c>
      <c r="B5059" t="s">
        <v>11</v>
      </c>
      <c r="C5059" t="s">
        <v>18</v>
      </c>
      <c r="D5059" t="s">
        <v>16</v>
      </c>
      <c r="E5059">
        <v>0</v>
      </c>
      <c r="F5059">
        <v>0.75</v>
      </c>
      <c r="G5059">
        <v>0.53369116783142001</v>
      </c>
      <c r="H5059">
        <v>0</v>
      </c>
      <c r="I5059">
        <v>0</v>
      </c>
      <c r="J5059">
        <v>30</v>
      </c>
    </row>
    <row r="5060" spans="1:10" x14ac:dyDescent="0.25">
      <c r="A5060" t="s">
        <v>25</v>
      </c>
      <c r="B5060" t="s">
        <v>11</v>
      </c>
      <c r="C5060" t="s">
        <v>18</v>
      </c>
      <c r="D5060" t="s">
        <v>16</v>
      </c>
      <c r="E5060">
        <v>0</v>
      </c>
      <c r="F5060">
        <v>0.75</v>
      </c>
      <c r="G5060">
        <v>0.54427695274353005</v>
      </c>
      <c r="H5060">
        <v>0</v>
      </c>
      <c r="I5060">
        <v>0</v>
      </c>
      <c r="J5060">
        <v>30</v>
      </c>
    </row>
    <row r="5061" spans="1:10" x14ac:dyDescent="0.25">
      <c r="A5061" t="s">
        <v>25</v>
      </c>
      <c r="B5061" t="s">
        <v>11</v>
      </c>
      <c r="C5061" t="s">
        <v>18</v>
      </c>
      <c r="D5061" t="s">
        <v>16</v>
      </c>
      <c r="E5061">
        <v>0</v>
      </c>
      <c r="F5061">
        <v>0.75</v>
      </c>
      <c r="G5061">
        <v>0.52362442016601496</v>
      </c>
      <c r="H5061">
        <v>0</v>
      </c>
      <c r="I5061">
        <v>0</v>
      </c>
      <c r="J5061">
        <v>30</v>
      </c>
    </row>
    <row r="5062" spans="1:10" x14ac:dyDescent="0.25">
      <c r="A5062" t="s">
        <v>25</v>
      </c>
      <c r="B5062" t="s">
        <v>11</v>
      </c>
      <c r="C5062" t="s">
        <v>18</v>
      </c>
      <c r="D5062" t="s">
        <v>16</v>
      </c>
      <c r="E5062">
        <v>0</v>
      </c>
      <c r="F5062">
        <v>0.75</v>
      </c>
      <c r="G5062">
        <v>0.54978084564208896</v>
      </c>
      <c r="H5062">
        <v>0</v>
      </c>
      <c r="I5062">
        <v>0</v>
      </c>
      <c r="J5062">
        <v>30</v>
      </c>
    </row>
    <row r="5063" spans="1:10" x14ac:dyDescent="0.25">
      <c r="A5063" t="s">
        <v>25</v>
      </c>
      <c r="B5063" t="s">
        <v>11</v>
      </c>
      <c r="C5063" t="s">
        <v>18</v>
      </c>
      <c r="D5063" t="s">
        <v>16</v>
      </c>
      <c r="E5063">
        <v>0</v>
      </c>
      <c r="F5063">
        <v>0.75</v>
      </c>
      <c r="G5063">
        <v>0.52624726295471103</v>
      </c>
      <c r="H5063">
        <v>0</v>
      </c>
      <c r="I5063">
        <v>0</v>
      </c>
      <c r="J5063">
        <v>30</v>
      </c>
    </row>
    <row r="5064" spans="1:10" x14ac:dyDescent="0.25">
      <c r="A5064" t="s">
        <v>25</v>
      </c>
      <c r="B5064" t="s">
        <v>11</v>
      </c>
      <c r="C5064" t="s">
        <v>18</v>
      </c>
      <c r="D5064" t="s">
        <v>16</v>
      </c>
      <c r="E5064">
        <v>0</v>
      </c>
      <c r="F5064">
        <v>0.75</v>
      </c>
      <c r="G5064">
        <v>0.56779146194457997</v>
      </c>
      <c r="H5064">
        <v>0</v>
      </c>
      <c r="I5064">
        <v>0</v>
      </c>
      <c r="J5064">
        <v>30</v>
      </c>
    </row>
    <row r="5065" spans="1:10" x14ac:dyDescent="0.25">
      <c r="A5065" t="s">
        <v>25</v>
      </c>
      <c r="B5065" t="s">
        <v>11</v>
      </c>
      <c r="C5065" t="s">
        <v>18</v>
      </c>
      <c r="D5065" t="s">
        <v>16</v>
      </c>
      <c r="E5065">
        <v>0</v>
      </c>
      <c r="F5065">
        <v>0.75</v>
      </c>
      <c r="G5065">
        <v>0.51010370254516602</v>
      </c>
      <c r="H5065">
        <v>0</v>
      </c>
      <c r="I5065">
        <v>0</v>
      </c>
      <c r="J5065">
        <v>30</v>
      </c>
    </row>
    <row r="5066" spans="1:10" x14ac:dyDescent="0.25">
      <c r="A5066" t="s">
        <v>25</v>
      </c>
      <c r="B5066" t="s">
        <v>11</v>
      </c>
      <c r="C5066" t="s">
        <v>18</v>
      </c>
      <c r="D5066" t="s">
        <v>16</v>
      </c>
      <c r="E5066">
        <v>0</v>
      </c>
      <c r="F5066">
        <v>0.75</v>
      </c>
      <c r="G5066">
        <v>0.53818225860595703</v>
      </c>
      <c r="H5066">
        <v>0</v>
      </c>
      <c r="I5066">
        <v>0</v>
      </c>
      <c r="J5066">
        <v>30</v>
      </c>
    </row>
    <row r="5067" spans="1:10" x14ac:dyDescent="0.25">
      <c r="A5067" t="s">
        <v>25</v>
      </c>
      <c r="B5067" t="s">
        <v>11</v>
      </c>
      <c r="C5067" t="s">
        <v>18</v>
      </c>
      <c r="D5067" t="s">
        <v>16</v>
      </c>
      <c r="E5067">
        <v>0</v>
      </c>
      <c r="F5067">
        <v>0.75</v>
      </c>
      <c r="G5067">
        <v>0.54475140571594205</v>
      </c>
      <c r="H5067">
        <v>0</v>
      </c>
      <c r="I5067">
        <v>0</v>
      </c>
      <c r="J5067">
        <v>30</v>
      </c>
    </row>
    <row r="5068" spans="1:10" x14ac:dyDescent="0.25">
      <c r="A5068" t="s">
        <v>25</v>
      </c>
      <c r="B5068" t="s">
        <v>11</v>
      </c>
      <c r="C5068" t="s">
        <v>18</v>
      </c>
      <c r="D5068" t="s">
        <v>16</v>
      </c>
      <c r="E5068">
        <v>0</v>
      </c>
      <c r="F5068">
        <v>0.75</v>
      </c>
      <c r="G5068">
        <v>0.56025719642639105</v>
      </c>
      <c r="H5068">
        <v>0</v>
      </c>
      <c r="I5068">
        <v>0</v>
      </c>
      <c r="J5068">
        <v>30</v>
      </c>
    </row>
    <row r="5069" spans="1:10" x14ac:dyDescent="0.25">
      <c r="A5069" t="s">
        <v>25</v>
      </c>
      <c r="B5069" t="s">
        <v>11</v>
      </c>
      <c r="C5069" t="s">
        <v>18</v>
      </c>
      <c r="D5069" t="s">
        <v>16</v>
      </c>
      <c r="E5069">
        <v>0</v>
      </c>
      <c r="F5069">
        <v>0.75</v>
      </c>
      <c r="G5069">
        <v>0.551255702972412</v>
      </c>
      <c r="H5069">
        <v>0</v>
      </c>
      <c r="I5069">
        <v>0</v>
      </c>
      <c r="J5069">
        <v>30</v>
      </c>
    </row>
    <row r="5070" spans="1:10" x14ac:dyDescent="0.25">
      <c r="A5070" t="s">
        <v>25</v>
      </c>
      <c r="B5070" t="s">
        <v>11</v>
      </c>
      <c r="C5070" t="s">
        <v>18</v>
      </c>
      <c r="D5070" t="s">
        <v>16</v>
      </c>
      <c r="E5070">
        <v>0</v>
      </c>
      <c r="F5070">
        <v>0.75</v>
      </c>
      <c r="G5070">
        <v>0.53518199920654297</v>
      </c>
      <c r="H5070">
        <v>0</v>
      </c>
      <c r="I5070">
        <v>0</v>
      </c>
      <c r="J5070">
        <v>30</v>
      </c>
    </row>
    <row r="5071" spans="1:10" x14ac:dyDescent="0.25">
      <c r="A5071" t="s">
        <v>25</v>
      </c>
      <c r="B5071" t="s">
        <v>11</v>
      </c>
      <c r="C5071" t="s">
        <v>18</v>
      </c>
      <c r="D5071" t="s">
        <v>16</v>
      </c>
      <c r="E5071">
        <v>0</v>
      </c>
      <c r="F5071">
        <v>0.75</v>
      </c>
      <c r="G5071">
        <v>0.51105308532714799</v>
      </c>
      <c r="H5071">
        <v>0</v>
      </c>
      <c r="I5071">
        <v>0</v>
      </c>
      <c r="J5071">
        <v>30</v>
      </c>
    </row>
    <row r="5072" spans="1:10" x14ac:dyDescent="0.25">
      <c r="A5072" t="s">
        <v>25</v>
      </c>
      <c r="B5072" t="s">
        <v>11</v>
      </c>
      <c r="C5072" t="s">
        <v>18</v>
      </c>
      <c r="D5072" t="s">
        <v>17</v>
      </c>
      <c r="E5072">
        <v>0.89954337899543302</v>
      </c>
      <c r="F5072">
        <v>0.91037858672904104</v>
      </c>
      <c r="G5072">
        <v>19.0747518539428</v>
      </c>
      <c r="H5072">
        <v>6</v>
      </c>
      <c r="I5072">
        <v>7</v>
      </c>
      <c r="J5072">
        <v>30</v>
      </c>
    </row>
    <row r="5073" spans="1:10" x14ac:dyDescent="0.25">
      <c r="A5073" t="s">
        <v>25</v>
      </c>
      <c r="B5073" t="s">
        <v>11</v>
      </c>
      <c r="C5073" t="s">
        <v>18</v>
      </c>
      <c r="D5073" t="s">
        <v>17</v>
      </c>
      <c r="E5073">
        <v>0.90319634703196305</v>
      </c>
      <c r="F5073">
        <v>0.91404398698630296</v>
      </c>
      <c r="G5073">
        <v>19.839591979980401</v>
      </c>
      <c r="H5073">
        <v>4</v>
      </c>
      <c r="I5073">
        <v>5</v>
      </c>
      <c r="J5073">
        <v>30</v>
      </c>
    </row>
    <row r="5074" spans="1:10" x14ac:dyDescent="0.25">
      <c r="A5074" t="s">
        <v>25</v>
      </c>
      <c r="B5074" t="s">
        <v>11</v>
      </c>
      <c r="C5074" t="s">
        <v>18</v>
      </c>
      <c r="D5074" t="s">
        <v>17</v>
      </c>
      <c r="E5074">
        <v>0.89863013698630101</v>
      </c>
      <c r="F5074">
        <v>0.90874521843908695</v>
      </c>
      <c r="G5074">
        <v>22.251655101776102</v>
      </c>
      <c r="H5074">
        <v>11</v>
      </c>
      <c r="I5074">
        <v>12</v>
      </c>
      <c r="J5074">
        <v>30</v>
      </c>
    </row>
    <row r="5075" spans="1:10" x14ac:dyDescent="0.25">
      <c r="A5075" t="s">
        <v>25</v>
      </c>
      <c r="B5075" t="s">
        <v>11</v>
      </c>
      <c r="C5075" t="s">
        <v>18</v>
      </c>
      <c r="D5075" t="s">
        <v>17</v>
      </c>
      <c r="E5075">
        <v>0.89132420091324205</v>
      </c>
      <c r="F5075">
        <v>0.90330291949086805</v>
      </c>
      <c r="G5075">
        <v>26.349081277847201</v>
      </c>
      <c r="H5075">
        <v>20</v>
      </c>
      <c r="I5075">
        <v>20</v>
      </c>
      <c r="J5075">
        <v>30</v>
      </c>
    </row>
    <row r="5076" spans="1:10" x14ac:dyDescent="0.25">
      <c r="A5076" t="s">
        <v>25</v>
      </c>
      <c r="B5076" t="s">
        <v>11</v>
      </c>
      <c r="C5076" t="s">
        <v>18</v>
      </c>
      <c r="D5076" t="s">
        <v>17</v>
      </c>
      <c r="E5076">
        <v>0.88949771689497703</v>
      </c>
      <c r="F5076">
        <v>0.90283139120501998</v>
      </c>
      <c r="G5076">
        <v>27.716960191726599</v>
      </c>
      <c r="H5076">
        <v>6</v>
      </c>
      <c r="I5076">
        <v>8</v>
      </c>
      <c r="J5076">
        <v>30</v>
      </c>
    </row>
    <row r="5077" spans="1:10" x14ac:dyDescent="0.25">
      <c r="A5077" t="s">
        <v>25</v>
      </c>
      <c r="B5077" t="s">
        <v>11</v>
      </c>
      <c r="C5077" t="s">
        <v>18</v>
      </c>
      <c r="D5077" t="s">
        <v>17</v>
      </c>
      <c r="E5077">
        <v>0.89315068493150596</v>
      </c>
      <c r="F5077">
        <v>0.90439498210182401</v>
      </c>
      <c r="G5077">
        <v>30.1658453941345</v>
      </c>
      <c r="H5077">
        <v>6</v>
      </c>
      <c r="I5077">
        <v>8</v>
      </c>
      <c r="J5077">
        <v>30</v>
      </c>
    </row>
    <row r="5078" spans="1:10" x14ac:dyDescent="0.25">
      <c r="A5078" t="s">
        <v>25</v>
      </c>
      <c r="B5078" t="s">
        <v>11</v>
      </c>
      <c r="C5078" t="s">
        <v>18</v>
      </c>
      <c r="D5078" t="s">
        <v>17</v>
      </c>
      <c r="E5078">
        <v>0.90410958904109495</v>
      </c>
      <c r="F5078">
        <v>0.91538852826913097</v>
      </c>
      <c r="G5078">
        <v>30.647061824798499</v>
      </c>
      <c r="H5078">
        <v>13</v>
      </c>
      <c r="I5078">
        <v>15</v>
      </c>
      <c r="J5078">
        <v>30</v>
      </c>
    </row>
    <row r="5079" spans="1:10" x14ac:dyDescent="0.25">
      <c r="A5079" t="s">
        <v>25</v>
      </c>
      <c r="B5079" t="s">
        <v>11</v>
      </c>
      <c r="C5079" t="s">
        <v>18</v>
      </c>
      <c r="D5079" t="s">
        <v>17</v>
      </c>
      <c r="E5079">
        <v>0.89406392694063896</v>
      </c>
      <c r="F5079">
        <v>0.90525584103242096</v>
      </c>
      <c r="G5079">
        <v>33.719433546066199</v>
      </c>
      <c r="H5079">
        <v>6</v>
      </c>
      <c r="I5079">
        <v>7</v>
      </c>
      <c r="J5079">
        <v>30</v>
      </c>
    </row>
    <row r="5080" spans="1:10" x14ac:dyDescent="0.25">
      <c r="A5080" t="s">
        <v>25</v>
      </c>
      <c r="B5080" t="s">
        <v>11</v>
      </c>
      <c r="C5080" t="s">
        <v>18</v>
      </c>
      <c r="D5080" t="s">
        <v>17</v>
      </c>
      <c r="E5080">
        <v>0.88858447488584402</v>
      </c>
      <c r="F5080">
        <v>0.90284533669205702</v>
      </c>
      <c r="G5080">
        <v>35.174134731292703</v>
      </c>
      <c r="H5080">
        <v>12</v>
      </c>
      <c r="I5080">
        <v>14</v>
      </c>
      <c r="J5080">
        <v>30</v>
      </c>
    </row>
    <row r="5081" spans="1:10" x14ac:dyDescent="0.25">
      <c r="A5081" t="s">
        <v>25</v>
      </c>
      <c r="B5081" t="s">
        <v>11</v>
      </c>
      <c r="C5081" t="s">
        <v>18</v>
      </c>
      <c r="D5081" t="s">
        <v>17</v>
      </c>
      <c r="E5081">
        <v>0.88493150684931499</v>
      </c>
      <c r="F5081">
        <v>0.899135012352693</v>
      </c>
      <c r="G5081">
        <v>37.115092754363999</v>
      </c>
      <c r="H5081">
        <v>6</v>
      </c>
      <c r="I5081">
        <v>7</v>
      </c>
      <c r="J5081">
        <v>30</v>
      </c>
    </row>
    <row r="5082" spans="1:10" x14ac:dyDescent="0.25">
      <c r="A5082" t="s">
        <v>25</v>
      </c>
      <c r="B5082" t="s">
        <v>11</v>
      </c>
      <c r="C5082" t="s">
        <v>18</v>
      </c>
      <c r="D5082" t="s">
        <v>17</v>
      </c>
      <c r="E5082">
        <v>0.886757990867579</v>
      </c>
      <c r="F5082">
        <v>0.90113608721041205</v>
      </c>
      <c r="G5082">
        <v>38.079322338104198</v>
      </c>
      <c r="H5082">
        <v>6</v>
      </c>
      <c r="I5082">
        <v>7</v>
      </c>
      <c r="J5082">
        <v>30</v>
      </c>
    </row>
    <row r="5083" spans="1:10" x14ac:dyDescent="0.25">
      <c r="A5083" t="s">
        <v>25</v>
      </c>
      <c r="B5083" t="s">
        <v>11</v>
      </c>
      <c r="C5083" t="s">
        <v>18</v>
      </c>
      <c r="D5083" t="s">
        <v>17</v>
      </c>
      <c r="E5083">
        <v>0.91872146118721398</v>
      </c>
      <c r="F5083">
        <v>0.92387740227972603</v>
      </c>
      <c r="G5083">
        <v>39.760850191116297</v>
      </c>
      <c r="H5083">
        <v>8</v>
      </c>
      <c r="I5083">
        <v>11</v>
      </c>
      <c r="J5083">
        <v>30</v>
      </c>
    </row>
    <row r="5084" spans="1:10" x14ac:dyDescent="0.25">
      <c r="A5084" t="s">
        <v>25</v>
      </c>
      <c r="B5084" t="s">
        <v>11</v>
      </c>
      <c r="C5084" t="s">
        <v>18</v>
      </c>
      <c r="D5084" t="s">
        <v>17</v>
      </c>
      <c r="E5084">
        <v>0.886757990867579</v>
      </c>
      <c r="F5084">
        <v>0.90094554359196399</v>
      </c>
      <c r="G5084">
        <v>41.035388231277402</v>
      </c>
      <c r="H5084">
        <v>1</v>
      </c>
      <c r="I5084">
        <v>1</v>
      </c>
      <c r="J5084">
        <v>30</v>
      </c>
    </row>
    <row r="5085" spans="1:10" x14ac:dyDescent="0.25">
      <c r="A5085" t="s">
        <v>25</v>
      </c>
      <c r="B5085" t="s">
        <v>11</v>
      </c>
      <c r="C5085" t="s">
        <v>18</v>
      </c>
      <c r="D5085" t="s">
        <v>17</v>
      </c>
      <c r="E5085">
        <v>0.89315068493150596</v>
      </c>
      <c r="F5085">
        <v>0.90439498210182501</v>
      </c>
      <c r="G5085">
        <v>41.787345647811797</v>
      </c>
      <c r="H5085">
        <v>6</v>
      </c>
      <c r="I5085">
        <v>8</v>
      </c>
      <c r="J5085">
        <v>30</v>
      </c>
    </row>
    <row r="5086" spans="1:10" x14ac:dyDescent="0.25">
      <c r="A5086" t="s">
        <v>25</v>
      </c>
      <c r="B5086" t="s">
        <v>11</v>
      </c>
      <c r="C5086" t="s">
        <v>18</v>
      </c>
      <c r="D5086" t="s">
        <v>17</v>
      </c>
      <c r="E5086">
        <v>0.89223744292237395</v>
      </c>
      <c r="F5086">
        <v>0.90635703149223601</v>
      </c>
      <c r="G5086">
        <v>41.899388790130601</v>
      </c>
      <c r="H5086">
        <v>1</v>
      </c>
      <c r="I5086">
        <v>1</v>
      </c>
      <c r="J5086">
        <v>30</v>
      </c>
    </row>
    <row r="5087" spans="1:10" x14ac:dyDescent="0.25">
      <c r="A5087" t="s">
        <v>25</v>
      </c>
      <c r="B5087" t="s">
        <v>11</v>
      </c>
      <c r="C5087" t="s">
        <v>18</v>
      </c>
      <c r="D5087" t="s">
        <v>17</v>
      </c>
      <c r="E5087">
        <v>0.89863013698630101</v>
      </c>
      <c r="F5087">
        <v>0.91081323769671296</v>
      </c>
      <c r="G5087">
        <v>42.182738304138098</v>
      </c>
      <c r="H5087">
        <v>17</v>
      </c>
      <c r="I5087">
        <v>17</v>
      </c>
      <c r="J5087">
        <v>30</v>
      </c>
    </row>
    <row r="5088" spans="1:10" x14ac:dyDescent="0.25">
      <c r="A5088" t="s">
        <v>25</v>
      </c>
      <c r="B5088" t="s">
        <v>11</v>
      </c>
      <c r="C5088" t="s">
        <v>18</v>
      </c>
      <c r="D5088" t="s">
        <v>17</v>
      </c>
      <c r="E5088">
        <v>0.89954337899543302</v>
      </c>
      <c r="F5088">
        <v>0.91114546175415401</v>
      </c>
      <c r="G5088">
        <v>42.5683815479278</v>
      </c>
      <c r="H5088">
        <v>1</v>
      </c>
      <c r="I5088">
        <v>1</v>
      </c>
      <c r="J5088">
        <v>30</v>
      </c>
    </row>
    <row r="5089" spans="1:10" x14ac:dyDescent="0.25">
      <c r="A5089" t="s">
        <v>25</v>
      </c>
      <c r="B5089" t="s">
        <v>11</v>
      </c>
      <c r="C5089" t="s">
        <v>18</v>
      </c>
      <c r="D5089" t="s">
        <v>17</v>
      </c>
      <c r="E5089">
        <v>0.91232876712328703</v>
      </c>
      <c r="F5089">
        <v>0.92089709597598102</v>
      </c>
      <c r="G5089">
        <v>44.313526153564403</v>
      </c>
      <c r="H5089">
        <v>15</v>
      </c>
      <c r="I5089">
        <v>17</v>
      </c>
      <c r="J5089">
        <v>30</v>
      </c>
    </row>
    <row r="5090" spans="1:10" x14ac:dyDescent="0.25">
      <c r="A5090" t="s">
        <v>25</v>
      </c>
      <c r="B5090" t="s">
        <v>11</v>
      </c>
      <c r="C5090" t="s">
        <v>18</v>
      </c>
      <c r="D5090" t="s">
        <v>17</v>
      </c>
      <c r="E5090">
        <v>0.90593607305935997</v>
      </c>
      <c r="F5090">
        <v>0.91452898676301397</v>
      </c>
      <c r="G5090">
        <v>44.576865911483701</v>
      </c>
      <c r="H5090">
        <v>6</v>
      </c>
      <c r="I5090">
        <v>8</v>
      </c>
      <c r="J5090">
        <v>30</v>
      </c>
    </row>
    <row r="5091" spans="1:10" x14ac:dyDescent="0.25">
      <c r="A5091" t="s">
        <v>25</v>
      </c>
      <c r="B5091" t="s">
        <v>11</v>
      </c>
      <c r="C5091" t="s">
        <v>18</v>
      </c>
      <c r="D5091" t="s">
        <v>17</v>
      </c>
      <c r="E5091">
        <v>0.91050228310502201</v>
      </c>
      <c r="F5091">
        <v>0.919300118258358</v>
      </c>
      <c r="G5091">
        <v>45.091387748718198</v>
      </c>
      <c r="H5091">
        <v>3</v>
      </c>
      <c r="I5091">
        <v>4</v>
      </c>
      <c r="J5091">
        <v>30</v>
      </c>
    </row>
    <row r="5092" spans="1:10" x14ac:dyDescent="0.25">
      <c r="A5092" t="s">
        <v>25</v>
      </c>
      <c r="B5092" t="s">
        <v>11</v>
      </c>
      <c r="C5092" t="s">
        <v>18</v>
      </c>
      <c r="D5092" t="s">
        <v>17</v>
      </c>
      <c r="E5092">
        <v>0.90136986301369804</v>
      </c>
      <c r="F5092">
        <v>0.91090719709771795</v>
      </c>
      <c r="G5092">
        <v>45.458835601806598</v>
      </c>
      <c r="H5092">
        <v>8</v>
      </c>
      <c r="I5092">
        <v>10</v>
      </c>
      <c r="J5092">
        <v>30</v>
      </c>
    </row>
    <row r="5093" spans="1:10" x14ac:dyDescent="0.25">
      <c r="A5093" t="s">
        <v>25</v>
      </c>
      <c r="B5093" t="s">
        <v>11</v>
      </c>
      <c r="C5093" t="s">
        <v>18</v>
      </c>
      <c r="D5093" t="s">
        <v>17</v>
      </c>
      <c r="E5093">
        <v>0.91689497716894897</v>
      </c>
      <c r="F5093">
        <v>0.92401068407927001</v>
      </c>
      <c r="G5093">
        <v>46.592842102050703</v>
      </c>
      <c r="H5093">
        <v>15</v>
      </c>
      <c r="I5093">
        <v>13</v>
      </c>
      <c r="J5093">
        <v>30</v>
      </c>
    </row>
    <row r="5094" spans="1:10" x14ac:dyDescent="0.25">
      <c r="A5094" t="s">
        <v>25</v>
      </c>
      <c r="B5094" t="s">
        <v>11</v>
      </c>
      <c r="C5094" t="s">
        <v>18</v>
      </c>
      <c r="D5094" t="s">
        <v>17</v>
      </c>
      <c r="E5094">
        <v>0.91232876712328703</v>
      </c>
      <c r="F5094">
        <v>0.920478536142191</v>
      </c>
      <c r="G5094">
        <v>47.0772542953491</v>
      </c>
      <c r="H5094">
        <v>8</v>
      </c>
      <c r="I5094">
        <v>17</v>
      </c>
      <c r="J5094">
        <v>30</v>
      </c>
    </row>
    <row r="5095" spans="1:10" x14ac:dyDescent="0.25">
      <c r="A5095" t="s">
        <v>25</v>
      </c>
      <c r="B5095" t="s">
        <v>11</v>
      </c>
      <c r="C5095" t="s">
        <v>18</v>
      </c>
      <c r="D5095" t="s">
        <v>17</v>
      </c>
      <c r="E5095">
        <v>0.92511415525114105</v>
      </c>
      <c r="F5095">
        <v>0.93235782342027396</v>
      </c>
      <c r="G5095">
        <v>48.125297546386697</v>
      </c>
      <c r="H5095">
        <v>4</v>
      </c>
      <c r="I5095">
        <v>5</v>
      </c>
      <c r="J5095">
        <v>30</v>
      </c>
    </row>
    <row r="5096" spans="1:10" x14ac:dyDescent="0.25">
      <c r="A5096" t="s">
        <v>25</v>
      </c>
      <c r="B5096" t="s">
        <v>11</v>
      </c>
      <c r="C5096" t="s">
        <v>18</v>
      </c>
      <c r="D5096" t="s">
        <v>17</v>
      </c>
      <c r="E5096">
        <v>0.93789954337899495</v>
      </c>
      <c r="F5096">
        <v>0.94147333023972601</v>
      </c>
      <c r="G5096">
        <v>48.458144187927203</v>
      </c>
      <c r="H5096">
        <v>6</v>
      </c>
      <c r="I5096">
        <v>7</v>
      </c>
      <c r="J5096">
        <v>30</v>
      </c>
    </row>
    <row r="5097" spans="1:10" x14ac:dyDescent="0.25">
      <c r="A5097" t="s">
        <v>25</v>
      </c>
      <c r="B5097" t="s">
        <v>11</v>
      </c>
      <c r="C5097" t="s">
        <v>18</v>
      </c>
      <c r="D5097" t="s">
        <v>17</v>
      </c>
      <c r="E5097">
        <v>0.92968036529680298</v>
      </c>
      <c r="F5097">
        <v>0.93444708396712195</v>
      </c>
      <c r="G5097">
        <v>49.2846901416778</v>
      </c>
      <c r="H5097">
        <v>12</v>
      </c>
      <c r="I5097">
        <v>15</v>
      </c>
      <c r="J5097">
        <v>30</v>
      </c>
    </row>
    <row r="5098" spans="1:10" x14ac:dyDescent="0.25">
      <c r="A5098" t="s">
        <v>25</v>
      </c>
      <c r="B5098" t="s">
        <v>11</v>
      </c>
      <c r="C5098" t="s">
        <v>18</v>
      </c>
      <c r="D5098" t="s">
        <v>17</v>
      </c>
      <c r="E5098">
        <v>0.91963470319634699</v>
      </c>
      <c r="F5098">
        <v>0.92656811996438304</v>
      </c>
      <c r="G5098">
        <v>49.458940982818604</v>
      </c>
      <c r="H5098">
        <v>3</v>
      </c>
      <c r="I5098">
        <v>4</v>
      </c>
      <c r="J5098">
        <v>30</v>
      </c>
    </row>
    <row r="5099" spans="1:10" x14ac:dyDescent="0.25">
      <c r="A5099" t="s">
        <v>25</v>
      </c>
      <c r="B5099" t="s">
        <v>11</v>
      </c>
      <c r="C5099" t="s">
        <v>18</v>
      </c>
      <c r="D5099" t="s">
        <v>17</v>
      </c>
      <c r="E5099">
        <v>0.89863013698630101</v>
      </c>
      <c r="F5099">
        <v>0.90876067546602901</v>
      </c>
      <c r="G5099">
        <v>51.947568416595402</v>
      </c>
      <c r="H5099">
        <v>6</v>
      </c>
      <c r="I5099">
        <v>8</v>
      </c>
      <c r="J5099">
        <v>30</v>
      </c>
    </row>
    <row r="5100" spans="1:10" x14ac:dyDescent="0.25">
      <c r="A5100" t="s">
        <v>25</v>
      </c>
      <c r="B5100" t="s">
        <v>11</v>
      </c>
      <c r="C5100" t="s">
        <v>18</v>
      </c>
      <c r="D5100" t="s">
        <v>17</v>
      </c>
      <c r="E5100">
        <v>0.92511415525114105</v>
      </c>
      <c r="F5100">
        <v>0.93067633971780706</v>
      </c>
      <c r="G5100">
        <v>52.393820047378497</v>
      </c>
      <c r="H5100">
        <v>11</v>
      </c>
      <c r="I5100">
        <v>14</v>
      </c>
      <c r="J5100">
        <v>30</v>
      </c>
    </row>
    <row r="5101" spans="1:10" x14ac:dyDescent="0.25">
      <c r="A5101" t="s">
        <v>25</v>
      </c>
      <c r="B5101" t="s">
        <v>11</v>
      </c>
      <c r="C5101" t="s">
        <v>18</v>
      </c>
      <c r="D5101" t="s">
        <v>17</v>
      </c>
      <c r="E5101">
        <v>0.92968036529680298</v>
      </c>
      <c r="F5101">
        <v>0.93474948747744202</v>
      </c>
      <c r="G5101">
        <v>53.453340768814002</v>
      </c>
      <c r="H5101">
        <v>15</v>
      </c>
      <c r="I5101">
        <v>17</v>
      </c>
      <c r="J5101">
        <v>30</v>
      </c>
    </row>
    <row r="5102" spans="1:10" x14ac:dyDescent="0.25">
      <c r="A5102" t="s">
        <v>25</v>
      </c>
      <c r="B5102" t="s">
        <v>19</v>
      </c>
      <c r="C5102" t="s">
        <v>12</v>
      </c>
      <c r="D5102" t="s">
        <v>13</v>
      </c>
      <c r="E5102">
        <v>0.96986301369863004</v>
      </c>
      <c r="F5102">
        <v>0.97291299207598103</v>
      </c>
      <c r="G5102">
        <v>35.437716484069803</v>
      </c>
      <c r="H5102">
        <v>48</v>
      </c>
      <c r="I5102">
        <v>88</v>
      </c>
      <c r="J5102">
        <v>30</v>
      </c>
    </row>
    <row r="5103" spans="1:10" x14ac:dyDescent="0.25">
      <c r="A5103" t="s">
        <v>25</v>
      </c>
      <c r="B5103" t="s">
        <v>19</v>
      </c>
      <c r="C5103" t="s">
        <v>12</v>
      </c>
      <c r="D5103" t="s">
        <v>13</v>
      </c>
      <c r="E5103">
        <v>0.9662100456621</v>
      </c>
      <c r="F5103">
        <v>0.97090088187086698</v>
      </c>
      <c r="G5103">
        <v>36.9880530834198</v>
      </c>
      <c r="H5103">
        <v>45</v>
      </c>
      <c r="I5103">
        <v>74</v>
      </c>
      <c r="J5103">
        <v>30</v>
      </c>
    </row>
    <row r="5104" spans="1:10" x14ac:dyDescent="0.25">
      <c r="A5104" t="s">
        <v>25</v>
      </c>
      <c r="B5104" t="s">
        <v>19</v>
      </c>
      <c r="C5104" t="s">
        <v>12</v>
      </c>
      <c r="D5104" t="s">
        <v>13</v>
      </c>
      <c r="E5104">
        <v>0.97168949771689495</v>
      </c>
      <c r="F5104">
        <v>0.97488872497972601</v>
      </c>
      <c r="G5104">
        <v>38.9393563270568</v>
      </c>
      <c r="H5104">
        <v>49</v>
      </c>
      <c r="I5104">
        <v>90</v>
      </c>
      <c r="J5104">
        <v>30</v>
      </c>
    </row>
    <row r="5105" spans="1:10" x14ac:dyDescent="0.25">
      <c r="A5105" t="s">
        <v>25</v>
      </c>
      <c r="B5105" t="s">
        <v>19</v>
      </c>
      <c r="C5105" t="s">
        <v>12</v>
      </c>
      <c r="D5105" t="s">
        <v>13</v>
      </c>
      <c r="E5105">
        <v>0.96529680365296799</v>
      </c>
      <c r="F5105">
        <v>0.96965951335689504</v>
      </c>
      <c r="G5105">
        <v>39.446371316909698</v>
      </c>
      <c r="H5105">
        <v>65</v>
      </c>
      <c r="I5105">
        <v>116</v>
      </c>
      <c r="J5105">
        <v>30</v>
      </c>
    </row>
    <row r="5106" spans="1:10" x14ac:dyDescent="0.25">
      <c r="A5106" t="s">
        <v>25</v>
      </c>
      <c r="B5106" t="s">
        <v>19</v>
      </c>
      <c r="C5106" t="s">
        <v>12</v>
      </c>
      <c r="D5106" t="s">
        <v>13</v>
      </c>
      <c r="E5106">
        <v>0.96347031963470298</v>
      </c>
      <c r="F5106">
        <v>0.96972394668401796</v>
      </c>
      <c r="G5106">
        <v>40.423462390899601</v>
      </c>
      <c r="H5106">
        <v>56</v>
      </c>
      <c r="I5106">
        <v>93</v>
      </c>
      <c r="J5106">
        <v>30</v>
      </c>
    </row>
    <row r="5107" spans="1:10" x14ac:dyDescent="0.25">
      <c r="A5107" t="s">
        <v>25</v>
      </c>
      <c r="B5107" t="s">
        <v>19</v>
      </c>
      <c r="C5107" t="s">
        <v>12</v>
      </c>
      <c r="D5107" t="s">
        <v>13</v>
      </c>
      <c r="E5107">
        <v>0.96255707762556997</v>
      </c>
      <c r="F5107">
        <v>0.96762481749177998</v>
      </c>
      <c r="G5107">
        <v>41.216780424117999</v>
      </c>
      <c r="H5107">
        <v>66</v>
      </c>
      <c r="I5107">
        <v>127</v>
      </c>
      <c r="J5107">
        <v>30</v>
      </c>
    </row>
    <row r="5108" spans="1:10" x14ac:dyDescent="0.25">
      <c r="A5108" t="s">
        <v>25</v>
      </c>
      <c r="B5108" t="s">
        <v>19</v>
      </c>
      <c r="C5108" t="s">
        <v>12</v>
      </c>
      <c r="D5108" t="s">
        <v>13</v>
      </c>
      <c r="E5108">
        <v>0.96894977168949703</v>
      </c>
      <c r="F5108">
        <v>0.97350343620337798</v>
      </c>
      <c r="G5108">
        <v>43.186348438262897</v>
      </c>
      <c r="H5108">
        <v>62</v>
      </c>
      <c r="I5108">
        <v>127</v>
      </c>
      <c r="J5108">
        <v>30</v>
      </c>
    </row>
    <row r="5109" spans="1:10" x14ac:dyDescent="0.25">
      <c r="A5109" t="s">
        <v>25</v>
      </c>
      <c r="B5109" t="s">
        <v>19</v>
      </c>
      <c r="C5109" t="s">
        <v>12</v>
      </c>
      <c r="D5109" t="s">
        <v>13</v>
      </c>
      <c r="E5109">
        <v>0.97899543378995402</v>
      </c>
      <c r="F5109">
        <v>0.981439323543561</v>
      </c>
      <c r="G5109">
        <v>43.268954515457096</v>
      </c>
      <c r="H5109">
        <v>68</v>
      </c>
      <c r="I5109">
        <v>129</v>
      </c>
      <c r="J5109">
        <v>30</v>
      </c>
    </row>
    <row r="5110" spans="1:10" x14ac:dyDescent="0.25">
      <c r="A5110" t="s">
        <v>25</v>
      </c>
      <c r="B5110" t="s">
        <v>19</v>
      </c>
      <c r="C5110" t="s">
        <v>12</v>
      </c>
      <c r="D5110" t="s">
        <v>13</v>
      </c>
      <c r="E5110">
        <v>0.96986301369863004</v>
      </c>
      <c r="F5110">
        <v>0.97384619851068399</v>
      </c>
      <c r="G5110">
        <v>45.0704987049102</v>
      </c>
      <c r="H5110">
        <v>50</v>
      </c>
      <c r="I5110">
        <v>92</v>
      </c>
      <c r="J5110">
        <v>30</v>
      </c>
    </row>
    <row r="5111" spans="1:10" x14ac:dyDescent="0.25">
      <c r="A5111" t="s">
        <v>25</v>
      </c>
      <c r="B5111" t="s">
        <v>19</v>
      </c>
      <c r="C5111" t="s">
        <v>12</v>
      </c>
      <c r="D5111" t="s">
        <v>13</v>
      </c>
      <c r="E5111">
        <v>0.97625570776255699</v>
      </c>
      <c r="F5111">
        <v>0.97918465155022805</v>
      </c>
      <c r="G5111">
        <v>45.654787778854299</v>
      </c>
      <c r="H5111">
        <v>44</v>
      </c>
      <c r="I5111">
        <v>82</v>
      </c>
      <c r="J5111">
        <v>30</v>
      </c>
    </row>
    <row r="5112" spans="1:10" x14ac:dyDescent="0.25">
      <c r="A5112" t="s">
        <v>25</v>
      </c>
      <c r="B5112" t="s">
        <v>19</v>
      </c>
      <c r="C5112" t="s">
        <v>12</v>
      </c>
      <c r="D5112" t="s">
        <v>13</v>
      </c>
      <c r="E5112">
        <v>0.96347031963470298</v>
      </c>
      <c r="F5112">
        <v>0.97027664546310499</v>
      </c>
      <c r="G5112">
        <v>49.9145760536193</v>
      </c>
      <c r="H5112">
        <v>58</v>
      </c>
      <c r="I5112">
        <v>112</v>
      </c>
      <c r="J5112">
        <v>30</v>
      </c>
    </row>
    <row r="5113" spans="1:10" x14ac:dyDescent="0.25">
      <c r="A5113" t="s">
        <v>25</v>
      </c>
      <c r="B5113" t="s">
        <v>19</v>
      </c>
      <c r="C5113" t="s">
        <v>12</v>
      </c>
      <c r="D5113" t="s">
        <v>13</v>
      </c>
      <c r="E5113">
        <v>0.97077625570776205</v>
      </c>
      <c r="F5113">
        <v>0.97351172141945197</v>
      </c>
      <c r="G5113">
        <v>51.252145528793299</v>
      </c>
      <c r="H5113">
        <v>55</v>
      </c>
      <c r="I5113">
        <v>106</v>
      </c>
      <c r="J5113">
        <v>30</v>
      </c>
    </row>
    <row r="5114" spans="1:10" x14ac:dyDescent="0.25">
      <c r="A5114" t="s">
        <v>25</v>
      </c>
      <c r="B5114" t="s">
        <v>19</v>
      </c>
      <c r="C5114" t="s">
        <v>12</v>
      </c>
      <c r="D5114" t="s">
        <v>13</v>
      </c>
      <c r="E5114">
        <v>0.96712328767123201</v>
      </c>
      <c r="F5114">
        <v>0.97158455167470303</v>
      </c>
      <c r="G5114">
        <v>51.399967908859203</v>
      </c>
      <c r="H5114">
        <v>49</v>
      </c>
      <c r="I5114">
        <v>99</v>
      </c>
      <c r="J5114">
        <v>30</v>
      </c>
    </row>
    <row r="5115" spans="1:10" x14ac:dyDescent="0.25">
      <c r="A5115" t="s">
        <v>25</v>
      </c>
      <c r="B5115" t="s">
        <v>19</v>
      </c>
      <c r="C5115" t="s">
        <v>12</v>
      </c>
      <c r="D5115" t="s">
        <v>13</v>
      </c>
      <c r="E5115">
        <v>0.95616438356164302</v>
      </c>
      <c r="F5115">
        <v>0.96313339155926903</v>
      </c>
      <c r="G5115">
        <v>51.688869476318303</v>
      </c>
      <c r="H5115">
        <v>64</v>
      </c>
      <c r="I5115">
        <v>114</v>
      </c>
      <c r="J5115">
        <v>30</v>
      </c>
    </row>
    <row r="5116" spans="1:10" x14ac:dyDescent="0.25">
      <c r="A5116" t="s">
        <v>25</v>
      </c>
      <c r="B5116" t="s">
        <v>19</v>
      </c>
      <c r="C5116" t="s">
        <v>12</v>
      </c>
      <c r="D5116" t="s">
        <v>13</v>
      </c>
      <c r="E5116">
        <v>0.97351598173515896</v>
      </c>
      <c r="F5116">
        <v>0.97681887250292199</v>
      </c>
      <c r="G5116">
        <v>52.009754896163898</v>
      </c>
      <c r="H5116">
        <v>60</v>
      </c>
      <c r="I5116">
        <v>107</v>
      </c>
      <c r="J5116">
        <v>30</v>
      </c>
    </row>
    <row r="5117" spans="1:10" x14ac:dyDescent="0.25">
      <c r="A5117" t="s">
        <v>25</v>
      </c>
      <c r="B5117" t="s">
        <v>19</v>
      </c>
      <c r="C5117" t="s">
        <v>12</v>
      </c>
      <c r="D5117" t="s">
        <v>13</v>
      </c>
      <c r="E5117">
        <v>0.96712328767123201</v>
      </c>
      <c r="F5117">
        <v>0.97169700299972595</v>
      </c>
      <c r="G5117">
        <v>52.290321111678999</v>
      </c>
      <c r="H5117">
        <v>74</v>
      </c>
      <c r="I5117">
        <v>143</v>
      </c>
      <c r="J5117">
        <v>30</v>
      </c>
    </row>
    <row r="5118" spans="1:10" x14ac:dyDescent="0.25">
      <c r="A5118" t="s">
        <v>25</v>
      </c>
      <c r="B5118" t="s">
        <v>19</v>
      </c>
      <c r="C5118" t="s">
        <v>12</v>
      </c>
      <c r="D5118" t="s">
        <v>13</v>
      </c>
      <c r="E5118">
        <v>0.96894977168949703</v>
      </c>
      <c r="F5118">
        <v>0.97278402061707803</v>
      </c>
      <c r="G5118">
        <v>52.7390167713165</v>
      </c>
      <c r="H5118">
        <v>47</v>
      </c>
      <c r="I5118">
        <v>80</v>
      </c>
      <c r="J5118">
        <v>30</v>
      </c>
    </row>
    <row r="5119" spans="1:10" x14ac:dyDescent="0.25">
      <c r="A5119" t="s">
        <v>25</v>
      </c>
      <c r="B5119" t="s">
        <v>19</v>
      </c>
      <c r="C5119" t="s">
        <v>12</v>
      </c>
      <c r="D5119" t="s">
        <v>13</v>
      </c>
      <c r="E5119">
        <v>0.96347031963470298</v>
      </c>
      <c r="F5119">
        <v>0.96735447756246495</v>
      </c>
      <c r="G5119">
        <v>52.809006214141803</v>
      </c>
      <c r="H5119">
        <v>84</v>
      </c>
      <c r="I5119">
        <v>158</v>
      </c>
      <c r="J5119">
        <v>30</v>
      </c>
    </row>
    <row r="5120" spans="1:10" x14ac:dyDescent="0.25">
      <c r="A5120" t="s">
        <v>25</v>
      </c>
      <c r="B5120" t="s">
        <v>19</v>
      </c>
      <c r="C5120" t="s">
        <v>12</v>
      </c>
      <c r="D5120" t="s">
        <v>13</v>
      </c>
      <c r="E5120">
        <v>0.95616438356164302</v>
      </c>
      <c r="F5120">
        <v>0.96508507455908599</v>
      </c>
      <c r="G5120">
        <v>53.039016485214198</v>
      </c>
      <c r="H5120">
        <v>54</v>
      </c>
      <c r="I5120">
        <v>106</v>
      </c>
      <c r="J5120">
        <v>30</v>
      </c>
    </row>
    <row r="5121" spans="1:10" x14ac:dyDescent="0.25">
      <c r="A5121" t="s">
        <v>25</v>
      </c>
      <c r="B5121" t="s">
        <v>19</v>
      </c>
      <c r="C5121" t="s">
        <v>12</v>
      </c>
      <c r="D5121" t="s">
        <v>13</v>
      </c>
      <c r="E5121">
        <v>0.96712328767123201</v>
      </c>
      <c r="F5121">
        <v>0.97255333654566201</v>
      </c>
      <c r="G5121">
        <v>53.363076448440502</v>
      </c>
      <c r="H5121">
        <v>56</v>
      </c>
      <c r="I5121">
        <v>104</v>
      </c>
      <c r="J5121">
        <v>30</v>
      </c>
    </row>
    <row r="5122" spans="1:10" x14ac:dyDescent="0.25">
      <c r="A5122" t="s">
        <v>25</v>
      </c>
      <c r="B5122" t="s">
        <v>19</v>
      </c>
      <c r="C5122" t="s">
        <v>12</v>
      </c>
      <c r="D5122" t="s">
        <v>13</v>
      </c>
      <c r="E5122">
        <v>0.96438356164383499</v>
      </c>
      <c r="F5122">
        <v>0.97218579203031996</v>
      </c>
      <c r="G5122">
        <v>53.354475021362298</v>
      </c>
      <c r="H5122">
        <v>58</v>
      </c>
      <c r="I5122">
        <v>113</v>
      </c>
      <c r="J5122">
        <v>30</v>
      </c>
    </row>
    <row r="5123" spans="1:10" x14ac:dyDescent="0.25">
      <c r="A5123" t="s">
        <v>25</v>
      </c>
      <c r="B5123" t="s">
        <v>19</v>
      </c>
      <c r="C5123" t="s">
        <v>12</v>
      </c>
      <c r="D5123" t="s">
        <v>13</v>
      </c>
      <c r="E5123">
        <v>0.98082191780821903</v>
      </c>
      <c r="F5123">
        <v>0.98338442383954305</v>
      </c>
      <c r="G5123">
        <v>53.459845781326202</v>
      </c>
      <c r="H5123">
        <v>58</v>
      </c>
      <c r="I5123">
        <v>107</v>
      </c>
      <c r="J5123">
        <v>30</v>
      </c>
    </row>
    <row r="5124" spans="1:10" x14ac:dyDescent="0.25">
      <c r="A5124" t="s">
        <v>25</v>
      </c>
      <c r="B5124" t="s">
        <v>19</v>
      </c>
      <c r="C5124" t="s">
        <v>12</v>
      </c>
      <c r="D5124" t="s">
        <v>13</v>
      </c>
      <c r="E5124">
        <v>0.96803652968036502</v>
      </c>
      <c r="F5124">
        <v>0.97218204079251103</v>
      </c>
      <c r="G5124">
        <v>53.546474933624197</v>
      </c>
      <c r="H5124">
        <v>63</v>
      </c>
      <c r="I5124">
        <v>121</v>
      </c>
      <c r="J5124">
        <v>30</v>
      </c>
    </row>
    <row r="5125" spans="1:10" x14ac:dyDescent="0.25">
      <c r="A5125" t="s">
        <v>25</v>
      </c>
      <c r="B5125" t="s">
        <v>19</v>
      </c>
      <c r="C5125" t="s">
        <v>12</v>
      </c>
      <c r="D5125" t="s">
        <v>13</v>
      </c>
      <c r="E5125">
        <v>0.96986301369863004</v>
      </c>
      <c r="F5125">
        <v>0.97376365755753402</v>
      </c>
      <c r="G5125">
        <v>53.575605392455998</v>
      </c>
      <c r="H5125">
        <v>50</v>
      </c>
      <c r="I5125">
        <v>104</v>
      </c>
      <c r="J5125">
        <v>30</v>
      </c>
    </row>
    <row r="5126" spans="1:10" x14ac:dyDescent="0.25">
      <c r="A5126" t="s">
        <v>25</v>
      </c>
      <c r="B5126" t="s">
        <v>19</v>
      </c>
      <c r="C5126" t="s">
        <v>12</v>
      </c>
      <c r="D5126" t="s">
        <v>13</v>
      </c>
      <c r="E5126">
        <v>0.96255707762556997</v>
      </c>
      <c r="F5126">
        <v>0.96835992911534197</v>
      </c>
      <c r="G5126">
        <v>54.110275745391803</v>
      </c>
      <c r="H5126">
        <v>66</v>
      </c>
      <c r="I5126">
        <v>115</v>
      </c>
      <c r="J5126">
        <v>30</v>
      </c>
    </row>
    <row r="5127" spans="1:10" x14ac:dyDescent="0.25">
      <c r="A5127" t="s">
        <v>25</v>
      </c>
      <c r="B5127" t="s">
        <v>19</v>
      </c>
      <c r="C5127" t="s">
        <v>12</v>
      </c>
      <c r="D5127" t="s">
        <v>13</v>
      </c>
      <c r="E5127">
        <v>0.97168949771689495</v>
      </c>
      <c r="F5127">
        <v>0.97573366387488603</v>
      </c>
      <c r="G5127">
        <v>54.238109588622997</v>
      </c>
      <c r="H5127">
        <v>70</v>
      </c>
      <c r="I5127">
        <v>139</v>
      </c>
      <c r="J5127">
        <v>30</v>
      </c>
    </row>
    <row r="5128" spans="1:10" x14ac:dyDescent="0.25">
      <c r="A5128" t="s">
        <v>25</v>
      </c>
      <c r="B5128" t="s">
        <v>19</v>
      </c>
      <c r="C5128" t="s">
        <v>12</v>
      </c>
      <c r="D5128" t="s">
        <v>13</v>
      </c>
      <c r="E5128">
        <v>0.96894977168949703</v>
      </c>
      <c r="F5128">
        <v>0.971868325187489</v>
      </c>
      <c r="G5128">
        <v>54.4057164192199</v>
      </c>
      <c r="H5128">
        <v>52</v>
      </c>
      <c r="I5128">
        <v>97</v>
      </c>
      <c r="J5128">
        <v>30</v>
      </c>
    </row>
    <row r="5129" spans="1:10" x14ac:dyDescent="0.25">
      <c r="A5129" t="s">
        <v>25</v>
      </c>
      <c r="B5129" t="s">
        <v>19</v>
      </c>
      <c r="C5129" t="s">
        <v>12</v>
      </c>
      <c r="D5129" t="s">
        <v>13</v>
      </c>
      <c r="E5129">
        <v>0.96073059360730595</v>
      </c>
      <c r="F5129">
        <v>0.96792879876073001</v>
      </c>
      <c r="G5129">
        <v>54.4679083824157</v>
      </c>
      <c r="H5129">
        <v>57</v>
      </c>
      <c r="I5129">
        <v>119</v>
      </c>
      <c r="J5129">
        <v>30</v>
      </c>
    </row>
    <row r="5130" spans="1:10" x14ac:dyDescent="0.25">
      <c r="A5130" t="s">
        <v>25</v>
      </c>
      <c r="B5130" t="s">
        <v>19</v>
      </c>
      <c r="C5130" t="s">
        <v>12</v>
      </c>
      <c r="D5130" t="s">
        <v>13</v>
      </c>
      <c r="E5130">
        <v>0.97351598173515896</v>
      </c>
      <c r="F5130">
        <v>0.97633280703388103</v>
      </c>
      <c r="G5130">
        <v>54.551570415496798</v>
      </c>
      <c r="H5130">
        <v>60</v>
      </c>
      <c r="I5130">
        <v>116</v>
      </c>
      <c r="J5130">
        <v>30</v>
      </c>
    </row>
    <row r="5131" spans="1:10" x14ac:dyDescent="0.25">
      <c r="A5131" t="s">
        <v>25</v>
      </c>
      <c r="B5131" t="s">
        <v>19</v>
      </c>
      <c r="C5131" t="s">
        <v>12</v>
      </c>
      <c r="D5131" t="s">
        <v>13</v>
      </c>
      <c r="E5131">
        <v>0.97168949771689495</v>
      </c>
      <c r="F5131">
        <v>0.97542988043168899</v>
      </c>
      <c r="G5131">
        <v>54.703890085220301</v>
      </c>
      <c r="H5131">
        <v>57</v>
      </c>
      <c r="I5131">
        <v>106</v>
      </c>
      <c r="J5131">
        <v>30</v>
      </c>
    </row>
    <row r="5132" spans="1:10" x14ac:dyDescent="0.25">
      <c r="A5132" t="s">
        <v>25</v>
      </c>
      <c r="B5132" t="s">
        <v>19</v>
      </c>
      <c r="C5132" t="s">
        <v>12</v>
      </c>
      <c r="D5132" t="s">
        <v>14</v>
      </c>
      <c r="E5132">
        <v>0.90319634703196305</v>
      </c>
      <c r="F5132">
        <v>0.91162164297972703</v>
      </c>
      <c r="G5132">
        <v>30.580726385116499</v>
      </c>
      <c r="H5132">
        <v>15</v>
      </c>
      <c r="I5132">
        <v>15</v>
      </c>
      <c r="J5132">
        <v>30</v>
      </c>
    </row>
    <row r="5133" spans="1:10" x14ac:dyDescent="0.25">
      <c r="A5133" t="s">
        <v>25</v>
      </c>
      <c r="B5133" t="s">
        <v>19</v>
      </c>
      <c r="C5133" t="s">
        <v>12</v>
      </c>
      <c r="D5133" t="s">
        <v>14</v>
      </c>
      <c r="E5133">
        <v>0.92328767123287603</v>
      </c>
      <c r="F5133">
        <v>0.93024707518319705</v>
      </c>
      <c r="G5133">
        <v>31.724834680557201</v>
      </c>
      <c r="H5133">
        <v>16</v>
      </c>
      <c r="I5133">
        <v>16</v>
      </c>
      <c r="J5133">
        <v>30</v>
      </c>
    </row>
    <row r="5134" spans="1:10" x14ac:dyDescent="0.25">
      <c r="A5134" t="s">
        <v>25</v>
      </c>
      <c r="B5134" t="s">
        <v>19</v>
      </c>
      <c r="C5134" t="s">
        <v>12</v>
      </c>
      <c r="D5134" t="s">
        <v>14</v>
      </c>
      <c r="E5134">
        <v>0.92876712328767097</v>
      </c>
      <c r="F5134">
        <v>0.93520058041360699</v>
      </c>
      <c r="G5134">
        <v>32.712438821792603</v>
      </c>
      <c r="H5134">
        <v>17</v>
      </c>
      <c r="I5134">
        <v>17</v>
      </c>
      <c r="J5134">
        <v>30</v>
      </c>
    </row>
    <row r="5135" spans="1:10" x14ac:dyDescent="0.25">
      <c r="A5135" t="s">
        <v>25</v>
      </c>
      <c r="B5135" t="s">
        <v>19</v>
      </c>
      <c r="C5135" t="s">
        <v>12</v>
      </c>
      <c r="D5135" t="s">
        <v>14</v>
      </c>
      <c r="E5135">
        <v>0.90958904109589001</v>
      </c>
      <c r="F5135">
        <v>0.91896986139808101</v>
      </c>
      <c r="G5135">
        <v>32.889451026916497</v>
      </c>
      <c r="H5135">
        <v>16</v>
      </c>
      <c r="I5135">
        <v>16</v>
      </c>
      <c r="J5135">
        <v>30</v>
      </c>
    </row>
    <row r="5136" spans="1:10" x14ac:dyDescent="0.25">
      <c r="A5136" t="s">
        <v>25</v>
      </c>
      <c r="B5136" t="s">
        <v>19</v>
      </c>
      <c r="C5136" t="s">
        <v>12</v>
      </c>
      <c r="D5136" t="s">
        <v>14</v>
      </c>
      <c r="E5136">
        <v>0.90776255707762499</v>
      </c>
      <c r="F5136">
        <v>0.91586326889917802</v>
      </c>
      <c r="G5136">
        <v>33.386300802230799</v>
      </c>
      <c r="H5136">
        <v>17</v>
      </c>
      <c r="I5136">
        <v>17</v>
      </c>
      <c r="J5136">
        <v>30</v>
      </c>
    </row>
    <row r="5137" spans="1:10" x14ac:dyDescent="0.25">
      <c r="A5137" t="s">
        <v>25</v>
      </c>
      <c r="B5137" t="s">
        <v>19</v>
      </c>
      <c r="C5137" t="s">
        <v>12</v>
      </c>
      <c r="D5137" t="s">
        <v>14</v>
      </c>
      <c r="E5137">
        <v>0.91963470319634699</v>
      </c>
      <c r="F5137">
        <v>0.92565339988556905</v>
      </c>
      <c r="G5137">
        <v>33.796770095825103</v>
      </c>
      <c r="H5137">
        <v>19</v>
      </c>
      <c r="I5137">
        <v>19</v>
      </c>
      <c r="J5137">
        <v>30</v>
      </c>
    </row>
    <row r="5138" spans="1:10" x14ac:dyDescent="0.25">
      <c r="A5138" t="s">
        <v>25</v>
      </c>
      <c r="B5138" t="s">
        <v>19</v>
      </c>
      <c r="C5138" t="s">
        <v>12</v>
      </c>
      <c r="D5138" t="s">
        <v>14</v>
      </c>
      <c r="E5138">
        <v>0.92694063926940595</v>
      </c>
      <c r="F5138">
        <v>0.93164625900474896</v>
      </c>
      <c r="G5138">
        <v>33.967856168746899</v>
      </c>
      <c r="H5138">
        <v>17</v>
      </c>
      <c r="I5138">
        <v>17</v>
      </c>
      <c r="J5138">
        <v>30</v>
      </c>
    </row>
    <row r="5139" spans="1:10" x14ac:dyDescent="0.25">
      <c r="A5139" t="s">
        <v>25</v>
      </c>
      <c r="B5139" t="s">
        <v>19</v>
      </c>
      <c r="C5139" t="s">
        <v>12</v>
      </c>
      <c r="D5139" t="s">
        <v>14</v>
      </c>
      <c r="E5139">
        <v>0.91963470319634699</v>
      </c>
      <c r="F5139">
        <v>0.925854452015068</v>
      </c>
      <c r="G5139">
        <v>34.110738992690997</v>
      </c>
      <c r="H5139">
        <v>17</v>
      </c>
      <c r="I5139">
        <v>17</v>
      </c>
      <c r="J5139">
        <v>30</v>
      </c>
    </row>
    <row r="5140" spans="1:10" x14ac:dyDescent="0.25">
      <c r="A5140" t="s">
        <v>25</v>
      </c>
      <c r="B5140" t="s">
        <v>19</v>
      </c>
      <c r="C5140" t="s">
        <v>12</v>
      </c>
      <c r="D5140" t="s">
        <v>14</v>
      </c>
      <c r="E5140">
        <v>0.91963470319634699</v>
      </c>
      <c r="F5140">
        <v>0.92613597939287695</v>
      </c>
      <c r="G5140">
        <v>34.5444366931915</v>
      </c>
      <c r="H5140">
        <v>16</v>
      </c>
      <c r="I5140">
        <v>16</v>
      </c>
      <c r="J5140">
        <v>30</v>
      </c>
    </row>
    <row r="5141" spans="1:10" x14ac:dyDescent="0.25">
      <c r="A5141" t="s">
        <v>25</v>
      </c>
      <c r="B5141" t="s">
        <v>19</v>
      </c>
      <c r="C5141" t="s">
        <v>12</v>
      </c>
      <c r="D5141" t="s">
        <v>14</v>
      </c>
      <c r="E5141">
        <v>0.93242009132420001</v>
      </c>
      <c r="F5141">
        <v>0.93613957901187095</v>
      </c>
      <c r="G5141">
        <v>35.376812934875403</v>
      </c>
      <c r="H5141">
        <v>17</v>
      </c>
      <c r="I5141">
        <v>17</v>
      </c>
      <c r="J5141">
        <v>30</v>
      </c>
    </row>
    <row r="5142" spans="1:10" x14ac:dyDescent="0.25">
      <c r="A5142" t="s">
        <v>25</v>
      </c>
      <c r="B5142" t="s">
        <v>19</v>
      </c>
      <c r="C5142" t="s">
        <v>12</v>
      </c>
      <c r="D5142" t="s">
        <v>14</v>
      </c>
      <c r="E5142">
        <v>0.91232876712328703</v>
      </c>
      <c r="F5142">
        <v>0.92089296087305905</v>
      </c>
      <c r="G5142">
        <v>35.456641435623098</v>
      </c>
      <c r="H5142">
        <v>18</v>
      </c>
      <c r="I5142">
        <v>18</v>
      </c>
      <c r="J5142">
        <v>30</v>
      </c>
    </row>
    <row r="5143" spans="1:10" x14ac:dyDescent="0.25">
      <c r="A5143" t="s">
        <v>25</v>
      </c>
      <c r="B5143" t="s">
        <v>19</v>
      </c>
      <c r="C5143" t="s">
        <v>12</v>
      </c>
      <c r="D5143" t="s">
        <v>14</v>
      </c>
      <c r="E5143">
        <v>0.91780821917808197</v>
      </c>
      <c r="F5143">
        <v>0.92481870315999704</v>
      </c>
      <c r="G5143">
        <v>35.584985971450799</v>
      </c>
      <c r="H5143">
        <v>17</v>
      </c>
      <c r="I5143">
        <v>17</v>
      </c>
      <c r="J5143">
        <v>30</v>
      </c>
    </row>
    <row r="5144" spans="1:10" x14ac:dyDescent="0.25">
      <c r="A5144" t="s">
        <v>25</v>
      </c>
      <c r="B5144" t="s">
        <v>19</v>
      </c>
      <c r="C5144" t="s">
        <v>12</v>
      </c>
      <c r="D5144" t="s">
        <v>14</v>
      </c>
      <c r="E5144">
        <v>0.92511415525114105</v>
      </c>
      <c r="F5144">
        <v>0.93076316826684802</v>
      </c>
      <c r="G5144">
        <v>35.855225086212101</v>
      </c>
      <c r="H5144">
        <v>18</v>
      </c>
      <c r="I5144">
        <v>18</v>
      </c>
      <c r="J5144">
        <v>30</v>
      </c>
    </row>
    <row r="5145" spans="1:10" x14ac:dyDescent="0.25">
      <c r="A5145" t="s">
        <v>25</v>
      </c>
      <c r="B5145" t="s">
        <v>19</v>
      </c>
      <c r="C5145" t="s">
        <v>12</v>
      </c>
      <c r="D5145" t="s">
        <v>14</v>
      </c>
      <c r="E5145">
        <v>0.92146118721461101</v>
      </c>
      <c r="F5145">
        <v>0.92846773579799002</v>
      </c>
      <c r="G5145">
        <v>35.830601930618201</v>
      </c>
      <c r="H5145">
        <v>20</v>
      </c>
      <c r="I5145">
        <v>20</v>
      </c>
      <c r="J5145">
        <v>30</v>
      </c>
    </row>
    <row r="5146" spans="1:10" x14ac:dyDescent="0.25">
      <c r="A5146" t="s">
        <v>25</v>
      </c>
      <c r="B5146" t="s">
        <v>19</v>
      </c>
      <c r="C5146" t="s">
        <v>12</v>
      </c>
      <c r="D5146" t="s">
        <v>14</v>
      </c>
      <c r="E5146">
        <v>0.920547945205479</v>
      </c>
      <c r="F5146">
        <v>0.926820559548584</v>
      </c>
      <c r="G5146">
        <v>36.212732553481999</v>
      </c>
      <c r="H5146">
        <v>18</v>
      </c>
      <c r="I5146">
        <v>18</v>
      </c>
      <c r="J5146">
        <v>30</v>
      </c>
    </row>
    <row r="5147" spans="1:10" x14ac:dyDescent="0.25">
      <c r="A5147" t="s">
        <v>25</v>
      </c>
      <c r="B5147" t="s">
        <v>19</v>
      </c>
      <c r="C5147" t="s">
        <v>12</v>
      </c>
      <c r="D5147" t="s">
        <v>14</v>
      </c>
      <c r="E5147">
        <v>0.92694063926940595</v>
      </c>
      <c r="F5147">
        <v>0.93239754258292096</v>
      </c>
      <c r="G5147">
        <v>36.258150339126502</v>
      </c>
      <c r="H5147">
        <v>19</v>
      </c>
      <c r="I5147">
        <v>18</v>
      </c>
      <c r="J5147">
        <v>30</v>
      </c>
    </row>
    <row r="5148" spans="1:10" x14ac:dyDescent="0.25">
      <c r="A5148" t="s">
        <v>25</v>
      </c>
      <c r="B5148" t="s">
        <v>19</v>
      </c>
      <c r="C5148" t="s">
        <v>12</v>
      </c>
      <c r="D5148" t="s">
        <v>14</v>
      </c>
      <c r="E5148">
        <v>0.91232876712328703</v>
      </c>
      <c r="F5148">
        <v>0.91968721049041002</v>
      </c>
      <c r="G5148">
        <v>36.511053085327099</v>
      </c>
      <c r="H5148">
        <v>17</v>
      </c>
      <c r="I5148">
        <v>17</v>
      </c>
      <c r="J5148">
        <v>30</v>
      </c>
    </row>
    <row r="5149" spans="1:10" x14ac:dyDescent="0.25">
      <c r="A5149" t="s">
        <v>25</v>
      </c>
      <c r="B5149" t="s">
        <v>19</v>
      </c>
      <c r="C5149" t="s">
        <v>12</v>
      </c>
      <c r="D5149" t="s">
        <v>14</v>
      </c>
      <c r="E5149">
        <v>0.91872146118721398</v>
      </c>
      <c r="F5149">
        <v>0.924869116305022</v>
      </c>
      <c r="G5149">
        <v>36.637411594390798</v>
      </c>
      <c r="H5149">
        <v>17</v>
      </c>
      <c r="I5149">
        <v>17</v>
      </c>
      <c r="J5149">
        <v>30</v>
      </c>
    </row>
    <row r="5150" spans="1:10" x14ac:dyDescent="0.25">
      <c r="A5150" t="s">
        <v>25</v>
      </c>
      <c r="B5150" t="s">
        <v>19</v>
      </c>
      <c r="C5150" t="s">
        <v>12</v>
      </c>
      <c r="D5150" t="s">
        <v>14</v>
      </c>
      <c r="E5150">
        <v>0.92694063926940595</v>
      </c>
      <c r="F5150">
        <v>0.93131703085461204</v>
      </c>
      <c r="G5150">
        <v>36.839052200317298</v>
      </c>
      <c r="H5150">
        <v>18</v>
      </c>
      <c r="I5150">
        <v>18</v>
      </c>
      <c r="J5150">
        <v>30</v>
      </c>
    </row>
    <row r="5151" spans="1:10" x14ac:dyDescent="0.25">
      <c r="A5151" t="s">
        <v>25</v>
      </c>
      <c r="B5151" t="s">
        <v>19</v>
      </c>
      <c r="C5151" t="s">
        <v>12</v>
      </c>
      <c r="D5151" t="s">
        <v>14</v>
      </c>
      <c r="E5151">
        <v>0.92602739726027306</v>
      </c>
      <c r="F5151">
        <v>0.93106837361598305</v>
      </c>
      <c r="G5151">
        <v>36.825486660003598</v>
      </c>
      <c r="H5151">
        <v>17</v>
      </c>
      <c r="I5151">
        <v>17</v>
      </c>
      <c r="J5151">
        <v>30</v>
      </c>
    </row>
    <row r="5152" spans="1:10" x14ac:dyDescent="0.25">
      <c r="A5152" t="s">
        <v>25</v>
      </c>
      <c r="B5152" t="s">
        <v>19</v>
      </c>
      <c r="C5152" t="s">
        <v>12</v>
      </c>
      <c r="D5152" t="s">
        <v>14</v>
      </c>
      <c r="E5152">
        <v>0.92602739726027306</v>
      </c>
      <c r="F5152">
        <v>0.93218328592840105</v>
      </c>
      <c r="G5152">
        <v>36.852098464965799</v>
      </c>
      <c r="H5152">
        <v>18</v>
      </c>
      <c r="I5152">
        <v>18</v>
      </c>
      <c r="J5152">
        <v>30</v>
      </c>
    </row>
    <row r="5153" spans="1:10" x14ac:dyDescent="0.25">
      <c r="A5153" t="s">
        <v>25</v>
      </c>
      <c r="B5153" t="s">
        <v>19</v>
      </c>
      <c r="C5153" t="s">
        <v>12</v>
      </c>
      <c r="D5153" t="s">
        <v>14</v>
      </c>
      <c r="E5153">
        <v>0.91963470319634699</v>
      </c>
      <c r="F5153">
        <v>0.92534347988931398</v>
      </c>
      <c r="G5153">
        <v>37.023696422576897</v>
      </c>
      <c r="H5153">
        <v>16</v>
      </c>
      <c r="I5153">
        <v>16</v>
      </c>
      <c r="J5153">
        <v>30</v>
      </c>
    </row>
    <row r="5154" spans="1:10" x14ac:dyDescent="0.25">
      <c r="A5154" t="s">
        <v>25</v>
      </c>
      <c r="B5154" t="s">
        <v>19</v>
      </c>
      <c r="C5154" t="s">
        <v>12</v>
      </c>
      <c r="D5154" t="s">
        <v>14</v>
      </c>
      <c r="E5154">
        <v>0.91963470319634699</v>
      </c>
      <c r="F5154">
        <v>0.925708339823197</v>
      </c>
      <c r="G5154">
        <v>37.081908702850299</v>
      </c>
      <c r="H5154">
        <v>20</v>
      </c>
      <c r="I5154">
        <v>20</v>
      </c>
      <c r="J5154">
        <v>30</v>
      </c>
    </row>
    <row r="5155" spans="1:10" x14ac:dyDescent="0.25">
      <c r="A5155" t="s">
        <v>25</v>
      </c>
      <c r="B5155" t="s">
        <v>19</v>
      </c>
      <c r="C5155" t="s">
        <v>12</v>
      </c>
      <c r="D5155" t="s">
        <v>14</v>
      </c>
      <c r="E5155">
        <v>0.91689497716894897</v>
      </c>
      <c r="F5155">
        <v>0.92332035557470304</v>
      </c>
      <c r="G5155">
        <v>37.107988119125302</v>
      </c>
      <c r="H5155">
        <v>18</v>
      </c>
      <c r="I5155">
        <v>18</v>
      </c>
      <c r="J5155">
        <v>30</v>
      </c>
    </row>
    <row r="5156" spans="1:10" x14ac:dyDescent="0.25">
      <c r="A5156" t="s">
        <v>25</v>
      </c>
      <c r="B5156" t="s">
        <v>19</v>
      </c>
      <c r="C5156" t="s">
        <v>12</v>
      </c>
      <c r="D5156" t="s">
        <v>14</v>
      </c>
      <c r="E5156">
        <v>0.91415525114155205</v>
      </c>
      <c r="F5156">
        <v>0.92141707525232897</v>
      </c>
      <c r="G5156">
        <v>37.166874647140503</v>
      </c>
      <c r="H5156">
        <v>18</v>
      </c>
      <c r="I5156">
        <v>18</v>
      </c>
      <c r="J5156">
        <v>30</v>
      </c>
    </row>
    <row r="5157" spans="1:10" x14ac:dyDescent="0.25">
      <c r="A5157" t="s">
        <v>25</v>
      </c>
      <c r="B5157" t="s">
        <v>19</v>
      </c>
      <c r="C5157" t="s">
        <v>12</v>
      </c>
      <c r="D5157" t="s">
        <v>14</v>
      </c>
      <c r="E5157">
        <v>0.90958904109589001</v>
      </c>
      <c r="F5157">
        <v>0.91773752918146101</v>
      </c>
      <c r="G5157">
        <v>37.202525854110696</v>
      </c>
      <c r="H5157">
        <v>19</v>
      </c>
      <c r="I5157">
        <v>19</v>
      </c>
      <c r="J5157">
        <v>30</v>
      </c>
    </row>
    <row r="5158" spans="1:10" x14ac:dyDescent="0.25">
      <c r="A5158" t="s">
        <v>25</v>
      </c>
      <c r="B5158" t="s">
        <v>19</v>
      </c>
      <c r="C5158" t="s">
        <v>12</v>
      </c>
      <c r="D5158" t="s">
        <v>14</v>
      </c>
      <c r="E5158">
        <v>0.91872146118721398</v>
      </c>
      <c r="F5158">
        <v>0.92493318814474701</v>
      </c>
      <c r="G5158">
        <v>37.285289525985696</v>
      </c>
      <c r="H5158">
        <v>16</v>
      </c>
      <c r="I5158">
        <v>16</v>
      </c>
      <c r="J5158">
        <v>30</v>
      </c>
    </row>
    <row r="5159" spans="1:10" x14ac:dyDescent="0.25">
      <c r="A5159" t="s">
        <v>25</v>
      </c>
      <c r="B5159" t="s">
        <v>19</v>
      </c>
      <c r="C5159" t="s">
        <v>12</v>
      </c>
      <c r="D5159" t="s">
        <v>14</v>
      </c>
      <c r="E5159">
        <v>0.91506849315068495</v>
      </c>
      <c r="F5159">
        <v>0.92252359629260305</v>
      </c>
      <c r="G5159">
        <v>37.234100818633998</v>
      </c>
      <c r="H5159">
        <v>16</v>
      </c>
      <c r="I5159">
        <v>16</v>
      </c>
      <c r="J5159">
        <v>30</v>
      </c>
    </row>
    <row r="5160" spans="1:10" x14ac:dyDescent="0.25">
      <c r="A5160" t="s">
        <v>25</v>
      </c>
      <c r="B5160" t="s">
        <v>19</v>
      </c>
      <c r="C5160" t="s">
        <v>12</v>
      </c>
      <c r="D5160" t="s">
        <v>14</v>
      </c>
      <c r="E5160">
        <v>0.92420091324200904</v>
      </c>
      <c r="F5160">
        <v>0.930715052498995</v>
      </c>
      <c r="G5160">
        <v>37.332412719726499</v>
      </c>
      <c r="H5160">
        <v>18</v>
      </c>
      <c r="I5160">
        <v>18</v>
      </c>
      <c r="J5160">
        <v>30</v>
      </c>
    </row>
    <row r="5161" spans="1:10" x14ac:dyDescent="0.25">
      <c r="A5161" t="s">
        <v>25</v>
      </c>
      <c r="B5161" t="s">
        <v>19</v>
      </c>
      <c r="C5161" t="s">
        <v>12</v>
      </c>
      <c r="D5161" t="s">
        <v>14</v>
      </c>
      <c r="E5161">
        <v>0.90958904109589001</v>
      </c>
      <c r="F5161">
        <v>0.91781047190867704</v>
      </c>
      <c r="G5161">
        <v>37.330886840820298</v>
      </c>
      <c r="H5161">
        <v>17</v>
      </c>
      <c r="I5161">
        <v>17</v>
      </c>
      <c r="J5161">
        <v>30</v>
      </c>
    </row>
    <row r="5162" spans="1:10" x14ac:dyDescent="0.25">
      <c r="A5162" t="s">
        <v>25</v>
      </c>
      <c r="B5162" t="s">
        <v>19</v>
      </c>
      <c r="C5162" t="s">
        <v>12</v>
      </c>
      <c r="D5162" t="s">
        <v>15</v>
      </c>
      <c r="E5162">
        <v>0</v>
      </c>
      <c r="F5162">
        <v>0.75</v>
      </c>
      <c r="G5162">
        <v>20.4062497615814</v>
      </c>
      <c r="H5162">
        <v>0</v>
      </c>
      <c r="I5162">
        <v>0</v>
      </c>
      <c r="J5162">
        <v>30</v>
      </c>
    </row>
    <row r="5163" spans="1:10" x14ac:dyDescent="0.25">
      <c r="A5163" t="s">
        <v>25</v>
      </c>
      <c r="B5163" t="s">
        <v>19</v>
      </c>
      <c r="C5163" t="s">
        <v>12</v>
      </c>
      <c r="D5163" t="s">
        <v>15</v>
      </c>
      <c r="E5163">
        <v>0</v>
      </c>
      <c r="F5163">
        <v>0.75</v>
      </c>
      <c r="G5163">
        <v>25.736747980117698</v>
      </c>
      <c r="H5163">
        <v>2</v>
      </c>
      <c r="I5163">
        <v>13</v>
      </c>
      <c r="J5163">
        <v>30</v>
      </c>
    </row>
    <row r="5164" spans="1:10" x14ac:dyDescent="0.25">
      <c r="A5164" t="s">
        <v>25</v>
      </c>
      <c r="B5164" t="s">
        <v>19</v>
      </c>
      <c r="C5164" t="s">
        <v>12</v>
      </c>
      <c r="D5164" t="s">
        <v>15</v>
      </c>
      <c r="E5164">
        <v>0</v>
      </c>
      <c r="F5164">
        <v>0.75</v>
      </c>
      <c r="G5164">
        <v>30.716571569442699</v>
      </c>
      <c r="H5164">
        <v>0</v>
      </c>
      <c r="I5164">
        <v>0</v>
      </c>
      <c r="J5164">
        <v>30</v>
      </c>
    </row>
    <row r="5165" spans="1:10" x14ac:dyDescent="0.25">
      <c r="A5165" t="s">
        <v>25</v>
      </c>
      <c r="B5165" t="s">
        <v>19</v>
      </c>
      <c r="C5165" t="s">
        <v>12</v>
      </c>
      <c r="D5165" t="s">
        <v>15</v>
      </c>
      <c r="E5165">
        <v>9.1324200913241995E-4</v>
      </c>
      <c r="F5165">
        <v>0.75004337899543305</v>
      </c>
      <c r="G5165">
        <v>31.019624710083001</v>
      </c>
      <c r="H5165">
        <v>1</v>
      </c>
      <c r="I5165">
        <v>3</v>
      </c>
      <c r="J5165">
        <v>30</v>
      </c>
    </row>
    <row r="5166" spans="1:10" x14ac:dyDescent="0.25">
      <c r="A5166" t="s">
        <v>25</v>
      </c>
      <c r="B5166" t="s">
        <v>19</v>
      </c>
      <c r="C5166" t="s">
        <v>12</v>
      </c>
      <c r="D5166" t="s">
        <v>15</v>
      </c>
      <c r="E5166">
        <v>0</v>
      </c>
      <c r="F5166">
        <v>0.75</v>
      </c>
      <c r="G5166">
        <v>42.926956415176299</v>
      </c>
      <c r="H5166">
        <v>0</v>
      </c>
      <c r="I5166">
        <v>0</v>
      </c>
      <c r="J5166">
        <v>30</v>
      </c>
    </row>
    <row r="5167" spans="1:10" x14ac:dyDescent="0.25">
      <c r="A5167" t="s">
        <v>25</v>
      </c>
      <c r="B5167" t="s">
        <v>19</v>
      </c>
      <c r="C5167" t="s">
        <v>12</v>
      </c>
      <c r="D5167" t="s">
        <v>15</v>
      </c>
      <c r="E5167">
        <v>0</v>
      </c>
      <c r="F5167">
        <v>0.75</v>
      </c>
      <c r="G5167">
        <v>42.995081186294499</v>
      </c>
      <c r="H5167">
        <v>1</v>
      </c>
      <c r="I5167">
        <v>3</v>
      </c>
      <c r="J5167">
        <v>30</v>
      </c>
    </row>
    <row r="5168" spans="1:10" x14ac:dyDescent="0.25">
      <c r="A5168" t="s">
        <v>25</v>
      </c>
      <c r="B5168" t="s">
        <v>19</v>
      </c>
      <c r="C5168" t="s">
        <v>12</v>
      </c>
      <c r="D5168" t="s">
        <v>15</v>
      </c>
      <c r="E5168">
        <v>0</v>
      </c>
      <c r="F5168">
        <v>0.75</v>
      </c>
      <c r="G5168">
        <v>49.413354396819997</v>
      </c>
      <c r="H5168">
        <v>0</v>
      </c>
      <c r="I5168">
        <v>0</v>
      </c>
      <c r="J5168">
        <v>30</v>
      </c>
    </row>
    <row r="5169" spans="1:10" x14ac:dyDescent="0.25">
      <c r="A5169" t="s">
        <v>25</v>
      </c>
      <c r="B5169" t="s">
        <v>19</v>
      </c>
      <c r="C5169" t="s">
        <v>12</v>
      </c>
      <c r="D5169" t="s">
        <v>15</v>
      </c>
      <c r="E5169">
        <v>0</v>
      </c>
      <c r="F5169">
        <v>0.75</v>
      </c>
      <c r="G5169">
        <v>54.947311401367102</v>
      </c>
      <c r="H5169">
        <v>0</v>
      </c>
      <c r="I5169">
        <v>0</v>
      </c>
      <c r="J5169">
        <v>30</v>
      </c>
    </row>
    <row r="5170" spans="1:10" x14ac:dyDescent="0.25">
      <c r="A5170" t="s">
        <v>25</v>
      </c>
      <c r="B5170" t="s">
        <v>19</v>
      </c>
      <c r="C5170" t="s">
        <v>12</v>
      </c>
      <c r="D5170" t="s">
        <v>15</v>
      </c>
      <c r="E5170">
        <v>0</v>
      </c>
      <c r="F5170">
        <v>0.75</v>
      </c>
      <c r="G5170">
        <v>59.783281326293903</v>
      </c>
      <c r="H5170">
        <v>0</v>
      </c>
      <c r="I5170">
        <v>0</v>
      </c>
      <c r="J5170">
        <v>30</v>
      </c>
    </row>
    <row r="5171" spans="1:10" x14ac:dyDescent="0.25">
      <c r="A5171" t="s">
        <v>25</v>
      </c>
      <c r="B5171" t="s">
        <v>19</v>
      </c>
      <c r="C5171" t="s">
        <v>12</v>
      </c>
      <c r="D5171" t="s">
        <v>15</v>
      </c>
      <c r="E5171">
        <v>0</v>
      </c>
      <c r="F5171">
        <v>0.75</v>
      </c>
      <c r="G5171">
        <v>60.143473625183098</v>
      </c>
      <c r="H5171">
        <v>0</v>
      </c>
      <c r="I5171">
        <v>0</v>
      </c>
      <c r="J5171">
        <v>30</v>
      </c>
    </row>
    <row r="5172" spans="1:10" x14ac:dyDescent="0.25">
      <c r="A5172" t="s">
        <v>25</v>
      </c>
      <c r="B5172" t="s">
        <v>19</v>
      </c>
      <c r="C5172" t="s">
        <v>12</v>
      </c>
      <c r="D5172" t="s">
        <v>15</v>
      </c>
      <c r="E5172">
        <v>0</v>
      </c>
      <c r="F5172">
        <v>0.75</v>
      </c>
      <c r="G5172">
        <v>60.589266061782801</v>
      </c>
      <c r="H5172">
        <v>0</v>
      </c>
      <c r="I5172">
        <v>0</v>
      </c>
      <c r="J5172">
        <v>30</v>
      </c>
    </row>
    <row r="5173" spans="1:10" x14ac:dyDescent="0.25">
      <c r="A5173" t="s">
        <v>25</v>
      </c>
      <c r="B5173" t="s">
        <v>19</v>
      </c>
      <c r="C5173" t="s">
        <v>12</v>
      </c>
      <c r="D5173" t="s">
        <v>15</v>
      </c>
      <c r="E5173">
        <v>0</v>
      </c>
      <c r="F5173">
        <v>0.75</v>
      </c>
      <c r="G5173">
        <v>62.154384613037102</v>
      </c>
      <c r="H5173">
        <v>0</v>
      </c>
      <c r="I5173">
        <v>0</v>
      </c>
      <c r="J5173">
        <v>30</v>
      </c>
    </row>
    <row r="5174" spans="1:10" x14ac:dyDescent="0.25">
      <c r="A5174" t="s">
        <v>25</v>
      </c>
      <c r="B5174" t="s">
        <v>19</v>
      </c>
      <c r="C5174" t="s">
        <v>12</v>
      </c>
      <c r="D5174" t="s">
        <v>15</v>
      </c>
      <c r="E5174">
        <v>0</v>
      </c>
      <c r="F5174">
        <v>0.75</v>
      </c>
      <c r="G5174">
        <v>66.053352117538395</v>
      </c>
      <c r="H5174">
        <v>0</v>
      </c>
      <c r="I5174">
        <v>0</v>
      </c>
      <c r="J5174">
        <v>30</v>
      </c>
    </row>
    <row r="5175" spans="1:10" x14ac:dyDescent="0.25">
      <c r="A5175" t="s">
        <v>25</v>
      </c>
      <c r="B5175" t="s">
        <v>19</v>
      </c>
      <c r="C5175" t="s">
        <v>12</v>
      </c>
      <c r="D5175" t="s">
        <v>15</v>
      </c>
      <c r="E5175">
        <v>0</v>
      </c>
      <c r="F5175">
        <v>0.75</v>
      </c>
      <c r="G5175">
        <v>66.588881254196096</v>
      </c>
      <c r="H5175">
        <v>0</v>
      </c>
      <c r="I5175">
        <v>0</v>
      </c>
      <c r="J5175">
        <v>30</v>
      </c>
    </row>
    <row r="5176" spans="1:10" x14ac:dyDescent="0.25">
      <c r="A5176" t="s">
        <v>25</v>
      </c>
      <c r="B5176" t="s">
        <v>19</v>
      </c>
      <c r="C5176" t="s">
        <v>12</v>
      </c>
      <c r="D5176" t="s">
        <v>15</v>
      </c>
      <c r="E5176">
        <v>0</v>
      </c>
      <c r="F5176">
        <v>0.75</v>
      </c>
      <c r="G5176">
        <v>66.797879457473698</v>
      </c>
      <c r="H5176">
        <v>0</v>
      </c>
      <c r="I5176">
        <v>0</v>
      </c>
      <c r="J5176">
        <v>30</v>
      </c>
    </row>
    <row r="5177" spans="1:10" x14ac:dyDescent="0.25">
      <c r="A5177" t="s">
        <v>25</v>
      </c>
      <c r="B5177" t="s">
        <v>19</v>
      </c>
      <c r="C5177" t="s">
        <v>12</v>
      </c>
      <c r="D5177" t="s">
        <v>15</v>
      </c>
      <c r="E5177">
        <v>0</v>
      </c>
      <c r="F5177">
        <v>0.75</v>
      </c>
      <c r="G5177">
        <v>67.459101200103703</v>
      </c>
      <c r="H5177">
        <v>0</v>
      </c>
      <c r="I5177">
        <v>0</v>
      </c>
      <c r="J5177">
        <v>30</v>
      </c>
    </row>
    <row r="5178" spans="1:10" x14ac:dyDescent="0.25">
      <c r="A5178" t="s">
        <v>25</v>
      </c>
      <c r="B5178" t="s">
        <v>19</v>
      </c>
      <c r="C5178" t="s">
        <v>12</v>
      </c>
      <c r="D5178" t="s">
        <v>15</v>
      </c>
      <c r="E5178">
        <v>0</v>
      </c>
      <c r="F5178">
        <v>0.75</v>
      </c>
      <c r="G5178">
        <v>67.612016916274996</v>
      </c>
      <c r="H5178">
        <v>0</v>
      </c>
      <c r="I5178">
        <v>0</v>
      </c>
      <c r="J5178">
        <v>30</v>
      </c>
    </row>
    <row r="5179" spans="1:10" x14ac:dyDescent="0.25">
      <c r="A5179" t="s">
        <v>25</v>
      </c>
      <c r="B5179" t="s">
        <v>19</v>
      </c>
      <c r="C5179" t="s">
        <v>12</v>
      </c>
      <c r="D5179" t="s">
        <v>15</v>
      </c>
      <c r="E5179">
        <v>0</v>
      </c>
      <c r="F5179">
        <v>0.75</v>
      </c>
      <c r="G5179">
        <v>68.602802038192706</v>
      </c>
      <c r="H5179">
        <v>0</v>
      </c>
      <c r="I5179">
        <v>0</v>
      </c>
      <c r="J5179">
        <v>30</v>
      </c>
    </row>
    <row r="5180" spans="1:10" x14ac:dyDescent="0.25">
      <c r="A5180" t="s">
        <v>25</v>
      </c>
      <c r="B5180" t="s">
        <v>19</v>
      </c>
      <c r="C5180" t="s">
        <v>12</v>
      </c>
      <c r="D5180" t="s">
        <v>15</v>
      </c>
      <c r="E5180">
        <v>0</v>
      </c>
      <c r="F5180">
        <v>0.75</v>
      </c>
      <c r="G5180">
        <v>71.525046348571706</v>
      </c>
      <c r="H5180">
        <v>0</v>
      </c>
      <c r="I5180">
        <v>0</v>
      </c>
      <c r="J5180">
        <v>30</v>
      </c>
    </row>
    <row r="5181" spans="1:10" x14ac:dyDescent="0.25">
      <c r="A5181" t="s">
        <v>25</v>
      </c>
      <c r="B5181" t="s">
        <v>19</v>
      </c>
      <c r="C5181" t="s">
        <v>12</v>
      </c>
      <c r="D5181" t="s">
        <v>15</v>
      </c>
      <c r="E5181">
        <v>0</v>
      </c>
      <c r="F5181">
        <v>0.75</v>
      </c>
      <c r="G5181">
        <v>72.218308925628605</v>
      </c>
      <c r="H5181">
        <v>0</v>
      </c>
      <c r="I5181">
        <v>0</v>
      </c>
      <c r="J5181">
        <v>30</v>
      </c>
    </row>
    <row r="5182" spans="1:10" x14ac:dyDescent="0.25">
      <c r="A5182" t="s">
        <v>25</v>
      </c>
      <c r="B5182" t="s">
        <v>19</v>
      </c>
      <c r="C5182" t="s">
        <v>12</v>
      </c>
      <c r="D5182" t="s">
        <v>15</v>
      </c>
      <c r="E5182">
        <v>0</v>
      </c>
      <c r="F5182">
        <v>0.75</v>
      </c>
      <c r="G5182">
        <v>72.879984378814697</v>
      </c>
      <c r="H5182">
        <v>0</v>
      </c>
      <c r="I5182">
        <v>0</v>
      </c>
      <c r="J5182">
        <v>30</v>
      </c>
    </row>
    <row r="5183" spans="1:10" x14ac:dyDescent="0.25">
      <c r="A5183" t="s">
        <v>25</v>
      </c>
      <c r="B5183" t="s">
        <v>19</v>
      </c>
      <c r="C5183" t="s">
        <v>12</v>
      </c>
      <c r="D5183" t="s">
        <v>15</v>
      </c>
      <c r="E5183">
        <v>0</v>
      </c>
      <c r="F5183">
        <v>0.75</v>
      </c>
      <c r="G5183">
        <v>73.527209043502793</v>
      </c>
      <c r="H5183">
        <v>0</v>
      </c>
      <c r="I5183">
        <v>0</v>
      </c>
      <c r="J5183">
        <v>30</v>
      </c>
    </row>
    <row r="5184" spans="1:10" x14ac:dyDescent="0.25">
      <c r="A5184" t="s">
        <v>25</v>
      </c>
      <c r="B5184" t="s">
        <v>19</v>
      </c>
      <c r="C5184" t="s">
        <v>12</v>
      </c>
      <c r="D5184" t="s">
        <v>15</v>
      </c>
      <c r="E5184">
        <v>0</v>
      </c>
      <c r="F5184">
        <v>0.75</v>
      </c>
      <c r="G5184">
        <v>75.047904253005896</v>
      </c>
      <c r="H5184">
        <v>0</v>
      </c>
      <c r="I5184">
        <v>0</v>
      </c>
      <c r="J5184">
        <v>30</v>
      </c>
    </row>
    <row r="5185" spans="1:10" x14ac:dyDescent="0.25">
      <c r="A5185" t="s">
        <v>25</v>
      </c>
      <c r="B5185" t="s">
        <v>19</v>
      </c>
      <c r="C5185" t="s">
        <v>12</v>
      </c>
      <c r="D5185" t="s">
        <v>15</v>
      </c>
      <c r="E5185">
        <v>0</v>
      </c>
      <c r="F5185">
        <v>0.75</v>
      </c>
      <c r="G5185">
        <v>76.090167284011798</v>
      </c>
      <c r="H5185">
        <v>0</v>
      </c>
      <c r="I5185">
        <v>0</v>
      </c>
      <c r="J5185">
        <v>30</v>
      </c>
    </row>
    <row r="5186" spans="1:10" x14ac:dyDescent="0.25">
      <c r="A5186" t="s">
        <v>25</v>
      </c>
      <c r="B5186" t="s">
        <v>19</v>
      </c>
      <c r="C5186" t="s">
        <v>12</v>
      </c>
      <c r="D5186" t="s">
        <v>15</v>
      </c>
      <c r="E5186">
        <v>0</v>
      </c>
      <c r="F5186">
        <v>0.75</v>
      </c>
      <c r="G5186">
        <v>76.399167060851994</v>
      </c>
      <c r="H5186">
        <v>0</v>
      </c>
      <c r="I5186">
        <v>0</v>
      </c>
      <c r="J5186">
        <v>30</v>
      </c>
    </row>
    <row r="5187" spans="1:10" x14ac:dyDescent="0.25">
      <c r="A5187" t="s">
        <v>25</v>
      </c>
      <c r="B5187" t="s">
        <v>19</v>
      </c>
      <c r="C5187" t="s">
        <v>12</v>
      </c>
      <c r="D5187" t="s">
        <v>15</v>
      </c>
      <c r="E5187">
        <v>0</v>
      </c>
      <c r="F5187">
        <v>0.75</v>
      </c>
      <c r="G5187">
        <v>77.333484172821002</v>
      </c>
      <c r="H5187">
        <v>0</v>
      </c>
      <c r="I5187">
        <v>0</v>
      </c>
      <c r="J5187">
        <v>30</v>
      </c>
    </row>
    <row r="5188" spans="1:10" x14ac:dyDescent="0.25">
      <c r="A5188" t="s">
        <v>25</v>
      </c>
      <c r="B5188" t="s">
        <v>19</v>
      </c>
      <c r="C5188" t="s">
        <v>12</v>
      </c>
      <c r="D5188" t="s">
        <v>15</v>
      </c>
      <c r="E5188">
        <v>0</v>
      </c>
      <c r="F5188">
        <v>0.75</v>
      </c>
      <c r="G5188">
        <v>77.519039630889793</v>
      </c>
      <c r="H5188">
        <v>0</v>
      </c>
      <c r="I5188">
        <v>0</v>
      </c>
      <c r="J5188">
        <v>30</v>
      </c>
    </row>
    <row r="5189" spans="1:10" x14ac:dyDescent="0.25">
      <c r="A5189" t="s">
        <v>25</v>
      </c>
      <c r="B5189" t="s">
        <v>19</v>
      </c>
      <c r="C5189" t="s">
        <v>12</v>
      </c>
      <c r="D5189" t="s">
        <v>15</v>
      </c>
      <c r="E5189">
        <v>0</v>
      </c>
      <c r="F5189">
        <v>0.75</v>
      </c>
      <c r="G5189">
        <v>79.009693861007605</v>
      </c>
      <c r="H5189">
        <v>0</v>
      </c>
      <c r="I5189">
        <v>0</v>
      </c>
      <c r="J5189">
        <v>30</v>
      </c>
    </row>
    <row r="5190" spans="1:10" x14ac:dyDescent="0.25">
      <c r="A5190" t="s">
        <v>25</v>
      </c>
      <c r="B5190" t="s">
        <v>19</v>
      </c>
      <c r="C5190" t="s">
        <v>12</v>
      </c>
      <c r="D5190" t="s">
        <v>15</v>
      </c>
      <c r="E5190">
        <v>0</v>
      </c>
      <c r="F5190">
        <v>0.75</v>
      </c>
      <c r="G5190">
        <v>79.132535696029606</v>
      </c>
      <c r="H5190">
        <v>1</v>
      </c>
      <c r="I5190">
        <v>6</v>
      </c>
      <c r="J5190">
        <v>30</v>
      </c>
    </row>
    <row r="5191" spans="1:10" x14ac:dyDescent="0.25">
      <c r="A5191" t="s">
        <v>25</v>
      </c>
      <c r="B5191" t="s">
        <v>19</v>
      </c>
      <c r="C5191" t="s">
        <v>12</v>
      </c>
      <c r="D5191" t="s">
        <v>15</v>
      </c>
      <c r="E5191">
        <v>0</v>
      </c>
      <c r="F5191">
        <v>0.75</v>
      </c>
      <c r="G5191">
        <v>79.154539108276296</v>
      </c>
      <c r="H5191">
        <v>0</v>
      </c>
      <c r="I5191">
        <v>0</v>
      </c>
      <c r="J5191">
        <v>30</v>
      </c>
    </row>
    <row r="5192" spans="1:10" x14ac:dyDescent="0.25">
      <c r="A5192" t="s">
        <v>25</v>
      </c>
      <c r="B5192" t="s">
        <v>19</v>
      </c>
      <c r="C5192" t="s">
        <v>12</v>
      </c>
      <c r="D5192" t="s">
        <v>16</v>
      </c>
      <c r="E5192">
        <v>0</v>
      </c>
      <c r="F5192">
        <v>0.75</v>
      </c>
      <c r="G5192">
        <v>0.15363955497741699</v>
      </c>
      <c r="H5192">
        <v>0</v>
      </c>
      <c r="I5192">
        <v>0</v>
      </c>
      <c r="J5192">
        <v>30</v>
      </c>
    </row>
    <row r="5193" spans="1:10" x14ac:dyDescent="0.25">
      <c r="A5193" t="s">
        <v>25</v>
      </c>
      <c r="B5193" t="s">
        <v>19</v>
      </c>
      <c r="C5193" t="s">
        <v>12</v>
      </c>
      <c r="D5193" t="s">
        <v>16</v>
      </c>
      <c r="E5193">
        <v>0</v>
      </c>
      <c r="F5193">
        <v>0.75</v>
      </c>
      <c r="G5193">
        <v>0.16769742965698201</v>
      </c>
      <c r="H5193">
        <v>0</v>
      </c>
      <c r="I5193">
        <v>0</v>
      </c>
      <c r="J5193">
        <v>30</v>
      </c>
    </row>
    <row r="5194" spans="1:10" x14ac:dyDescent="0.25">
      <c r="A5194" t="s">
        <v>25</v>
      </c>
      <c r="B5194" t="s">
        <v>19</v>
      </c>
      <c r="C5194" t="s">
        <v>12</v>
      </c>
      <c r="D5194" t="s">
        <v>16</v>
      </c>
      <c r="E5194">
        <v>0</v>
      </c>
      <c r="F5194">
        <v>0.75</v>
      </c>
      <c r="G5194">
        <v>0.17120051383972101</v>
      </c>
      <c r="H5194">
        <v>0</v>
      </c>
      <c r="I5194">
        <v>0</v>
      </c>
      <c r="J5194">
        <v>30</v>
      </c>
    </row>
    <row r="5195" spans="1:10" x14ac:dyDescent="0.25">
      <c r="A5195" t="s">
        <v>25</v>
      </c>
      <c r="B5195" t="s">
        <v>19</v>
      </c>
      <c r="C5195" t="s">
        <v>12</v>
      </c>
      <c r="D5195" t="s">
        <v>16</v>
      </c>
      <c r="E5195">
        <v>0</v>
      </c>
      <c r="F5195">
        <v>0.75</v>
      </c>
      <c r="G5195">
        <v>0.16112089157104401</v>
      </c>
      <c r="H5195">
        <v>0</v>
      </c>
      <c r="I5195">
        <v>0</v>
      </c>
      <c r="J5195">
        <v>30</v>
      </c>
    </row>
    <row r="5196" spans="1:10" x14ac:dyDescent="0.25">
      <c r="A5196" t="s">
        <v>25</v>
      </c>
      <c r="B5196" t="s">
        <v>19</v>
      </c>
      <c r="C5196" t="s">
        <v>12</v>
      </c>
      <c r="D5196" t="s">
        <v>16</v>
      </c>
      <c r="E5196">
        <v>0</v>
      </c>
      <c r="F5196">
        <v>0.75</v>
      </c>
      <c r="G5196">
        <v>0.166688442230224</v>
      </c>
      <c r="H5196">
        <v>0</v>
      </c>
      <c r="I5196">
        <v>0</v>
      </c>
      <c r="J5196">
        <v>30</v>
      </c>
    </row>
    <row r="5197" spans="1:10" x14ac:dyDescent="0.25">
      <c r="A5197" t="s">
        <v>25</v>
      </c>
      <c r="B5197" t="s">
        <v>19</v>
      </c>
      <c r="C5197" t="s">
        <v>12</v>
      </c>
      <c r="D5197" t="s">
        <v>16</v>
      </c>
      <c r="E5197">
        <v>0</v>
      </c>
      <c r="F5197">
        <v>0.75</v>
      </c>
      <c r="G5197">
        <v>0.17468833923339799</v>
      </c>
      <c r="H5197">
        <v>0</v>
      </c>
      <c r="I5197">
        <v>0</v>
      </c>
      <c r="J5197">
        <v>30</v>
      </c>
    </row>
    <row r="5198" spans="1:10" x14ac:dyDescent="0.25">
      <c r="A5198" t="s">
        <v>25</v>
      </c>
      <c r="B5198" t="s">
        <v>19</v>
      </c>
      <c r="C5198" t="s">
        <v>12</v>
      </c>
      <c r="D5198" t="s">
        <v>16</v>
      </c>
      <c r="E5198">
        <v>0</v>
      </c>
      <c r="F5198">
        <v>0.75</v>
      </c>
      <c r="G5198">
        <v>0.20027256011962799</v>
      </c>
      <c r="H5198">
        <v>0</v>
      </c>
      <c r="I5198">
        <v>0</v>
      </c>
      <c r="J5198">
        <v>30</v>
      </c>
    </row>
    <row r="5199" spans="1:10" x14ac:dyDescent="0.25">
      <c r="A5199" t="s">
        <v>25</v>
      </c>
      <c r="B5199" t="s">
        <v>19</v>
      </c>
      <c r="C5199" t="s">
        <v>12</v>
      </c>
      <c r="D5199" t="s">
        <v>16</v>
      </c>
      <c r="E5199">
        <v>0</v>
      </c>
      <c r="F5199">
        <v>0.75</v>
      </c>
      <c r="G5199">
        <v>0.1626877784729</v>
      </c>
      <c r="H5199">
        <v>0</v>
      </c>
      <c r="I5199">
        <v>0</v>
      </c>
      <c r="J5199">
        <v>30</v>
      </c>
    </row>
    <row r="5200" spans="1:10" x14ac:dyDescent="0.25">
      <c r="A5200" t="s">
        <v>25</v>
      </c>
      <c r="B5200" t="s">
        <v>19</v>
      </c>
      <c r="C5200" t="s">
        <v>12</v>
      </c>
      <c r="D5200" t="s">
        <v>16</v>
      </c>
      <c r="E5200">
        <v>0</v>
      </c>
      <c r="F5200">
        <v>0.75</v>
      </c>
      <c r="G5200">
        <v>0.18921542167663499</v>
      </c>
      <c r="H5200">
        <v>0</v>
      </c>
      <c r="I5200">
        <v>0</v>
      </c>
      <c r="J5200">
        <v>30</v>
      </c>
    </row>
    <row r="5201" spans="1:10" x14ac:dyDescent="0.25">
      <c r="A5201" t="s">
        <v>25</v>
      </c>
      <c r="B5201" t="s">
        <v>19</v>
      </c>
      <c r="C5201" t="s">
        <v>12</v>
      </c>
      <c r="D5201" t="s">
        <v>16</v>
      </c>
      <c r="E5201">
        <v>0</v>
      </c>
      <c r="F5201">
        <v>0.75</v>
      </c>
      <c r="G5201">
        <v>0.14106011390685999</v>
      </c>
      <c r="H5201">
        <v>0</v>
      </c>
      <c r="I5201">
        <v>0</v>
      </c>
      <c r="J5201">
        <v>30</v>
      </c>
    </row>
    <row r="5202" spans="1:10" x14ac:dyDescent="0.25">
      <c r="A5202" t="s">
        <v>25</v>
      </c>
      <c r="B5202" t="s">
        <v>19</v>
      </c>
      <c r="C5202" t="s">
        <v>12</v>
      </c>
      <c r="D5202" t="s">
        <v>16</v>
      </c>
      <c r="E5202">
        <v>0</v>
      </c>
      <c r="F5202">
        <v>0.75</v>
      </c>
      <c r="G5202">
        <v>0.15712571144104001</v>
      </c>
      <c r="H5202">
        <v>0</v>
      </c>
      <c r="I5202">
        <v>0</v>
      </c>
      <c r="J5202">
        <v>30</v>
      </c>
    </row>
    <row r="5203" spans="1:10" x14ac:dyDescent="0.25">
      <c r="A5203" t="s">
        <v>25</v>
      </c>
      <c r="B5203" t="s">
        <v>19</v>
      </c>
      <c r="C5203" t="s">
        <v>12</v>
      </c>
      <c r="D5203" t="s">
        <v>16</v>
      </c>
      <c r="E5203">
        <v>0</v>
      </c>
      <c r="F5203">
        <v>0.75</v>
      </c>
      <c r="G5203">
        <v>0.20084905624389601</v>
      </c>
      <c r="H5203">
        <v>0</v>
      </c>
      <c r="I5203">
        <v>0</v>
      </c>
      <c r="J5203">
        <v>30</v>
      </c>
    </row>
    <row r="5204" spans="1:10" x14ac:dyDescent="0.25">
      <c r="A5204" t="s">
        <v>25</v>
      </c>
      <c r="B5204" t="s">
        <v>19</v>
      </c>
      <c r="C5204" t="s">
        <v>12</v>
      </c>
      <c r="D5204" t="s">
        <v>16</v>
      </c>
      <c r="E5204">
        <v>0</v>
      </c>
      <c r="F5204">
        <v>0.75</v>
      </c>
      <c r="G5204">
        <v>0.164629220962524</v>
      </c>
      <c r="H5204">
        <v>0</v>
      </c>
      <c r="I5204">
        <v>0</v>
      </c>
      <c r="J5204">
        <v>30</v>
      </c>
    </row>
    <row r="5205" spans="1:10" x14ac:dyDescent="0.25">
      <c r="A5205" t="s">
        <v>25</v>
      </c>
      <c r="B5205" t="s">
        <v>19</v>
      </c>
      <c r="C5205" t="s">
        <v>12</v>
      </c>
      <c r="D5205" t="s">
        <v>16</v>
      </c>
      <c r="E5205">
        <v>0</v>
      </c>
      <c r="F5205">
        <v>0.75</v>
      </c>
      <c r="G5205">
        <v>0.18219113349914501</v>
      </c>
      <c r="H5205">
        <v>0</v>
      </c>
      <c r="I5205">
        <v>0</v>
      </c>
      <c r="J5205">
        <v>30</v>
      </c>
    </row>
    <row r="5206" spans="1:10" x14ac:dyDescent="0.25">
      <c r="A5206" t="s">
        <v>25</v>
      </c>
      <c r="B5206" t="s">
        <v>19</v>
      </c>
      <c r="C5206" t="s">
        <v>12</v>
      </c>
      <c r="D5206" t="s">
        <v>16</v>
      </c>
      <c r="E5206">
        <v>0</v>
      </c>
      <c r="F5206">
        <v>0.75</v>
      </c>
      <c r="G5206">
        <v>0.17820310592651301</v>
      </c>
      <c r="H5206">
        <v>0</v>
      </c>
      <c r="I5206">
        <v>0</v>
      </c>
      <c r="J5206">
        <v>30</v>
      </c>
    </row>
    <row r="5207" spans="1:10" x14ac:dyDescent="0.25">
      <c r="A5207" t="s">
        <v>25</v>
      </c>
      <c r="B5207" t="s">
        <v>19</v>
      </c>
      <c r="C5207" t="s">
        <v>12</v>
      </c>
      <c r="D5207" t="s">
        <v>16</v>
      </c>
      <c r="E5207">
        <v>0</v>
      </c>
      <c r="F5207">
        <v>0.75</v>
      </c>
      <c r="G5207">
        <v>0.18376660346984799</v>
      </c>
      <c r="H5207">
        <v>0</v>
      </c>
      <c r="I5207">
        <v>0</v>
      </c>
      <c r="J5207">
        <v>30</v>
      </c>
    </row>
    <row r="5208" spans="1:10" x14ac:dyDescent="0.25">
      <c r="A5208" t="s">
        <v>25</v>
      </c>
      <c r="B5208" t="s">
        <v>19</v>
      </c>
      <c r="C5208" t="s">
        <v>12</v>
      </c>
      <c r="D5208" t="s">
        <v>16</v>
      </c>
      <c r="E5208">
        <v>0</v>
      </c>
      <c r="F5208">
        <v>0.75</v>
      </c>
      <c r="G5208">
        <v>0.17168998718261699</v>
      </c>
      <c r="H5208">
        <v>0</v>
      </c>
      <c r="I5208">
        <v>0</v>
      </c>
      <c r="J5208">
        <v>30</v>
      </c>
    </row>
    <row r="5209" spans="1:10" x14ac:dyDescent="0.25">
      <c r="A5209" t="s">
        <v>25</v>
      </c>
      <c r="B5209" t="s">
        <v>19</v>
      </c>
      <c r="C5209" t="s">
        <v>12</v>
      </c>
      <c r="D5209" t="s">
        <v>16</v>
      </c>
      <c r="E5209">
        <v>0</v>
      </c>
      <c r="F5209">
        <v>0.75</v>
      </c>
      <c r="G5209">
        <v>0.16318941116332999</v>
      </c>
      <c r="H5209">
        <v>0</v>
      </c>
      <c r="I5209">
        <v>0</v>
      </c>
      <c r="J5209">
        <v>30</v>
      </c>
    </row>
    <row r="5210" spans="1:10" x14ac:dyDescent="0.25">
      <c r="A5210" t="s">
        <v>25</v>
      </c>
      <c r="B5210" t="s">
        <v>19</v>
      </c>
      <c r="C5210" t="s">
        <v>12</v>
      </c>
      <c r="D5210" t="s">
        <v>16</v>
      </c>
      <c r="E5210">
        <v>0</v>
      </c>
      <c r="F5210">
        <v>0.75</v>
      </c>
      <c r="G5210">
        <v>0.17970991134643499</v>
      </c>
      <c r="H5210">
        <v>0</v>
      </c>
      <c r="I5210">
        <v>0</v>
      </c>
      <c r="J5210">
        <v>30</v>
      </c>
    </row>
    <row r="5211" spans="1:10" x14ac:dyDescent="0.25">
      <c r="A5211" t="s">
        <v>25</v>
      </c>
      <c r="B5211" t="s">
        <v>19</v>
      </c>
      <c r="C5211" t="s">
        <v>12</v>
      </c>
      <c r="D5211" t="s">
        <v>16</v>
      </c>
      <c r="E5211">
        <v>0</v>
      </c>
      <c r="F5211">
        <v>0.75</v>
      </c>
      <c r="G5211">
        <v>0.16269302368163999</v>
      </c>
      <c r="H5211">
        <v>0</v>
      </c>
      <c r="I5211">
        <v>0</v>
      </c>
      <c r="J5211">
        <v>30</v>
      </c>
    </row>
    <row r="5212" spans="1:10" x14ac:dyDescent="0.25">
      <c r="A5212" t="s">
        <v>25</v>
      </c>
      <c r="B5212" t="s">
        <v>19</v>
      </c>
      <c r="C5212" t="s">
        <v>12</v>
      </c>
      <c r="D5212" t="s">
        <v>16</v>
      </c>
      <c r="E5212">
        <v>0</v>
      </c>
      <c r="F5212">
        <v>0.75</v>
      </c>
      <c r="G5212">
        <v>0.15006995201110801</v>
      </c>
      <c r="H5212">
        <v>0</v>
      </c>
      <c r="I5212">
        <v>0</v>
      </c>
      <c r="J5212">
        <v>30</v>
      </c>
    </row>
    <row r="5213" spans="1:10" x14ac:dyDescent="0.25">
      <c r="A5213" t="s">
        <v>25</v>
      </c>
      <c r="B5213" t="s">
        <v>19</v>
      </c>
      <c r="C5213" t="s">
        <v>12</v>
      </c>
      <c r="D5213" t="s">
        <v>16</v>
      </c>
      <c r="E5213">
        <v>0</v>
      </c>
      <c r="F5213">
        <v>0.75</v>
      </c>
      <c r="G5213">
        <v>0.16262984275817799</v>
      </c>
      <c r="H5213">
        <v>0</v>
      </c>
      <c r="I5213">
        <v>0</v>
      </c>
      <c r="J5213">
        <v>30</v>
      </c>
    </row>
    <row r="5214" spans="1:10" x14ac:dyDescent="0.25">
      <c r="A5214" t="s">
        <v>25</v>
      </c>
      <c r="B5214" t="s">
        <v>19</v>
      </c>
      <c r="C5214" t="s">
        <v>12</v>
      </c>
      <c r="D5214" t="s">
        <v>16</v>
      </c>
      <c r="E5214">
        <v>0</v>
      </c>
      <c r="F5214">
        <v>0.75</v>
      </c>
      <c r="G5214">
        <v>0.158123970031738</v>
      </c>
      <c r="H5214">
        <v>0</v>
      </c>
      <c r="I5214">
        <v>0</v>
      </c>
      <c r="J5214">
        <v>30</v>
      </c>
    </row>
    <row r="5215" spans="1:10" x14ac:dyDescent="0.25">
      <c r="A5215" t="s">
        <v>25</v>
      </c>
      <c r="B5215" t="s">
        <v>19</v>
      </c>
      <c r="C5215" t="s">
        <v>12</v>
      </c>
      <c r="D5215" t="s">
        <v>16</v>
      </c>
      <c r="E5215">
        <v>0</v>
      </c>
      <c r="F5215">
        <v>0.75</v>
      </c>
      <c r="G5215">
        <v>0.152130126953125</v>
      </c>
      <c r="H5215">
        <v>0</v>
      </c>
      <c r="I5215">
        <v>0</v>
      </c>
      <c r="J5215">
        <v>30</v>
      </c>
    </row>
    <row r="5216" spans="1:10" x14ac:dyDescent="0.25">
      <c r="A5216" t="s">
        <v>25</v>
      </c>
      <c r="B5216" t="s">
        <v>19</v>
      </c>
      <c r="C5216" t="s">
        <v>12</v>
      </c>
      <c r="D5216" t="s">
        <v>16</v>
      </c>
      <c r="E5216">
        <v>0</v>
      </c>
      <c r="F5216">
        <v>0.75</v>
      </c>
      <c r="G5216">
        <v>0.17920017242431599</v>
      </c>
      <c r="H5216">
        <v>0</v>
      </c>
      <c r="I5216">
        <v>0</v>
      </c>
      <c r="J5216">
        <v>30</v>
      </c>
    </row>
    <row r="5217" spans="1:10" x14ac:dyDescent="0.25">
      <c r="A5217" t="s">
        <v>25</v>
      </c>
      <c r="B5217" t="s">
        <v>19</v>
      </c>
      <c r="C5217" t="s">
        <v>12</v>
      </c>
      <c r="D5217" t="s">
        <v>16</v>
      </c>
      <c r="E5217">
        <v>0</v>
      </c>
      <c r="F5217">
        <v>0.75</v>
      </c>
      <c r="G5217">
        <v>0.15969038009643499</v>
      </c>
      <c r="H5217">
        <v>0</v>
      </c>
      <c r="I5217">
        <v>0</v>
      </c>
      <c r="J5217">
        <v>30</v>
      </c>
    </row>
    <row r="5218" spans="1:10" x14ac:dyDescent="0.25">
      <c r="A5218" t="s">
        <v>25</v>
      </c>
      <c r="B5218" t="s">
        <v>19</v>
      </c>
      <c r="C5218" t="s">
        <v>12</v>
      </c>
      <c r="D5218" t="s">
        <v>16</v>
      </c>
      <c r="E5218">
        <v>0</v>
      </c>
      <c r="F5218">
        <v>0.75</v>
      </c>
      <c r="G5218">
        <v>0.16338324546813901</v>
      </c>
      <c r="H5218">
        <v>0</v>
      </c>
      <c r="I5218">
        <v>0</v>
      </c>
      <c r="J5218">
        <v>30</v>
      </c>
    </row>
    <row r="5219" spans="1:10" x14ac:dyDescent="0.25">
      <c r="A5219" t="s">
        <v>25</v>
      </c>
      <c r="B5219" t="s">
        <v>19</v>
      </c>
      <c r="C5219" t="s">
        <v>12</v>
      </c>
      <c r="D5219" t="s">
        <v>16</v>
      </c>
      <c r="E5219">
        <v>0</v>
      </c>
      <c r="F5219">
        <v>0.75</v>
      </c>
      <c r="G5219">
        <v>0.16469001770019501</v>
      </c>
      <c r="H5219">
        <v>0</v>
      </c>
      <c r="I5219">
        <v>0</v>
      </c>
      <c r="J5219">
        <v>30</v>
      </c>
    </row>
    <row r="5220" spans="1:10" x14ac:dyDescent="0.25">
      <c r="A5220" t="s">
        <v>25</v>
      </c>
      <c r="B5220" t="s">
        <v>19</v>
      </c>
      <c r="C5220" t="s">
        <v>12</v>
      </c>
      <c r="D5220" t="s">
        <v>16</v>
      </c>
      <c r="E5220">
        <v>0</v>
      </c>
      <c r="F5220">
        <v>0.75</v>
      </c>
      <c r="G5220">
        <v>0.17919969558715801</v>
      </c>
      <c r="H5220">
        <v>0</v>
      </c>
      <c r="I5220">
        <v>0</v>
      </c>
      <c r="J5220">
        <v>30</v>
      </c>
    </row>
    <row r="5221" spans="1:10" x14ac:dyDescent="0.25">
      <c r="A5221" t="s">
        <v>25</v>
      </c>
      <c r="B5221" t="s">
        <v>19</v>
      </c>
      <c r="C5221" t="s">
        <v>12</v>
      </c>
      <c r="D5221" t="s">
        <v>16</v>
      </c>
      <c r="E5221">
        <v>0</v>
      </c>
      <c r="F5221">
        <v>0.75</v>
      </c>
      <c r="G5221">
        <v>0.16969609260558999</v>
      </c>
      <c r="H5221">
        <v>0</v>
      </c>
      <c r="I5221">
        <v>0</v>
      </c>
      <c r="J5221">
        <v>30</v>
      </c>
    </row>
    <row r="5222" spans="1:10" x14ac:dyDescent="0.25">
      <c r="A5222" t="s">
        <v>25</v>
      </c>
      <c r="B5222" t="s">
        <v>19</v>
      </c>
      <c r="C5222" t="s">
        <v>12</v>
      </c>
      <c r="D5222" t="s">
        <v>17</v>
      </c>
      <c r="E5222">
        <v>0</v>
      </c>
      <c r="F5222">
        <v>0.74989167216474795</v>
      </c>
      <c r="G5222">
        <v>11.5524218082427</v>
      </c>
      <c r="H5222">
        <v>2</v>
      </c>
      <c r="I5222">
        <v>2</v>
      </c>
      <c r="J5222">
        <v>30</v>
      </c>
    </row>
    <row r="5223" spans="1:10" x14ac:dyDescent="0.25">
      <c r="A5223" t="s">
        <v>25</v>
      </c>
      <c r="B5223" t="s">
        <v>19</v>
      </c>
      <c r="C5223" t="s">
        <v>12</v>
      </c>
      <c r="D5223" t="s">
        <v>17</v>
      </c>
      <c r="E5223">
        <v>0.90228310502283104</v>
      </c>
      <c r="F5223">
        <v>0.91922392850410894</v>
      </c>
      <c r="G5223">
        <v>36.240908384323099</v>
      </c>
      <c r="H5223">
        <v>41</v>
      </c>
      <c r="I5223">
        <v>74</v>
      </c>
      <c r="J5223">
        <v>30</v>
      </c>
    </row>
    <row r="5224" spans="1:10" x14ac:dyDescent="0.25">
      <c r="A5224" t="s">
        <v>25</v>
      </c>
      <c r="B5224" t="s">
        <v>19</v>
      </c>
      <c r="C5224" t="s">
        <v>12</v>
      </c>
      <c r="D5224" t="s">
        <v>17</v>
      </c>
      <c r="E5224">
        <v>0.90502283105022796</v>
      </c>
      <c r="F5224">
        <v>0.91858413540767203</v>
      </c>
      <c r="G5224">
        <v>39.066591501235898</v>
      </c>
      <c r="H5224">
        <v>77</v>
      </c>
      <c r="I5224">
        <v>103</v>
      </c>
      <c r="J5224">
        <v>30</v>
      </c>
    </row>
    <row r="5225" spans="1:10" x14ac:dyDescent="0.25">
      <c r="A5225" t="s">
        <v>25</v>
      </c>
      <c r="B5225" t="s">
        <v>19</v>
      </c>
      <c r="C5225" t="s">
        <v>12</v>
      </c>
      <c r="D5225" t="s">
        <v>17</v>
      </c>
      <c r="E5225">
        <v>0.91232876712328703</v>
      </c>
      <c r="F5225">
        <v>0.92328671090127701</v>
      </c>
      <c r="G5225">
        <v>48.672875642776397</v>
      </c>
      <c r="H5225">
        <v>97</v>
      </c>
      <c r="I5225">
        <v>125</v>
      </c>
      <c r="J5225">
        <v>30</v>
      </c>
    </row>
    <row r="5226" spans="1:10" x14ac:dyDescent="0.25">
      <c r="A5226" t="s">
        <v>25</v>
      </c>
      <c r="B5226" t="s">
        <v>19</v>
      </c>
      <c r="C5226" t="s">
        <v>12</v>
      </c>
      <c r="D5226" t="s">
        <v>17</v>
      </c>
      <c r="E5226">
        <v>0.886757990867579</v>
      </c>
      <c r="F5226">
        <v>0.95279711925780797</v>
      </c>
      <c r="G5226">
        <v>53.191670417785602</v>
      </c>
      <c r="H5226">
        <v>90</v>
      </c>
      <c r="I5226">
        <v>113</v>
      </c>
      <c r="J5226">
        <v>30</v>
      </c>
    </row>
    <row r="5227" spans="1:10" x14ac:dyDescent="0.25">
      <c r="A5227" t="s">
        <v>25</v>
      </c>
      <c r="B5227" t="s">
        <v>19</v>
      </c>
      <c r="C5227" t="s">
        <v>12</v>
      </c>
      <c r="D5227" t="s">
        <v>17</v>
      </c>
      <c r="E5227">
        <v>0.89406392694063896</v>
      </c>
      <c r="F5227">
        <v>0.95386308605945103</v>
      </c>
      <c r="G5227">
        <v>56.031773090362499</v>
      </c>
      <c r="H5227">
        <v>112</v>
      </c>
      <c r="I5227">
        <v>149</v>
      </c>
      <c r="J5227">
        <v>30</v>
      </c>
    </row>
    <row r="5228" spans="1:10" x14ac:dyDescent="0.25">
      <c r="A5228" t="s">
        <v>25</v>
      </c>
      <c r="B5228" t="s">
        <v>19</v>
      </c>
      <c r="C5228" t="s">
        <v>12</v>
      </c>
      <c r="D5228" t="s">
        <v>17</v>
      </c>
      <c r="E5228">
        <v>0.89589041095890398</v>
      </c>
      <c r="F5228">
        <v>0.95046978280118599</v>
      </c>
      <c r="G5228">
        <v>56.9182929992675</v>
      </c>
      <c r="H5228">
        <v>106</v>
      </c>
      <c r="I5228">
        <v>137</v>
      </c>
      <c r="J5228">
        <v>30</v>
      </c>
    </row>
    <row r="5229" spans="1:10" x14ac:dyDescent="0.25">
      <c r="A5229" t="s">
        <v>25</v>
      </c>
      <c r="B5229" t="s">
        <v>19</v>
      </c>
      <c r="C5229" t="s">
        <v>12</v>
      </c>
      <c r="D5229" t="s">
        <v>17</v>
      </c>
      <c r="E5229">
        <v>0.89406392694063896</v>
      </c>
      <c r="F5229">
        <v>0.94986389738968102</v>
      </c>
      <c r="G5229">
        <v>57.848938226699801</v>
      </c>
      <c r="H5229">
        <v>104</v>
      </c>
      <c r="I5229">
        <v>148</v>
      </c>
      <c r="J5229">
        <v>30</v>
      </c>
    </row>
    <row r="5230" spans="1:10" x14ac:dyDescent="0.25">
      <c r="A5230" t="s">
        <v>25</v>
      </c>
      <c r="B5230" t="s">
        <v>19</v>
      </c>
      <c r="C5230" t="s">
        <v>12</v>
      </c>
      <c r="D5230" t="s">
        <v>17</v>
      </c>
      <c r="E5230">
        <v>0.87671232876712302</v>
      </c>
      <c r="F5230">
        <v>0.93999067278849302</v>
      </c>
      <c r="G5230">
        <v>59.361284732818604</v>
      </c>
      <c r="H5230">
        <v>90</v>
      </c>
      <c r="I5230">
        <v>118</v>
      </c>
      <c r="J5230">
        <v>30</v>
      </c>
    </row>
    <row r="5231" spans="1:10" x14ac:dyDescent="0.25">
      <c r="A5231" t="s">
        <v>25</v>
      </c>
      <c r="B5231" t="s">
        <v>19</v>
      </c>
      <c r="C5231" t="s">
        <v>12</v>
      </c>
      <c r="D5231" t="s">
        <v>17</v>
      </c>
      <c r="E5231">
        <v>0.89406392694063896</v>
      </c>
      <c r="F5231">
        <v>0.94671974058484099</v>
      </c>
      <c r="G5231">
        <v>60.276614189147899</v>
      </c>
      <c r="H5231">
        <v>89</v>
      </c>
      <c r="I5231">
        <v>102</v>
      </c>
      <c r="J5231">
        <v>30</v>
      </c>
    </row>
    <row r="5232" spans="1:10" x14ac:dyDescent="0.25">
      <c r="A5232" t="s">
        <v>25</v>
      </c>
      <c r="B5232" t="s">
        <v>19</v>
      </c>
      <c r="C5232" t="s">
        <v>12</v>
      </c>
      <c r="D5232" t="s">
        <v>17</v>
      </c>
      <c r="E5232">
        <v>0.91232876712328703</v>
      </c>
      <c r="F5232">
        <v>0.95950296173461103</v>
      </c>
      <c r="G5232">
        <v>61.751471042633</v>
      </c>
      <c r="H5232">
        <v>111</v>
      </c>
      <c r="I5232">
        <v>137</v>
      </c>
      <c r="J5232">
        <v>30</v>
      </c>
    </row>
    <row r="5233" spans="1:10" x14ac:dyDescent="0.25">
      <c r="A5233" t="s">
        <v>25</v>
      </c>
      <c r="B5233" t="s">
        <v>19</v>
      </c>
      <c r="C5233" t="s">
        <v>12</v>
      </c>
      <c r="D5233" t="s">
        <v>17</v>
      </c>
      <c r="E5233">
        <v>0.89315068493150596</v>
      </c>
      <c r="F5233">
        <v>0.93757913503899404</v>
      </c>
      <c r="G5233">
        <v>62.362768411636303</v>
      </c>
      <c r="H5233">
        <v>100</v>
      </c>
      <c r="I5233">
        <v>137</v>
      </c>
      <c r="J5233">
        <v>30</v>
      </c>
    </row>
    <row r="5234" spans="1:10" x14ac:dyDescent="0.25">
      <c r="A5234" t="s">
        <v>25</v>
      </c>
      <c r="B5234" t="s">
        <v>19</v>
      </c>
      <c r="C5234" t="s">
        <v>12</v>
      </c>
      <c r="D5234" t="s">
        <v>17</v>
      </c>
      <c r="E5234">
        <v>0.90410958904109495</v>
      </c>
      <c r="F5234">
        <v>0.94954519219780698</v>
      </c>
      <c r="G5234">
        <v>62.885769605636597</v>
      </c>
      <c r="H5234">
        <v>116</v>
      </c>
      <c r="I5234">
        <v>140</v>
      </c>
      <c r="J5234">
        <v>30</v>
      </c>
    </row>
    <row r="5235" spans="1:10" x14ac:dyDescent="0.25">
      <c r="A5235" t="s">
        <v>25</v>
      </c>
      <c r="B5235" t="s">
        <v>19</v>
      </c>
      <c r="C5235" t="s">
        <v>12</v>
      </c>
      <c r="D5235" t="s">
        <v>17</v>
      </c>
      <c r="E5235">
        <v>0.94977168949771595</v>
      </c>
      <c r="F5235">
        <v>0.96112594042027399</v>
      </c>
      <c r="G5235">
        <v>63.700250864028902</v>
      </c>
      <c r="H5235">
        <v>125</v>
      </c>
      <c r="I5235">
        <v>148</v>
      </c>
      <c r="J5235">
        <v>30</v>
      </c>
    </row>
    <row r="5236" spans="1:10" x14ac:dyDescent="0.25">
      <c r="A5236" t="s">
        <v>25</v>
      </c>
      <c r="B5236" t="s">
        <v>19</v>
      </c>
      <c r="C5236" t="s">
        <v>12</v>
      </c>
      <c r="D5236" t="s">
        <v>17</v>
      </c>
      <c r="E5236">
        <v>0.88493150684931499</v>
      </c>
      <c r="F5236">
        <v>0.93943425335296704</v>
      </c>
      <c r="G5236">
        <v>64.943134784698401</v>
      </c>
      <c r="H5236">
        <v>114</v>
      </c>
      <c r="I5236">
        <v>149</v>
      </c>
      <c r="J5236">
        <v>30</v>
      </c>
    </row>
    <row r="5237" spans="1:10" x14ac:dyDescent="0.25">
      <c r="A5237" t="s">
        <v>25</v>
      </c>
      <c r="B5237" t="s">
        <v>19</v>
      </c>
      <c r="C5237" t="s">
        <v>12</v>
      </c>
      <c r="D5237" t="s">
        <v>17</v>
      </c>
      <c r="E5237">
        <v>0.92511415525114105</v>
      </c>
      <c r="F5237">
        <v>0.95683647144100303</v>
      </c>
      <c r="G5237">
        <v>65.234142780303898</v>
      </c>
      <c r="H5237">
        <v>152</v>
      </c>
      <c r="I5237">
        <v>172</v>
      </c>
      <c r="J5237">
        <v>30</v>
      </c>
    </row>
    <row r="5238" spans="1:10" x14ac:dyDescent="0.25">
      <c r="A5238" t="s">
        <v>25</v>
      </c>
      <c r="B5238" t="s">
        <v>19</v>
      </c>
      <c r="C5238" t="s">
        <v>12</v>
      </c>
      <c r="D5238" t="s">
        <v>17</v>
      </c>
      <c r="E5238">
        <v>0.90045662100456603</v>
      </c>
      <c r="F5238">
        <v>0.949391406918904</v>
      </c>
      <c r="G5238">
        <v>65.4634561538696</v>
      </c>
      <c r="H5238">
        <v>114</v>
      </c>
      <c r="I5238">
        <v>152</v>
      </c>
      <c r="J5238">
        <v>30</v>
      </c>
    </row>
    <row r="5239" spans="1:10" x14ac:dyDescent="0.25">
      <c r="A5239" t="s">
        <v>25</v>
      </c>
      <c r="B5239" t="s">
        <v>19</v>
      </c>
      <c r="C5239" t="s">
        <v>12</v>
      </c>
      <c r="D5239" t="s">
        <v>17</v>
      </c>
      <c r="E5239">
        <v>0.94429223744292201</v>
      </c>
      <c r="F5239">
        <v>0.95654209628091202</v>
      </c>
      <c r="G5239">
        <v>66.446830511093097</v>
      </c>
      <c r="H5239">
        <v>142</v>
      </c>
      <c r="I5239">
        <v>158</v>
      </c>
      <c r="J5239">
        <v>30</v>
      </c>
    </row>
    <row r="5240" spans="1:10" x14ac:dyDescent="0.25">
      <c r="A5240" t="s">
        <v>25</v>
      </c>
      <c r="B5240" t="s">
        <v>19</v>
      </c>
      <c r="C5240" t="s">
        <v>12</v>
      </c>
      <c r="D5240" t="s">
        <v>17</v>
      </c>
      <c r="E5240">
        <v>0.91598173515981696</v>
      </c>
      <c r="F5240">
        <v>0.95393850274958902</v>
      </c>
      <c r="G5240">
        <v>67.2058198451995</v>
      </c>
      <c r="H5240">
        <v>134</v>
      </c>
      <c r="I5240">
        <v>165</v>
      </c>
      <c r="J5240">
        <v>30</v>
      </c>
    </row>
    <row r="5241" spans="1:10" x14ac:dyDescent="0.25">
      <c r="A5241" t="s">
        <v>25</v>
      </c>
      <c r="B5241" t="s">
        <v>19</v>
      </c>
      <c r="C5241" t="s">
        <v>12</v>
      </c>
      <c r="D5241" t="s">
        <v>17</v>
      </c>
      <c r="E5241">
        <v>0.91506849315068495</v>
      </c>
      <c r="F5241">
        <v>0.94765829319789896</v>
      </c>
      <c r="G5241">
        <v>67.903911590576101</v>
      </c>
      <c r="H5241">
        <v>139</v>
      </c>
      <c r="I5241">
        <v>176</v>
      </c>
      <c r="J5241">
        <v>30</v>
      </c>
    </row>
    <row r="5242" spans="1:10" x14ac:dyDescent="0.25">
      <c r="A5242" t="s">
        <v>25</v>
      </c>
      <c r="B5242" t="s">
        <v>19</v>
      </c>
      <c r="C5242" t="s">
        <v>12</v>
      </c>
      <c r="D5242" t="s">
        <v>17</v>
      </c>
      <c r="E5242">
        <v>0.89863013698630101</v>
      </c>
      <c r="F5242">
        <v>0.95284072760675698</v>
      </c>
      <c r="G5242">
        <v>68.1525781154632</v>
      </c>
      <c r="H5242">
        <v>130</v>
      </c>
      <c r="I5242">
        <v>161</v>
      </c>
      <c r="J5242">
        <v>30</v>
      </c>
    </row>
    <row r="5243" spans="1:10" x14ac:dyDescent="0.25">
      <c r="A5243" t="s">
        <v>25</v>
      </c>
      <c r="B5243" t="s">
        <v>19</v>
      </c>
      <c r="C5243" t="s">
        <v>12</v>
      </c>
      <c r="D5243" t="s">
        <v>17</v>
      </c>
      <c r="E5243">
        <v>0.88858447488584402</v>
      </c>
      <c r="F5243">
        <v>0.95773640979470198</v>
      </c>
      <c r="G5243">
        <v>70.204417705535803</v>
      </c>
      <c r="H5243">
        <v>128</v>
      </c>
      <c r="I5243">
        <v>157</v>
      </c>
      <c r="J5243">
        <v>30</v>
      </c>
    </row>
    <row r="5244" spans="1:10" x14ac:dyDescent="0.25">
      <c r="A5244" t="s">
        <v>25</v>
      </c>
      <c r="B5244" t="s">
        <v>19</v>
      </c>
      <c r="C5244" t="s">
        <v>12</v>
      </c>
      <c r="D5244" t="s">
        <v>17</v>
      </c>
      <c r="E5244">
        <v>0.89589041095890398</v>
      </c>
      <c r="F5244">
        <v>0.95384580465406299</v>
      </c>
      <c r="G5244">
        <v>70.273028373718205</v>
      </c>
      <c r="H5244">
        <v>115</v>
      </c>
      <c r="I5244">
        <v>151</v>
      </c>
      <c r="J5244">
        <v>30</v>
      </c>
    </row>
    <row r="5245" spans="1:10" x14ac:dyDescent="0.25">
      <c r="A5245" t="s">
        <v>25</v>
      </c>
      <c r="B5245" t="s">
        <v>19</v>
      </c>
      <c r="C5245" t="s">
        <v>12</v>
      </c>
      <c r="D5245" t="s">
        <v>17</v>
      </c>
      <c r="E5245">
        <v>0.93698630136986305</v>
      </c>
      <c r="F5245">
        <v>0.95891025701817401</v>
      </c>
      <c r="G5245">
        <v>70.926909208297701</v>
      </c>
      <c r="H5245">
        <v>144</v>
      </c>
      <c r="I5245">
        <v>170</v>
      </c>
      <c r="J5245">
        <v>30</v>
      </c>
    </row>
    <row r="5246" spans="1:10" x14ac:dyDescent="0.25">
      <c r="A5246" t="s">
        <v>25</v>
      </c>
      <c r="B5246" t="s">
        <v>19</v>
      </c>
      <c r="C5246" t="s">
        <v>12</v>
      </c>
      <c r="D5246" t="s">
        <v>17</v>
      </c>
      <c r="E5246">
        <v>0.90136986301369804</v>
      </c>
      <c r="F5246">
        <v>0.94724867603187102</v>
      </c>
      <c r="G5246">
        <v>71.313131570815997</v>
      </c>
      <c r="H5246">
        <v>158</v>
      </c>
      <c r="I5246">
        <v>186</v>
      </c>
      <c r="J5246">
        <v>30</v>
      </c>
    </row>
    <row r="5247" spans="1:10" x14ac:dyDescent="0.25">
      <c r="A5247" t="s">
        <v>25</v>
      </c>
      <c r="B5247" t="s">
        <v>19</v>
      </c>
      <c r="C5247" t="s">
        <v>12</v>
      </c>
      <c r="D5247" t="s">
        <v>17</v>
      </c>
      <c r="E5247">
        <v>0.90319634703196305</v>
      </c>
      <c r="F5247">
        <v>0.95644860343433702</v>
      </c>
      <c r="G5247">
        <v>71.602334499359102</v>
      </c>
      <c r="H5247">
        <v>134</v>
      </c>
      <c r="I5247">
        <v>163</v>
      </c>
      <c r="J5247">
        <v>30</v>
      </c>
    </row>
    <row r="5248" spans="1:10" x14ac:dyDescent="0.25">
      <c r="A5248" t="s">
        <v>25</v>
      </c>
      <c r="B5248" t="s">
        <v>19</v>
      </c>
      <c r="C5248" t="s">
        <v>12</v>
      </c>
      <c r="D5248" t="s">
        <v>17</v>
      </c>
      <c r="E5248">
        <v>0.88219178082191696</v>
      </c>
      <c r="F5248">
        <v>0.95102608290593404</v>
      </c>
      <c r="G5248">
        <v>71.903076410293494</v>
      </c>
      <c r="H5248">
        <v>126</v>
      </c>
      <c r="I5248">
        <v>162</v>
      </c>
      <c r="J5248">
        <v>30</v>
      </c>
    </row>
    <row r="5249" spans="1:10" x14ac:dyDescent="0.25">
      <c r="A5249" t="s">
        <v>25</v>
      </c>
      <c r="B5249" t="s">
        <v>19</v>
      </c>
      <c r="C5249" t="s">
        <v>12</v>
      </c>
      <c r="D5249" t="s">
        <v>17</v>
      </c>
      <c r="E5249">
        <v>0.92968036529680298</v>
      </c>
      <c r="F5249">
        <v>0.96039056509725895</v>
      </c>
      <c r="G5249">
        <v>72.530183076858506</v>
      </c>
      <c r="H5249">
        <v>193</v>
      </c>
      <c r="I5249">
        <v>230</v>
      </c>
      <c r="J5249">
        <v>30</v>
      </c>
    </row>
    <row r="5250" spans="1:10" x14ac:dyDescent="0.25">
      <c r="A5250" t="s">
        <v>25</v>
      </c>
      <c r="B5250" t="s">
        <v>19</v>
      </c>
      <c r="C5250" t="s">
        <v>12</v>
      </c>
      <c r="D5250" t="s">
        <v>17</v>
      </c>
      <c r="E5250">
        <v>0.89406392694063896</v>
      </c>
      <c r="F5250">
        <v>0.95582732937972603</v>
      </c>
      <c r="G5250">
        <v>72.675166368484497</v>
      </c>
      <c r="H5250">
        <v>128</v>
      </c>
      <c r="I5250">
        <v>173</v>
      </c>
      <c r="J5250">
        <v>30</v>
      </c>
    </row>
    <row r="5251" spans="1:10" x14ac:dyDescent="0.25">
      <c r="A5251" t="s">
        <v>25</v>
      </c>
      <c r="B5251" t="s">
        <v>19</v>
      </c>
      <c r="C5251" t="s">
        <v>12</v>
      </c>
      <c r="D5251" t="s">
        <v>17</v>
      </c>
      <c r="E5251">
        <v>0.88767123287671201</v>
      </c>
      <c r="F5251">
        <v>0.955032862003105</v>
      </c>
      <c r="G5251">
        <v>74.245831012725802</v>
      </c>
      <c r="H5251">
        <v>181</v>
      </c>
      <c r="I5251">
        <v>229</v>
      </c>
      <c r="J5251">
        <v>30</v>
      </c>
    </row>
    <row r="5252" spans="1:10" x14ac:dyDescent="0.25">
      <c r="A5252" t="s">
        <v>25</v>
      </c>
      <c r="B5252" t="s">
        <v>19</v>
      </c>
      <c r="C5252" t="s">
        <v>18</v>
      </c>
      <c r="D5252" t="s">
        <v>13</v>
      </c>
      <c r="E5252">
        <v>0.94611872146118703</v>
      </c>
      <c r="F5252">
        <v>0.97117472999506904</v>
      </c>
      <c r="G5252">
        <v>33.146113634109497</v>
      </c>
      <c r="H5252">
        <v>26</v>
      </c>
      <c r="I5252">
        <v>47</v>
      </c>
      <c r="J5252">
        <v>30</v>
      </c>
    </row>
    <row r="5253" spans="1:10" x14ac:dyDescent="0.25">
      <c r="A5253" t="s">
        <v>25</v>
      </c>
      <c r="B5253" t="s">
        <v>19</v>
      </c>
      <c r="C5253" t="s">
        <v>18</v>
      </c>
      <c r="D5253" t="s">
        <v>13</v>
      </c>
      <c r="E5253">
        <v>0.96073059360730595</v>
      </c>
      <c r="F5253">
        <v>0.97537655438785398</v>
      </c>
      <c r="G5253">
        <v>38.104655027389498</v>
      </c>
      <c r="H5253">
        <v>16</v>
      </c>
      <c r="I5253">
        <v>32</v>
      </c>
      <c r="J5253">
        <v>30</v>
      </c>
    </row>
    <row r="5254" spans="1:10" x14ac:dyDescent="0.25">
      <c r="A5254" t="s">
        <v>25</v>
      </c>
      <c r="B5254" t="s">
        <v>19</v>
      </c>
      <c r="C5254" t="s">
        <v>18</v>
      </c>
      <c r="D5254" t="s">
        <v>13</v>
      </c>
      <c r="E5254">
        <v>0.94703196347031904</v>
      </c>
      <c r="F5254">
        <v>0.97294043273853903</v>
      </c>
      <c r="G5254">
        <v>39.277348756790097</v>
      </c>
      <c r="H5254">
        <v>25</v>
      </c>
      <c r="I5254">
        <v>45</v>
      </c>
      <c r="J5254">
        <v>30</v>
      </c>
    </row>
    <row r="5255" spans="1:10" x14ac:dyDescent="0.25">
      <c r="A5255" t="s">
        <v>25</v>
      </c>
      <c r="B5255" t="s">
        <v>19</v>
      </c>
      <c r="C5255" t="s">
        <v>18</v>
      </c>
      <c r="D5255" t="s">
        <v>13</v>
      </c>
      <c r="E5255">
        <v>0.96986301369863004</v>
      </c>
      <c r="F5255">
        <v>0.97230629648748901</v>
      </c>
      <c r="G5255">
        <v>41.3353977203369</v>
      </c>
      <c r="H5255">
        <v>30</v>
      </c>
      <c r="I5255">
        <v>46</v>
      </c>
      <c r="J5255">
        <v>30</v>
      </c>
    </row>
    <row r="5256" spans="1:10" x14ac:dyDescent="0.25">
      <c r="A5256" t="s">
        <v>25</v>
      </c>
      <c r="B5256" t="s">
        <v>19</v>
      </c>
      <c r="C5256" t="s">
        <v>18</v>
      </c>
      <c r="D5256" t="s">
        <v>13</v>
      </c>
      <c r="E5256">
        <v>0.96529680365296799</v>
      </c>
      <c r="F5256">
        <v>0.96686453503077596</v>
      </c>
      <c r="G5256">
        <v>41.978054285049403</v>
      </c>
      <c r="H5256">
        <v>28</v>
      </c>
      <c r="I5256">
        <v>52</v>
      </c>
      <c r="J5256">
        <v>30</v>
      </c>
    </row>
    <row r="5257" spans="1:10" x14ac:dyDescent="0.25">
      <c r="A5257" t="s">
        <v>25</v>
      </c>
      <c r="B5257" t="s">
        <v>19</v>
      </c>
      <c r="C5257" t="s">
        <v>18</v>
      </c>
      <c r="D5257" t="s">
        <v>13</v>
      </c>
      <c r="E5257">
        <v>0.96803652968036502</v>
      </c>
      <c r="F5257">
        <v>0.96932895526940699</v>
      </c>
      <c r="G5257">
        <v>43.982758283615098</v>
      </c>
      <c r="H5257">
        <v>32</v>
      </c>
      <c r="I5257">
        <v>50</v>
      </c>
      <c r="J5257">
        <v>30</v>
      </c>
    </row>
    <row r="5258" spans="1:10" x14ac:dyDescent="0.25">
      <c r="A5258" t="s">
        <v>25</v>
      </c>
      <c r="B5258" t="s">
        <v>19</v>
      </c>
      <c r="C5258" t="s">
        <v>18</v>
      </c>
      <c r="D5258" t="s">
        <v>13</v>
      </c>
      <c r="E5258">
        <v>0.96986301369863004</v>
      </c>
      <c r="F5258">
        <v>0.97401387605461098</v>
      </c>
      <c r="G5258">
        <v>44.372133016586297</v>
      </c>
      <c r="H5258">
        <v>26</v>
      </c>
      <c r="I5258">
        <v>54</v>
      </c>
      <c r="J5258">
        <v>30</v>
      </c>
    </row>
    <row r="5259" spans="1:10" x14ac:dyDescent="0.25">
      <c r="A5259" t="s">
        <v>25</v>
      </c>
      <c r="B5259" t="s">
        <v>19</v>
      </c>
      <c r="C5259" t="s">
        <v>18</v>
      </c>
      <c r="D5259" t="s">
        <v>13</v>
      </c>
      <c r="E5259">
        <v>0.97351598173515896</v>
      </c>
      <c r="F5259">
        <v>0.97459301814091304</v>
      </c>
      <c r="G5259">
        <v>47.2206869125366</v>
      </c>
      <c r="H5259">
        <v>30</v>
      </c>
      <c r="I5259">
        <v>52</v>
      </c>
      <c r="J5259">
        <v>30</v>
      </c>
    </row>
    <row r="5260" spans="1:10" x14ac:dyDescent="0.25">
      <c r="A5260" t="s">
        <v>25</v>
      </c>
      <c r="B5260" t="s">
        <v>19</v>
      </c>
      <c r="C5260" t="s">
        <v>18</v>
      </c>
      <c r="D5260" t="s">
        <v>13</v>
      </c>
      <c r="E5260">
        <v>0.96438356164383499</v>
      </c>
      <c r="F5260">
        <v>0.96805921152666596</v>
      </c>
      <c r="G5260">
        <v>47.659444093704202</v>
      </c>
      <c r="H5260">
        <v>25</v>
      </c>
      <c r="I5260">
        <v>40</v>
      </c>
      <c r="J5260">
        <v>30</v>
      </c>
    </row>
    <row r="5261" spans="1:10" x14ac:dyDescent="0.25">
      <c r="A5261" t="s">
        <v>25</v>
      </c>
      <c r="B5261" t="s">
        <v>19</v>
      </c>
      <c r="C5261" t="s">
        <v>18</v>
      </c>
      <c r="D5261" t="s">
        <v>13</v>
      </c>
      <c r="E5261">
        <v>0.95525114155251101</v>
      </c>
      <c r="F5261">
        <v>0.960315466689588</v>
      </c>
      <c r="G5261">
        <v>47.802389383315997</v>
      </c>
      <c r="H5261">
        <v>30</v>
      </c>
      <c r="I5261">
        <v>46</v>
      </c>
      <c r="J5261">
        <v>30</v>
      </c>
    </row>
    <row r="5262" spans="1:10" x14ac:dyDescent="0.25">
      <c r="A5262" t="s">
        <v>25</v>
      </c>
      <c r="B5262" t="s">
        <v>19</v>
      </c>
      <c r="C5262" t="s">
        <v>18</v>
      </c>
      <c r="D5262" t="s">
        <v>13</v>
      </c>
      <c r="E5262">
        <v>0.9662100456621</v>
      </c>
      <c r="F5262">
        <v>0.97029425656913204</v>
      </c>
      <c r="G5262">
        <v>51.6156358718872</v>
      </c>
      <c r="H5262">
        <v>25</v>
      </c>
      <c r="I5262">
        <v>40</v>
      </c>
      <c r="J5262">
        <v>30</v>
      </c>
    </row>
    <row r="5263" spans="1:10" x14ac:dyDescent="0.25">
      <c r="A5263" t="s">
        <v>25</v>
      </c>
      <c r="B5263" t="s">
        <v>19</v>
      </c>
      <c r="C5263" t="s">
        <v>18</v>
      </c>
      <c r="D5263" t="s">
        <v>13</v>
      </c>
      <c r="E5263">
        <v>0.9662100456621</v>
      </c>
      <c r="F5263">
        <v>0.97046227165872101</v>
      </c>
      <c r="G5263">
        <v>51.861008644103997</v>
      </c>
      <c r="H5263">
        <v>23</v>
      </c>
      <c r="I5263">
        <v>46</v>
      </c>
      <c r="J5263">
        <v>30</v>
      </c>
    </row>
    <row r="5264" spans="1:10" x14ac:dyDescent="0.25">
      <c r="A5264" t="s">
        <v>25</v>
      </c>
      <c r="B5264" t="s">
        <v>19</v>
      </c>
      <c r="C5264" t="s">
        <v>18</v>
      </c>
      <c r="D5264" t="s">
        <v>13</v>
      </c>
      <c r="E5264">
        <v>0.96073059360730595</v>
      </c>
      <c r="F5264">
        <v>0.96634565416209905</v>
      </c>
      <c r="G5264">
        <v>51.982392311096099</v>
      </c>
      <c r="H5264">
        <v>25</v>
      </c>
      <c r="I5264">
        <v>51</v>
      </c>
      <c r="J5264">
        <v>30</v>
      </c>
    </row>
    <row r="5265" spans="1:10" x14ac:dyDescent="0.25">
      <c r="A5265" t="s">
        <v>25</v>
      </c>
      <c r="B5265" t="s">
        <v>19</v>
      </c>
      <c r="C5265" t="s">
        <v>18</v>
      </c>
      <c r="D5265" t="s">
        <v>13</v>
      </c>
      <c r="E5265">
        <v>0.96255707762556997</v>
      </c>
      <c r="F5265">
        <v>0.96948680978867596</v>
      </c>
      <c r="G5265">
        <v>52.052059173583899</v>
      </c>
      <c r="H5265">
        <v>28</v>
      </c>
      <c r="I5265">
        <v>52</v>
      </c>
      <c r="J5265">
        <v>30</v>
      </c>
    </row>
    <row r="5266" spans="1:10" x14ac:dyDescent="0.25">
      <c r="A5266" t="s">
        <v>25</v>
      </c>
      <c r="B5266" t="s">
        <v>19</v>
      </c>
      <c r="C5266" t="s">
        <v>18</v>
      </c>
      <c r="D5266" t="s">
        <v>13</v>
      </c>
      <c r="E5266">
        <v>0.96438356164383499</v>
      </c>
      <c r="F5266">
        <v>0.96889168871625597</v>
      </c>
      <c r="G5266">
        <v>52.294729709625202</v>
      </c>
      <c r="H5266">
        <v>21</v>
      </c>
      <c r="I5266">
        <v>33</v>
      </c>
      <c r="J5266">
        <v>30</v>
      </c>
    </row>
    <row r="5267" spans="1:10" x14ac:dyDescent="0.25">
      <c r="A5267" t="s">
        <v>25</v>
      </c>
      <c r="B5267" t="s">
        <v>19</v>
      </c>
      <c r="C5267" t="s">
        <v>18</v>
      </c>
      <c r="D5267" t="s">
        <v>13</v>
      </c>
      <c r="E5267">
        <v>0.94520547945205402</v>
      </c>
      <c r="F5267">
        <v>0.96876403415725998</v>
      </c>
      <c r="G5267">
        <v>52.343905448913503</v>
      </c>
      <c r="H5267">
        <v>22</v>
      </c>
      <c r="I5267">
        <v>41</v>
      </c>
      <c r="J5267">
        <v>30</v>
      </c>
    </row>
    <row r="5268" spans="1:10" x14ac:dyDescent="0.25">
      <c r="A5268" t="s">
        <v>25</v>
      </c>
      <c r="B5268" t="s">
        <v>19</v>
      </c>
      <c r="C5268" t="s">
        <v>18</v>
      </c>
      <c r="D5268" t="s">
        <v>13</v>
      </c>
      <c r="E5268">
        <v>0.96894977168949703</v>
      </c>
      <c r="F5268">
        <v>0.971844370627853</v>
      </c>
      <c r="G5268">
        <v>52.920476913452099</v>
      </c>
      <c r="H5268">
        <v>22</v>
      </c>
      <c r="I5268">
        <v>48</v>
      </c>
      <c r="J5268">
        <v>30</v>
      </c>
    </row>
    <row r="5269" spans="1:10" x14ac:dyDescent="0.25">
      <c r="A5269" t="s">
        <v>25</v>
      </c>
      <c r="B5269" t="s">
        <v>19</v>
      </c>
      <c r="C5269" t="s">
        <v>18</v>
      </c>
      <c r="D5269" t="s">
        <v>13</v>
      </c>
      <c r="E5269">
        <v>0.96255707762556997</v>
      </c>
      <c r="F5269">
        <v>0.96651772816831105</v>
      </c>
      <c r="G5269">
        <v>53.0444910526275</v>
      </c>
      <c r="H5269">
        <v>24</v>
      </c>
      <c r="I5269">
        <v>36</v>
      </c>
      <c r="J5269">
        <v>30</v>
      </c>
    </row>
    <row r="5270" spans="1:10" x14ac:dyDescent="0.25">
      <c r="A5270" t="s">
        <v>25</v>
      </c>
      <c r="B5270" t="s">
        <v>19</v>
      </c>
      <c r="C5270" t="s">
        <v>18</v>
      </c>
      <c r="D5270" t="s">
        <v>13</v>
      </c>
      <c r="E5270">
        <v>0.96712328767123201</v>
      </c>
      <c r="F5270">
        <v>0.97172809891369905</v>
      </c>
      <c r="G5270">
        <v>53.114238023757899</v>
      </c>
      <c r="H5270">
        <v>30</v>
      </c>
      <c r="I5270">
        <v>56</v>
      </c>
      <c r="J5270">
        <v>30</v>
      </c>
    </row>
    <row r="5271" spans="1:10" x14ac:dyDescent="0.25">
      <c r="A5271" t="s">
        <v>25</v>
      </c>
      <c r="B5271" t="s">
        <v>19</v>
      </c>
      <c r="C5271" t="s">
        <v>18</v>
      </c>
      <c r="D5271" t="s">
        <v>13</v>
      </c>
      <c r="E5271">
        <v>0.9662100456621</v>
      </c>
      <c r="F5271">
        <v>0.96879466006027304</v>
      </c>
      <c r="G5271">
        <v>53.137247323989797</v>
      </c>
      <c r="H5271">
        <v>27</v>
      </c>
      <c r="I5271">
        <v>44</v>
      </c>
      <c r="J5271">
        <v>30</v>
      </c>
    </row>
    <row r="5272" spans="1:10" x14ac:dyDescent="0.25">
      <c r="A5272" t="s">
        <v>25</v>
      </c>
      <c r="B5272" t="s">
        <v>19</v>
      </c>
      <c r="C5272" t="s">
        <v>18</v>
      </c>
      <c r="D5272" t="s">
        <v>13</v>
      </c>
      <c r="E5272">
        <v>0.954337899543379</v>
      </c>
      <c r="F5272">
        <v>0.959997060314703</v>
      </c>
      <c r="G5272">
        <v>53.179528236389103</v>
      </c>
      <c r="H5272">
        <v>21</v>
      </c>
      <c r="I5272">
        <v>36</v>
      </c>
      <c r="J5272">
        <v>30</v>
      </c>
    </row>
    <row r="5273" spans="1:10" x14ac:dyDescent="0.25">
      <c r="A5273" t="s">
        <v>25</v>
      </c>
      <c r="B5273" t="s">
        <v>19</v>
      </c>
      <c r="C5273" t="s">
        <v>18</v>
      </c>
      <c r="D5273" t="s">
        <v>13</v>
      </c>
      <c r="E5273">
        <v>0.90776255707762499</v>
      </c>
      <c r="F5273">
        <v>0.95729927953104998</v>
      </c>
      <c r="G5273">
        <v>53.402736663818303</v>
      </c>
      <c r="H5273">
        <v>13</v>
      </c>
      <c r="I5273">
        <v>18</v>
      </c>
      <c r="J5273">
        <v>30</v>
      </c>
    </row>
    <row r="5274" spans="1:10" x14ac:dyDescent="0.25">
      <c r="A5274" t="s">
        <v>25</v>
      </c>
      <c r="B5274" t="s">
        <v>19</v>
      </c>
      <c r="C5274" t="s">
        <v>18</v>
      </c>
      <c r="D5274" t="s">
        <v>13</v>
      </c>
      <c r="E5274">
        <v>0.94703196347031904</v>
      </c>
      <c r="F5274">
        <v>0.96744199999187097</v>
      </c>
      <c r="G5274">
        <v>53.451757431030202</v>
      </c>
      <c r="H5274">
        <v>18</v>
      </c>
      <c r="I5274">
        <v>31</v>
      </c>
      <c r="J5274">
        <v>30</v>
      </c>
    </row>
    <row r="5275" spans="1:10" x14ac:dyDescent="0.25">
      <c r="A5275" t="s">
        <v>25</v>
      </c>
      <c r="B5275" t="s">
        <v>19</v>
      </c>
      <c r="C5275" t="s">
        <v>18</v>
      </c>
      <c r="D5275" t="s">
        <v>13</v>
      </c>
      <c r="E5275">
        <v>0.96438356164383499</v>
      </c>
      <c r="F5275">
        <v>0.96878406758009095</v>
      </c>
      <c r="G5275">
        <v>53.568459987640303</v>
      </c>
      <c r="H5275">
        <v>23</v>
      </c>
      <c r="I5275">
        <v>34</v>
      </c>
      <c r="J5275">
        <v>30</v>
      </c>
    </row>
    <row r="5276" spans="1:10" x14ac:dyDescent="0.25">
      <c r="A5276" t="s">
        <v>25</v>
      </c>
      <c r="B5276" t="s">
        <v>19</v>
      </c>
      <c r="C5276" t="s">
        <v>18</v>
      </c>
      <c r="D5276" t="s">
        <v>13</v>
      </c>
      <c r="E5276">
        <v>0.95799086757990803</v>
      </c>
      <c r="F5276">
        <v>0.96333333654100395</v>
      </c>
      <c r="G5276">
        <v>53.636018991470301</v>
      </c>
      <c r="H5276">
        <v>24</v>
      </c>
      <c r="I5276">
        <v>42</v>
      </c>
      <c r="J5276">
        <v>30</v>
      </c>
    </row>
    <row r="5277" spans="1:10" x14ac:dyDescent="0.25">
      <c r="A5277" t="s">
        <v>25</v>
      </c>
      <c r="B5277" t="s">
        <v>19</v>
      </c>
      <c r="C5277" t="s">
        <v>18</v>
      </c>
      <c r="D5277" t="s">
        <v>13</v>
      </c>
      <c r="E5277">
        <v>0.95159817351598097</v>
      </c>
      <c r="F5277">
        <v>0.96442381852310399</v>
      </c>
      <c r="G5277">
        <v>53.728938817977898</v>
      </c>
      <c r="H5277">
        <v>15</v>
      </c>
      <c r="I5277">
        <v>24</v>
      </c>
      <c r="J5277">
        <v>30</v>
      </c>
    </row>
    <row r="5278" spans="1:10" x14ac:dyDescent="0.25">
      <c r="A5278" t="s">
        <v>25</v>
      </c>
      <c r="B5278" t="s">
        <v>19</v>
      </c>
      <c r="C5278" t="s">
        <v>18</v>
      </c>
      <c r="D5278" t="s">
        <v>13</v>
      </c>
      <c r="E5278">
        <v>0.94794520547945205</v>
      </c>
      <c r="F5278">
        <v>0.96742587864693996</v>
      </c>
      <c r="G5278">
        <v>54.051576614379798</v>
      </c>
      <c r="H5278">
        <v>16</v>
      </c>
      <c r="I5278">
        <v>29</v>
      </c>
      <c r="J5278">
        <v>30</v>
      </c>
    </row>
    <row r="5279" spans="1:10" x14ac:dyDescent="0.25">
      <c r="A5279" t="s">
        <v>25</v>
      </c>
      <c r="B5279" t="s">
        <v>19</v>
      </c>
      <c r="C5279" t="s">
        <v>18</v>
      </c>
      <c r="D5279" t="s">
        <v>13</v>
      </c>
      <c r="E5279">
        <v>0.96894977168949703</v>
      </c>
      <c r="F5279">
        <v>0.97174769427707697</v>
      </c>
      <c r="G5279">
        <v>54.157486200332599</v>
      </c>
      <c r="H5279">
        <v>24</v>
      </c>
      <c r="I5279">
        <v>39</v>
      </c>
      <c r="J5279">
        <v>30</v>
      </c>
    </row>
    <row r="5280" spans="1:10" x14ac:dyDescent="0.25">
      <c r="A5280" t="s">
        <v>25</v>
      </c>
      <c r="B5280" t="s">
        <v>19</v>
      </c>
      <c r="C5280" t="s">
        <v>18</v>
      </c>
      <c r="D5280" t="s">
        <v>13</v>
      </c>
      <c r="E5280">
        <v>0.91415525114155205</v>
      </c>
      <c r="F5280">
        <v>0.96756968064456605</v>
      </c>
      <c r="G5280">
        <v>54.449190139770501</v>
      </c>
      <c r="H5280">
        <v>12</v>
      </c>
      <c r="I5280">
        <v>20</v>
      </c>
      <c r="J5280">
        <v>30</v>
      </c>
    </row>
    <row r="5281" spans="1:10" x14ac:dyDescent="0.25">
      <c r="A5281" t="s">
        <v>25</v>
      </c>
      <c r="B5281" t="s">
        <v>19</v>
      </c>
      <c r="C5281" t="s">
        <v>18</v>
      </c>
      <c r="D5281" t="s">
        <v>13</v>
      </c>
      <c r="E5281">
        <v>0.96894977168949703</v>
      </c>
      <c r="F5281">
        <v>0.97220708019031898</v>
      </c>
      <c r="G5281">
        <v>54.445238113403299</v>
      </c>
      <c r="H5281">
        <v>30</v>
      </c>
      <c r="I5281">
        <v>60</v>
      </c>
      <c r="J5281">
        <v>30</v>
      </c>
    </row>
    <row r="5282" spans="1:10" x14ac:dyDescent="0.25">
      <c r="A5282" t="s">
        <v>25</v>
      </c>
      <c r="B5282" t="s">
        <v>19</v>
      </c>
      <c r="C5282" t="s">
        <v>18</v>
      </c>
      <c r="D5282" t="s">
        <v>14</v>
      </c>
      <c r="E5282">
        <v>0.91689497716894897</v>
      </c>
      <c r="F5282">
        <v>0.92371123301552505</v>
      </c>
      <c r="G5282">
        <v>33.3662495613098</v>
      </c>
      <c r="H5282">
        <v>8</v>
      </c>
      <c r="I5282">
        <v>8</v>
      </c>
      <c r="J5282">
        <v>30</v>
      </c>
    </row>
    <row r="5283" spans="1:10" x14ac:dyDescent="0.25">
      <c r="A5283" t="s">
        <v>25</v>
      </c>
      <c r="B5283" t="s">
        <v>19</v>
      </c>
      <c r="C5283" t="s">
        <v>18</v>
      </c>
      <c r="D5283" t="s">
        <v>14</v>
      </c>
      <c r="E5283">
        <v>0.92420091324200904</v>
      </c>
      <c r="F5283">
        <v>0.92954310952191899</v>
      </c>
      <c r="G5283">
        <v>33.612025499343801</v>
      </c>
      <c r="H5283">
        <v>6</v>
      </c>
      <c r="I5283">
        <v>6</v>
      </c>
      <c r="J5283">
        <v>30</v>
      </c>
    </row>
    <row r="5284" spans="1:10" x14ac:dyDescent="0.25">
      <c r="A5284" t="s">
        <v>25</v>
      </c>
      <c r="B5284" t="s">
        <v>19</v>
      </c>
      <c r="C5284" t="s">
        <v>18</v>
      </c>
      <c r="D5284" t="s">
        <v>14</v>
      </c>
      <c r="E5284">
        <v>0.91232876712328703</v>
      </c>
      <c r="F5284">
        <v>0.92004797737460997</v>
      </c>
      <c r="G5284">
        <v>34.089936256408599</v>
      </c>
      <c r="H5284">
        <v>8</v>
      </c>
      <c r="I5284">
        <v>8</v>
      </c>
      <c r="J5284">
        <v>30</v>
      </c>
    </row>
    <row r="5285" spans="1:10" x14ac:dyDescent="0.25">
      <c r="A5285" t="s">
        <v>25</v>
      </c>
      <c r="B5285" t="s">
        <v>19</v>
      </c>
      <c r="C5285" t="s">
        <v>18</v>
      </c>
      <c r="D5285" t="s">
        <v>14</v>
      </c>
      <c r="E5285">
        <v>0.91598173515981696</v>
      </c>
      <c r="F5285">
        <v>0.922558115129681</v>
      </c>
      <c r="G5285">
        <v>34.3206913471221</v>
      </c>
      <c r="H5285">
        <v>6</v>
      </c>
      <c r="I5285">
        <v>6</v>
      </c>
      <c r="J5285">
        <v>30</v>
      </c>
    </row>
    <row r="5286" spans="1:10" x14ac:dyDescent="0.25">
      <c r="A5286" t="s">
        <v>25</v>
      </c>
      <c r="B5286" t="s">
        <v>19</v>
      </c>
      <c r="C5286" t="s">
        <v>18</v>
      </c>
      <c r="D5286" t="s">
        <v>14</v>
      </c>
      <c r="E5286">
        <v>0.91141552511415502</v>
      </c>
      <c r="F5286">
        <v>0.91995017033908499</v>
      </c>
      <c r="G5286">
        <v>34.520215749740601</v>
      </c>
      <c r="H5286">
        <v>6</v>
      </c>
      <c r="I5286">
        <v>6</v>
      </c>
      <c r="J5286">
        <v>30</v>
      </c>
    </row>
    <row r="5287" spans="1:10" x14ac:dyDescent="0.25">
      <c r="A5287" t="s">
        <v>25</v>
      </c>
      <c r="B5287" t="s">
        <v>19</v>
      </c>
      <c r="C5287" t="s">
        <v>18</v>
      </c>
      <c r="D5287" t="s">
        <v>14</v>
      </c>
      <c r="E5287">
        <v>0.91506849315068495</v>
      </c>
      <c r="F5287">
        <v>0.92219703365652805</v>
      </c>
      <c r="G5287">
        <v>34.865365028381298</v>
      </c>
      <c r="H5287">
        <v>6</v>
      </c>
      <c r="I5287">
        <v>6</v>
      </c>
      <c r="J5287">
        <v>30</v>
      </c>
    </row>
    <row r="5288" spans="1:10" x14ac:dyDescent="0.25">
      <c r="A5288" t="s">
        <v>25</v>
      </c>
      <c r="B5288" t="s">
        <v>19</v>
      </c>
      <c r="C5288" t="s">
        <v>18</v>
      </c>
      <c r="D5288" t="s">
        <v>14</v>
      </c>
      <c r="E5288">
        <v>0.92146118721461101</v>
      </c>
      <c r="F5288">
        <v>0.92814090347762501</v>
      </c>
      <c r="G5288">
        <v>34.849488973617497</v>
      </c>
      <c r="H5288">
        <v>7</v>
      </c>
      <c r="I5288">
        <v>7</v>
      </c>
      <c r="J5288">
        <v>30</v>
      </c>
    </row>
    <row r="5289" spans="1:10" x14ac:dyDescent="0.25">
      <c r="A5289" t="s">
        <v>25</v>
      </c>
      <c r="B5289" t="s">
        <v>19</v>
      </c>
      <c r="C5289" t="s">
        <v>18</v>
      </c>
      <c r="D5289" t="s">
        <v>14</v>
      </c>
      <c r="E5289">
        <v>0.91963470319634699</v>
      </c>
      <c r="F5289">
        <v>0.92567410273059203</v>
      </c>
      <c r="G5289">
        <v>35.059489488601599</v>
      </c>
      <c r="H5289">
        <v>6</v>
      </c>
      <c r="I5289">
        <v>6</v>
      </c>
      <c r="J5289">
        <v>30</v>
      </c>
    </row>
    <row r="5290" spans="1:10" x14ac:dyDescent="0.25">
      <c r="A5290" t="s">
        <v>25</v>
      </c>
      <c r="B5290" t="s">
        <v>19</v>
      </c>
      <c r="C5290" t="s">
        <v>18</v>
      </c>
      <c r="D5290" t="s">
        <v>14</v>
      </c>
      <c r="E5290">
        <v>0.92146118721461101</v>
      </c>
      <c r="F5290">
        <v>0.92751284360073205</v>
      </c>
      <c r="G5290">
        <v>35.379291057586599</v>
      </c>
      <c r="H5290">
        <v>7</v>
      </c>
      <c r="I5290">
        <v>7</v>
      </c>
      <c r="J5290">
        <v>30</v>
      </c>
    </row>
    <row r="5291" spans="1:10" x14ac:dyDescent="0.25">
      <c r="A5291" t="s">
        <v>25</v>
      </c>
      <c r="B5291" t="s">
        <v>19</v>
      </c>
      <c r="C5291" t="s">
        <v>18</v>
      </c>
      <c r="D5291" t="s">
        <v>14</v>
      </c>
      <c r="E5291">
        <v>0.92511415525114105</v>
      </c>
      <c r="F5291">
        <v>0.93009399779780699</v>
      </c>
      <c r="G5291">
        <v>35.523769855499197</v>
      </c>
      <c r="H5291">
        <v>8</v>
      </c>
      <c r="I5291">
        <v>8</v>
      </c>
      <c r="J5291">
        <v>30</v>
      </c>
    </row>
    <row r="5292" spans="1:10" x14ac:dyDescent="0.25">
      <c r="A5292" t="s">
        <v>25</v>
      </c>
      <c r="B5292" t="s">
        <v>19</v>
      </c>
      <c r="C5292" t="s">
        <v>18</v>
      </c>
      <c r="D5292" t="s">
        <v>14</v>
      </c>
      <c r="E5292">
        <v>0.92876712328767097</v>
      </c>
      <c r="F5292">
        <v>0.93279684785881201</v>
      </c>
      <c r="G5292">
        <v>35.810586690902703</v>
      </c>
      <c r="H5292">
        <v>6</v>
      </c>
      <c r="I5292">
        <v>6</v>
      </c>
      <c r="J5292">
        <v>30</v>
      </c>
    </row>
    <row r="5293" spans="1:10" x14ac:dyDescent="0.25">
      <c r="A5293" t="s">
        <v>25</v>
      </c>
      <c r="B5293" t="s">
        <v>19</v>
      </c>
      <c r="C5293" t="s">
        <v>18</v>
      </c>
      <c r="D5293" t="s">
        <v>14</v>
      </c>
      <c r="E5293">
        <v>0.91232876712328703</v>
      </c>
      <c r="F5293">
        <v>0.91949943268319401</v>
      </c>
      <c r="G5293">
        <v>36.1050379276275</v>
      </c>
      <c r="H5293">
        <v>6</v>
      </c>
      <c r="I5293">
        <v>6</v>
      </c>
      <c r="J5293">
        <v>30</v>
      </c>
    </row>
    <row r="5294" spans="1:10" x14ac:dyDescent="0.25">
      <c r="A5294" t="s">
        <v>25</v>
      </c>
      <c r="B5294" t="s">
        <v>19</v>
      </c>
      <c r="C5294" t="s">
        <v>18</v>
      </c>
      <c r="D5294" t="s">
        <v>14</v>
      </c>
      <c r="E5294">
        <v>0.91506849315068495</v>
      </c>
      <c r="F5294">
        <v>0.92318540085534195</v>
      </c>
      <c r="G5294">
        <v>36.196153402328399</v>
      </c>
      <c r="H5294">
        <v>6</v>
      </c>
      <c r="I5294">
        <v>6</v>
      </c>
      <c r="J5294">
        <v>30</v>
      </c>
    </row>
    <row r="5295" spans="1:10" x14ac:dyDescent="0.25">
      <c r="A5295" t="s">
        <v>25</v>
      </c>
      <c r="B5295" t="s">
        <v>19</v>
      </c>
      <c r="C5295" t="s">
        <v>18</v>
      </c>
      <c r="D5295" t="s">
        <v>14</v>
      </c>
      <c r="E5295">
        <v>0.91324200913242004</v>
      </c>
      <c r="F5295">
        <v>0.92045529787735103</v>
      </c>
      <c r="G5295">
        <v>36.285017728805499</v>
      </c>
      <c r="H5295">
        <v>9</v>
      </c>
      <c r="I5295">
        <v>9</v>
      </c>
      <c r="J5295">
        <v>30</v>
      </c>
    </row>
    <row r="5296" spans="1:10" x14ac:dyDescent="0.25">
      <c r="A5296" t="s">
        <v>25</v>
      </c>
      <c r="B5296" t="s">
        <v>19</v>
      </c>
      <c r="C5296" t="s">
        <v>18</v>
      </c>
      <c r="D5296" t="s">
        <v>14</v>
      </c>
      <c r="E5296">
        <v>0.92876712328767097</v>
      </c>
      <c r="F5296">
        <v>0.93306536839342302</v>
      </c>
      <c r="G5296">
        <v>36.447386503219597</v>
      </c>
      <c r="H5296">
        <v>9</v>
      </c>
      <c r="I5296">
        <v>9</v>
      </c>
      <c r="J5296">
        <v>30</v>
      </c>
    </row>
    <row r="5297" spans="1:10" x14ac:dyDescent="0.25">
      <c r="A5297" t="s">
        <v>25</v>
      </c>
      <c r="B5297" t="s">
        <v>19</v>
      </c>
      <c r="C5297" t="s">
        <v>18</v>
      </c>
      <c r="D5297" t="s">
        <v>14</v>
      </c>
      <c r="E5297">
        <v>0.91141552511415502</v>
      </c>
      <c r="F5297">
        <v>0.91931015276666495</v>
      </c>
      <c r="G5297">
        <v>36.522671222686697</v>
      </c>
      <c r="H5297">
        <v>6</v>
      </c>
      <c r="I5297">
        <v>6</v>
      </c>
      <c r="J5297">
        <v>30</v>
      </c>
    </row>
    <row r="5298" spans="1:10" x14ac:dyDescent="0.25">
      <c r="A5298" t="s">
        <v>25</v>
      </c>
      <c r="B5298" t="s">
        <v>19</v>
      </c>
      <c r="C5298" t="s">
        <v>18</v>
      </c>
      <c r="D5298" t="s">
        <v>14</v>
      </c>
      <c r="E5298">
        <v>0.92694063926940595</v>
      </c>
      <c r="F5298">
        <v>0.93217948572949805</v>
      </c>
      <c r="G5298">
        <v>36.552293062209998</v>
      </c>
      <c r="H5298">
        <v>9</v>
      </c>
      <c r="I5298">
        <v>9</v>
      </c>
      <c r="J5298">
        <v>30</v>
      </c>
    </row>
    <row r="5299" spans="1:10" x14ac:dyDescent="0.25">
      <c r="A5299" t="s">
        <v>25</v>
      </c>
      <c r="B5299" t="s">
        <v>19</v>
      </c>
      <c r="C5299" t="s">
        <v>18</v>
      </c>
      <c r="D5299" t="s">
        <v>14</v>
      </c>
      <c r="E5299">
        <v>0.91872146118721398</v>
      </c>
      <c r="F5299">
        <v>0.92487919221762704</v>
      </c>
      <c r="G5299">
        <v>36.577240228652897</v>
      </c>
      <c r="H5299">
        <v>8</v>
      </c>
      <c r="I5299">
        <v>8</v>
      </c>
      <c r="J5299">
        <v>30</v>
      </c>
    </row>
    <row r="5300" spans="1:10" x14ac:dyDescent="0.25">
      <c r="A5300" t="s">
        <v>25</v>
      </c>
      <c r="B5300" t="s">
        <v>19</v>
      </c>
      <c r="C5300" t="s">
        <v>18</v>
      </c>
      <c r="D5300" t="s">
        <v>14</v>
      </c>
      <c r="E5300">
        <v>0.90410958904109495</v>
      </c>
      <c r="F5300">
        <v>0.91312769461872201</v>
      </c>
      <c r="G5300">
        <v>36.723151445388702</v>
      </c>
      <c r="H5300">
        <v>6</v>
      </c>
      <c r="I5300">
        <v>6</v>
      </c>
      <c r="J5300">
        <v>30</v>
      </c>
    </row>
    <row r="5301" spans="1:10" x14ac:dyDescent="0.25">
      <c r="A5301" t="s">
        <v>25</v>
      </c>
      <c r="B5301" t="s">
        <v>19</v>
      </c>
      <c r="C5301" t="s">
        <v>18</v>
      </c>
      <c r="D5301" t="s">
        <v>14</v>
      </c>
      <c r="E5301">
        <v>0.91141552511415502</v>
      </c>
      <c r="F5301">
        <v>0.91901584043926898</v>
      </c>
      <c r="G5301">
        <v>36.804460763931203</v>
      </c>
      <c r="H5301">
        <v>6</v>
      </c>
      <c r="I5301">
        <v>6</v>
      </c>
      <c r="J5301">
        <v>30</v>
      </c>
    </row>
    <row r="5302" spans="1:10" x14ac:dyDescent="0.25">
      <c r="A5302" t="s">
        <v>25</v>
      </c>
      <c r="B5302" t="s">
        <v>19</v>
      </c>
      <c r="C5302" t="s">
        <v>18</v>
      </c>
      <c r="D5302" t="s">
        <v>14</v>
      </c>
      <c r="E5302">
        <v>0.91506849315068495</v>
      </c>
      <c r="F5302">
        <v>0.92200771213114197</v>
      </c>
      <c r="G5302">
        <v>36.965873003005903</v>
      </c>
      <c r="H5302">
        <v>6</v>
      </c>
      <c r="I5302">
        <v>6</v>
      </c>
      <c r="J5302">
        <v>30</v>
      </c>
    </row>
    <row r="5303" spans="1:10" x14ac:dyDescent="0.25">
      <c r="A5303" t="s">
        <v>25</v>
      </c>
      <c r="B5303" t="s">
        <v>19</v>
      </c>
      <c r="C5303" t="s">
        <v>18</v>
      </c>
      <c r="D5303" t="s">
        <v>14</v>
      </c>
      <c r="E5303">
        <v>0.91872146118721398</v>
      </c>
      <c r="F5303">
        <v>0.92520756214474897</v>
      </c>
      <c r="G5303">
        <v>37.101300716400097</v>
      </c>
      <c r="H5303">
        <v>7</v>
      </c>
      <c r="I5303">
        <v>7</v>
      </c>
      <c r="J5303">
        <v>30</v>
      </c>
    </row>
    <row r="5304" spans="1:10" x14ac:dyDescent="0.25">
      <c r="A5304" t="s">
        <v>25</v>
      </c>
      <c r="B5304" t="s">
        <v>19</v>
      </c>
      <c r="C5304" t="s">
        <v>18</v>
      </c>
      <c r="D5304" t="s">
        <v>14</v>
      </c>
      <c r="E5304">
        <v>0.91141552511415502</v>
      </c>
      <c r="F5304">
        <v>0.91956394839369904</v>
      </c>
      <c r="G5304">
        <v>37.120960474014197</v>
      </c>
      <c r="H5304">
        <v>6</v>
      </c>
      <c r="I5304">
        <v>6</v>
      </c>
      <c r="J5304">
        <v>30</v>
      </c>
    </row>
    <row r="5305" spans="1:10" x14ac:dyDescent="0.25">
      <c r="A5305" t="s">
        <v>25</v>
      </c>
      <c r="B5305" t="s">
        <v>19</v>
      </c>
      <c r="C5305" t="s">
        <v>18</v>
      </c>
      <c r="D5305" t="s">
        <v>14</v>
      </c>
      <c r="E5305">
        <v>0.92420091324200904</v>
      </c>
      <c r="F5305">
        <v>0.92925636797296796</v>
      </c>
      <c r="G5305">
        <v>37.803906440734799</v>
      </c>
      <c r="H5305">
        <v>6</v>
      </c>
      <c r="I5305">
        <v>6</v>
      </c>
      <c r="J5305">
        <v>30</v>
      </c>
    </row>
    <row r="5306" spans="1:10" x14ac:dyDescent="0.25">
      <c r="A5306" t="s">
        <v>25</v>
      </c>
      <c r="B5306" t="s">
        <v>19</v>
      </c>
      <c r="C5306" t="s">
        <v>18</v>
      </c>
      <c r="D5306" t="s">
        <v>14</v>
      </c>
      <c r="E5306">
        <v>0.91598173515981696</v>
      </c>
      <c r="F5306">
        <v>0.92264407879607102</v>
      </c>
      <c r="G5306">
        <v>37.8434734344482</v>
      </c>
      <c r="H5306">
        <v>6</v>
      </c>
      <c r="I5306">
        <v>6</v>
      </c>
      <c r="J5306">
        <v>30</v>
      </c>
    </row>
    <row r="5307" spans="1:10" x14ac:dyDescent="0.25">
      <c r="A5307" t="s">
        <v>25</v>
      </c>
      <c r="B5307" t="s">
        <v>19</v>
      </c>
      <c r="C5307" t="s">
        <v>18</v>
      </c>
      <c r="D5307" t="s">
        <v>14</v>
      </c>
      <c r="E5307">
        <v>0.91415525114155205</v>
      </c>
      <c r="F5307">
        <v>0.92175478547753398</v>
      </c>
      <c r="G5307">
        <v>37.906128168106001</v>
      </c>
      <c r="H5307">
        <v>6</v>
      </c>
      <c r="I5307">
        <v>6</v>
      </c>
      <c r="J5307">
        <v>30</v>
      </c>
    </row>
    <row r="5308" spans="1:10" x14ac:dyDescent="0.25">
      <c r="A5308" t="s">
        <v>25</v>
      </c>
      <c r="B5308" t="s">
        <v>19</v>
      </c>
      <c r="C5308" t="s">
        <v>18</v>
      </c>
      <c r="D5308" t="s">
        <v>14</v>
      </c>
      <c r="E5308">
        <v>0.92694063926940595</v>
      </c>
      <c r="F5308">
        <v>0.93200595704703104</v>
      </c>
      <c r="G5308">
        <v>37.969913721084502</v>
      </c>
      <c r="H5308">
        <v>6</v>
      </c>
      <c r="I5308">
        <v>6</v>
      </c>
      <c r="J5308">
        <v>30</v>
      </c>
    </row>
    <row r="5309" spans="1:10" x14ac:dyDescent="0.25">
      <c r="A5309" t="s">
        <v>25</v>
      </c>
      <c r="B5309" t="s">
        <v>19</v>
      </c>
      <c r="C5309" t="s">
        <v>18</v>
      </c>
      <c r="D5309" t="s">
        <v>14</v>
      </c>
      <c r="E5309">
        <v>0.92237442922374402</v>
      </c>
      <c r="F5309">
        <v>0.92792574834840202</v>
      </c>
      <c r="G5309">
        <v>38.015006780624297</v>
      </c>
      <c r="H5309">
        <v>6</v>
      </c>
      <c r="I5309">
        <v>6</v>
      </c>
      <c r="J5309">
        <v>30</v>
      </c>
    </row>
    <row r="5310" spans="1:10" x14ac:dyDescent="0.25">
      <c r="A5310" t="s">
        <v>25</v>
      </c>
      <c r="B5310" t="s">
        <v>19</v>
      </c>
      <c r="C5310" t="s">
        <v>18</v>
      </c>
      <c r="D5310" t="s">
        <v>14</v>
      </c>
      <c r="E5310">
        <v>0.91598173515981696</v>
      </c>
      <c r="F5310">
        <v>0.92269830891360805</v>
      </c>
      <c r="G5310">
        <v>38.131438493728602</v>
      </c>
      <c r="H5310">
        <v>6</v>
      </c>
      <c r="I5310">
        <v>6</v>
      </c>
      <c r="J5310">
        <v>30</v>
      </c>
    </row>
    <row r="5311" spans="1:10" x14ac:dyDescent="0.25">
      <c r="A5311" t="s">
        <v>25</v>
      </c>
      <c r="B5311" t="s">
        <v>19</v>
      </c>
      <c r="C5311" t="s">
        <v>18</v>
      </c>
      <c r="D5311" t="s">
        <v>14</v>
      </c>
      <c r="E5311">
        <v>0.90502283105022796</v>
      </c>
      <c r="F5311">
        <v>0.91405595208913304</v>
      </c>
      <c r="G5311">
        <v>38.166489839553797</v>
      </c>
      <c r="H5311">
        <v>7</v>
      </c>
      <c r="I5311">
        <v>7</v>
      </c>
      <c r="J5311">
        <v>30</v>
      </c>
    </row>
    <row r="5312" spans="1:10" x14ac:dyDescent="0.25">
      <c r="A5312" t="s">
        <v>25</v>
      </c>
      <c r="B5312" t="s">
        <v>19</v>
      </c>
      <c r="C5312" t="s">
        <v>18</v>
      </c>
      <c r="D5312" t="s">
        <v>15</v>
      </c>
      <c r="E5312">
        <v>0</v>
      </c>
      <c r="F5312">
        <v>0.75</v>
      </c>
      <c r="G5312">
        <v>33.324956178665097</v>
      </c>
      <c r="H5312">
        <v>0</v>
      </c>
      <c r="I5312">
        <v>0</v>
      </c>
      <c r="J5312">
        <v>30</v>
      </c>
    </row>
    <row r="5313" spans="1:10" x14ac:dyDescent="0.25">
      <c r="A5313" t="s">
        <v>25</v>
      </c>
      <c r="B5313" t="s">
        <v>19</v>
      </c>
      <c r="C5313" t="s">
        <v>18</v>
      </c>
      <c r="D5313" t="s">
        <v>15</v>
      </c>
      <c r="E5313">
        <v>0</v>
      </c>
      <c r="F5313">
        <v>0.75</v>
      </c>
      <c r="G5313">
        <v>33.717999219894402</v>
      </c>
      <c r="H5313">
        <v>2</v>
      </c>
      <c r="I5313">
        <v>13</v>
      </c>
      <c r="J5313">
        <v>30</v>
      </c>
    </row>
    <row r="5314" spans="1:10" x14ac:dyDescent="0.25">
      <c r="A5314" t="s">
        <v>25</v>
      </c>
      <c r="B5314" t="s">
        <v>19</v>
      </c>
      <c r="C5314" t="s">
        <v>18</v>
      </c>
      <c r="D5314" t="s">
        <v>15</v>
      </c>
      <c r="E5314">
        <v>0</v>
      </c>
      <c r="F5314">
        <v>0.75</v>
      </c>
      <c r="G5314">
        <v>46.915825605392399</v>
      </c>
      <c r="H5314">
        <v>0</v>
      </c>
      <c r="I5314">
        <v>0</v>
      </c>
      <c r="J5314">
        <v>30</v>
      </c>
    </row>
    <row r="5315" spans="1:10" x14ac:dyDescent="0.25">
      <c r="A5315" t="s">
        <v>25</v>
      </c>
      <c r="B5315" t="s">
        <v>19</v>
      </c>
      <c r="C5315" t="s">
        <v>18</v>
      </c>
      <c r="D5315" t="s">
        <v>15</v>
      </c>
      <c r="E5315">
        <v>0</v>
      </c>
      <c r="F5315">
        <v>0.75</v>
      </c>
      <c r="G5315">
        <v>53.6209268569946</v>
      </c>
      <c r="H5315">
        <v>0</v>
      </c>
      <c r="I5315">
        <v>0</v>
      </c>
      <c r="J5315">
        <v>30</v>
      </c>
    </row>
    <row r="5316" spans="1:10" x14ac:dyDescent="0.25">
      <c r="A5316" t="s">
        <v>25</v>
      </c>
      <c r="B5316" t="s">
        <v>19</v>
      </c>
      <c r="C5316" t="s">
        <v>18</v>
      </c>
      <c r="D5316" t="s">
        <v>15</v>
      </c>
      <c r="E5316">
        <v>0</v>
      </c>
      <c r="F5316">
        <v>0.75</v>
      </c>
      <c r="G5316">
        <v>61.967183351516702</v>
      </c>
      <c r="H5316">
        <v>0</v>
      </c>
      <c r="I5316">
        <v>0</v>
      </c>
      <c r="J5316">
        <v>30</v>
      </c>
    </row>
    <row r="5317" spans="1:10" x14ac:dyDescent="0.25">
      <c r="A5317" t="s">
        <v>25</v>
      </c>
      <c r="B5317" t="s">
        <v>19</v>
      </c>
      <c r="C5317" t="s">
        <v>18</v>
      </c>
      <c r="D5317" t="s">
        <v>15</v>
      </c>
      <c r="E5317">
        <v>0</v>
      </c>
      <c r="F5317">
        <v>0.75</v>
      </c>
      <c r="G5317">
        <v>67.092779874801593</v>
      </c>
      <c r="H5317">
        <v>0</v>
      </c>
      <c r="I5317">
        <v>0</v>
      </c>
      <c r="J5317">
        <v>30</v>
      </c>
    </row>
    <row r="5318" spans="1:10" x14ac:dyDescent="0.25">
      <c r="A5318" t="s">
        <v>25</v>
      </c>
      <c r="B5318" t="s">
        <v>19</v>
      </c>
      <c r="C5318" t="s">
        <v>18</v>
      </c>
      <c r="D5318" t="s">
        <v>15</v>
      </c>
      <c r="E5318">
        <v>0</v>
      </c>
      <c r="F5318">
        <v>0.75</v>
      </c>
      <c r="G5318">
        <v>68.281276941299396</v>
      </c>
      <c r="H5318">
        <v>0</v>
      </c>
      <c r="I5318">
        <v>0</v>
      </c>
      <c r="J5318">
        <v>30</v>
      </c>
    </row>
    <row r="5319" spans="1:10" x14ac:dyDescent="0.25">
      <c r="A5319" t="s">
        <v>25</v>
      </c>
      <c r="B5319" t="s">
        <v>19</v>
      </c>
      <c r="C5319" t="s">
        <v>18</v>
      </c>
      <c r="D5319" t="s">
        <v>15</v>
      </c>
      <c r="E5319">
        <v>0</v>
      </c>
      <c r="F5319">
        <v>0.75</v>
      </c>
      <c r="G5319">
        <v>73.914412021636906</v>
      </c>
      <c r="H5319">
        <v>0</v>
      </c>
      <c r="I5319">
        <v>0</v>
      </c>
      <c r="J5319">
        <v>30</v>
      </c>
    </row>
    <row r="5320" spans="1:10" x14ac:dyDescent="0.25">
      <c r="A5320" t="s">
        <v>25</v>
      </c>
      <c r="B5320" t="s">
        <v>19</v>
      </c>
      <c r="C5320" t="s">
        <v>18</v>
      </c>
      <c r="D5320" t="s">
        <v>15</v>
      </c>
      <c r="E5320">
        <v>0</v>
      </c>
      <c r="F5320">
        <v>0.75</v>
      </c>
      <c r="G5320">
        <v>74.277841806411701</v>
      </c>
      <c r="H5320">
        <v>0</v>
      </c>
      <c r="I5320">
        <v>0</v>
      </c>
      <c r="J5320">
        <v>30</v>
      </c>
    </row>
    <row r="5321" spans="1:10" x14ac:dyDescent="0.25">
      <c r="A5321" t="s">
        <v>25</v>
      </c>
      <c r="B5321" t="s">
        <v>19</v>
      </c>
      <c r="C5321" t="s">
        <v>18</v>
      </c>
      <c r="D5321" t="s">
        <v>15</v>
      </c>
      <c r="E5321">
        <v>0</v>
      </c>
      <c r="F5321">
        <v>0.75</v>
      </c>
      <c r="G5321">
        <v>79.728995323181096</v>
      </c>
      <c r="H5321">
        <v>0</v>
      </c>
      <c r="I5321">
        <v>0</v>
      </c>
      <c r="J5321">
        <v>30</v>
      </c>
    </row>
    <row r="5322" spans="1:10" x14ac:dyDescent="0.25">
      <c r="A5322" t="s">
        <v>25</v>
      </c>
      <c r="B5322" t="s">
        <v>19</v>
      </c>
      <c r="C5322" t="s">
        <v>18</v>
      </c>
      <c r="D5322" t="s">
        <v>15</v>
      </c>
      <c r="E5322">
        <v>0</v>
      </c>
      <c r="F5322">
        <v>0.75</v>
      </c>
      <c r="G5322">
        <v>80.893298625946002</v>
      </c>
      <c r="H5322">
        <v>0</v>
      </c>
      <c r="I5322">
        <v>0</v>
      </c>
      <c r="J5322">
        <v>30</v>
      </c>
    </row>
    <row r="5323" spans="1:10" x14ac:dyDescent="0.25">
      <c r="A5323" t="s">
        <v>25</v>
      </c>
      <c r="B5323" t="s">
        <v>19</v>
      </c>
      <c r="C5323" t="s">
        <v>18</v>
      </c>
      <c r="D5323" t="s">
        <v>15</v>
      </c>
      <c r="E5323">
        <v>0</v>
      </c>
      <c r="F5323">
        <v>0.75</v>
      </c>
      <c r="G5323">
        <v>82.809267997741699</v>
      </c>
      <c r="H5323">
        <v>0</v>
      </c>
      <c r="I5323">
        <v>0</v>
      </c>
      <c r="J5323">
        <v>30</v>
      </c>
    </row>
    <row r="5324" spans="1:10" x14ac:dyDescent="0.25">
      <c r="A5324" t="s">
        <v>25</v>
      </c>
      <c r="B5324" t="s">
        <v>19</v>
      </c>
      <c r="C5324" t="s">
        <v>18</v>
      </c>
      <c r="D5324" t="s">
        <v>15</v>
      </c>
      <c r="E5324">
        <v>0</v>
      </c>
      <c r="F5324">
        <v>0.75</v>
      </c>
      <c r="G5324">
        <v>85.048639059066701</v>
      </c>
      <c r="H5324">
        <v>0</v>
      </c>
      <c r="I5324">
        <v>0</v>
      </c>
      <c r="J5324">
        <v>30</v>
      </c>
    </row>
    <row r="5325" spans="1:10" x14ac:dyDescent="0.25">
      <c r="A5325" t="s">
        <v>25</v>
      </c>
      <c r="B5325" t="s">
        <v>19</v>
      </c>
      <c r="C5325" t="s">
        <v>18</v>
      </c>
      <c r="D5325" t="s">
        <v>15</v>
      </c>
      <c r="E5325">
        <v>0</v>
      </c>
      <c r="F5325">
        <v>0.75</v>
      </c>
      <c r="G5325">
        <v>85.079110383987398</v>
      </c>
      <c r="H5325">
        <v>0</v>
      </c>
      <c r="I5325">
        <v>0</v>
      </c>
      <c r="J5325">
        <v>30</v>
      </c>
    </row>
    <row r="5326" spans="1:10" x14ac:dyDescent="0.25">
      <c r="A5326" t="s">
        <v>25</v>
      </c>
      <c r="B5326" t="s">
        <v>19</v>
      </c>
      <c r="C5326" t="s">
        <v>18</v>
      </c>
      <c r="D5326" t="s">
        <v>15</v>
      </c>
      <c r="E5326">
        <v>0</v>
      </c>
      <c r="F5326">
        <v>0.75</v>
      </c>
      <c r="G5326">
        <v>85.852560758590698</v>
      </c>
      <c r="H5326">
        <v>0</v>
      </c>
      <c r="I5326">
        <v>0</v>
      </c>
      <c r="J5326">
        <v>30</v>
      </c>
    </row>
    <row r="5327" spans="1:10" x14ac:dyDescent="0.25">
      <c r="A5327" t="s">
        <v>25</v>
      </c>
      <c r="B5327" t="s">
        <v>19</v>
      </c>
      <c r="C5327" t="s">
        <v>18</v>
      </c>
      <c r="D5327" t="s">
        <v>15</v>
      </c>
      <c r="E5327">
        <v>0</v>
      </c>
      <c r="F5327">
        <v>0.75</v>
      </c>
      <c r="G5327">
        <v>86.744332313537598</v>
      </c>
      <c r="H5327">
        <v>1</v>
      </c>
      <c r="I5327">
        <v>5</v>
      </c>
      <c r="J5327">
        <v>30</v>
      </c>
    </row>
    <row r="5328" spans="1:10" x14ac:dyDescent="0.25">
      <c r="A5328" t="s">
        <v>25</v>
      </c>
      <c r="B5328" t="s">
        <v>19</v>
      </c>
      <c r="C5328" t="s">
        <v>18</v>
      </c>
      <c r="D5328" t="s">
        <v>15</v>
      </c>
      <c r="E5328">
        <v>0</v>
      </c>
      <c r="F5328">
        <v>0.75</v>
      </c>
      <c r="G5328">
        <v>87.624531984329195</v>
      </c>
      <c r="H5328">
        <v>0</v>
      </c>
      <c r="I5328">
        <v>0</v>
      </c>
      <c r="J5328">
        <v>30</v>
      </c>
    </row>
    <row r="5329" spans="1:10" x14ac:dyDescent="0.25">
      <c r="A5329" t="s">
        <v>25</v>
      </c>
      <c r="B5329" t="s">
        <v>19</v>
      </c>
      <c r="C5329" t="s">
        <v>18</v>
      </c>
      <c r="D5329" t="s">
        <v>15</v>
      </c>
      <c r="E5329">
        <v>0</v>
      </c>
      <c r="F5329">
        <v>0.75</v>
      </c>
      <c r="G5329">
        <v>88.106553792953406</v>
      </c>
      <c r="H5329">
        <v>0</v>
      </c>
      <c r="I5329">
        <v>0</v>
      </c>
      <c r="J5329">
        <v>30</v>
      </c>
    </row>
    <row r="5330" spans="1:10" x14ac:dyDescent="0.25">
      <c r="A5330" t="s">
        <v>25</v>
      </c>
      <c r="B5330" t="s">
        <v>19</v>
      </c>
      <c r="C5330" t="s">
        <v>18</v>
      </c>
      <c r="D5330" t="s">
        <v>15</v>
      </c>
      <c r="E5330">
        <v>0</v>
      </c>
      <c r="F5330">
        <v>0.75</v>
      </c>
      <c r="G5330">
        <v>88.484221458435002</v>
      </c>
      <c r="H5330">
        <v>0</v>
      </c>
      <c r="I5330">
        <v>0</v>
      </c>
      <c r="J5330">
        <v>30</v>
      </c>
    </row>
    <row r="5331" spans="1:10" x14ac:dyDescent="0.25">
      <c r="A5331" t="s">
        <v>25</v>
      </c>
      <c r="B5331" t="s">
        <v>19</v>
      </c>
      <c r="C5331" t="s">
        <v>18</v>
      </c>
      <c r="D5331" t="s">
        <v>15</v>
      </c>
      <c r="E5331">
        <v>0</v>
      </c>
      <c r="F5331">
        <v>0.75</v>
      </c>
      <c r="G5331">
        <v>89.122541427612305</v>
      </c>
      <c r="H5331">
        <v>0</v>
      </c>
      <c r="I5331">
        <v>0</v>
      </c>
      <c r="J5331">
        <v>30</v>
      </c>
    </row>
    <row r="5332" spans="1:10" x14ac:dyDescent="0.25">
      <c r="A5332" t="s">
        <v>25</v>
      </c>
      <c r="B5332" t="s">
        <v>19</v>
      </c>
      <c r="C5332" t="s">
        <v>18</v>
      </c>
      <c r="D5332" t="s">
        <v>15</v>
      </c>
      <c r="E5332">
        <v>0</v>
      </c>
      <c r="F5332">
        <v>0.75</v>
      </c>
      <c r="G5332">
        <v>89.281422376632605</v>
      </c>
      <c r="H5332">
        <v>0</v>
      </c>
      <c r="I5332">
        <v>0</v>
      </c>
      <c r="J5332">
        <v>30</v>
      </c>
    </row>
    <row r="5333" spans="1:10" x14ac:dyDescent="0.25">
      <c r="A5333" t="s">
        <v>25</v>
      </c>
      <c r="B5333" t="s">
        <v>19</v>
      </c>
      <c r="C5333" t="s">
        <v>18</v>
      </c>
      <c r="D5333" t="s">
        <v>15</v>
      </c>
      <c r="E5333">
        <v>0</v>
      </c>
      <c r="F5333">
        <v>0.74990410958904097</v>
      </c>
      <c r="G5333">
        <v>89.359636306762695</v>
      </c>
      <c r="H5333">
        <v>2</v>
      </c>
      <c r="I5333">
        <v>11</v>
      </c>
      <c r="J5333">
        <v>30</v>
      </c>
    </row>
    <row r="5334" spans="1:10" x14ac:dyDescent="0.25">
      <c r="A5334" t="s">
        <v>25</v>
      </c>
      <c r="B5334" t="s">
        <v>19</v>
      </c>
      <c r="C5334" t="s">
        <v>18</v>
      </c>
      <c r="D5334" t="s">
        <v>15</v>
      </c>
      <c r="E5334">
        <v>0</v>
      </c>
      <c r="F5334">
        <v>0.75</v>
      </c>
      <c r="G5334">
        <v>89.390675783157306</v>
      </c>
      <c r="H5334">
        <v>0</v>
      </c>
      <c r="I5334">
        <v>0</v>
      </c>
      <c r="J5334">
        <v>30</v>
      </c>
    </row>
    <row r="5335" spans="1:10" x14ac:dyDescent="0.25">
      <c r="A5335" t="s">
        <v>25</v>
      </c>
      <c r="B5335" t="s">
        <v>19</v>
      </c>
      <c r="C5335" t="s">
        <v>18</v>
      </c>
      <c r="D5335" t="s">
        <v>15</v>
      </c>
      <c r="E5335">
        <v>0</v>
      </c>
      <c r="F5335">
        <v>0.75</v>
      </c>
      <c r="G5335">
        <v>89.831154346465993</v>
      </c>
      <c r="H5335">
        <v>1</v>
      </c>
      <c r="I5335">
        <v>6</v>
      </c>
      <c r="J5335">
        <v>30</v>
      </c>
    </row>
    <row r="5336" spans="1:10" x14ac:dyDescent="0.25">
      <c r="A5336" t="s">
        <v>25</v>
      </c>
      <c r="B5336" t="s">
        <v>19</v>
      </c>
      <c r="C5336" t="s">
        <v>18</v>
      </c>
      <c r="D5336" t="s">
        <v>15</v>
      </c>
      <c r="E5336">
        <v>0</v>
      </c>
      <c r="F5336">
        <v>0.75</v>
      </c>
      <c r="G5336">
        <v>90.199355602264404</v>
      </c>
      <c r="H5336">
        <v>1</v>
      </c>
      <c r="I5336">
        <v>6</v>
      </c>
      <c r="J5336">
        <v>30</v>
      </c>
    </row>
    <row r="5337" spans="1:10" x14ac:dyDescent="0.25">
      <c r="A5337" t="s">
        <v>25</v>
      </c>
      <c r="B5337" t="s">
        <v>19</v>
      </c>
      <c r="C5337" t="s">
        <v>18</v>
      </c>
      <c r="D5337" t="s">
        <v>15</v>
      </c>
      <c r="E5337">
        <v>0</v>
      </c>
      <c r="F5337">
        <v>0.75</v>
      </c>
      <c r="G5337">
        <v>90.554241418838501</v>
      </c>
      <c r="H5337">
        <v>0</v>
      </c>
      <c r="I5337">
        <v>0</v>
      </c>
      <c r="J5337">
        <v>30</v>
      </c>
    </row>
    <row r="5338" spans="1:10" x14ac:dyDescent="0.25">
      <c r="A5338" t="s">
        <v>25</v>
      </c>
      <c r="B5338" t="s">
        <v>19</v>
      </c>
      <c r="C5338" t="s">
        <v>18</v>
      </c>
      <c r="D5338" t="s">
        <v>15</v>
      </c>
      <c r="E5338">
        <v>0</v>
      </c>
      <c r="F5338">
        <v>0.75</v>
      </c>
      <c r="G5338">
        <v>90.534575939178396</v>
      </c>
      <c r="H5338">
        <v>0</v>
      </c>
      <c r="I5338">
        <v>0</v>
      </c>
      <c r="J5338">
        <v>30</v>
      </c>
    </row>
    <row r="5339" spans="1:10" x14ac:dyDescent="0.25">
      <c r="A5339" t="s">
        <v>25</v>
      </c>
      <c r="B5339" t="s">
        <v>19</v>
      </c>
      <c r="C5339" t="s">
        <v>18</v>
      </c>
      <c r="D5339" t="s">
        <v>15</v>
      </c>
      <c r="E5339">
        <v>0</v>
      </c>
      <c r="F5339">
        <v>0.75</v>
      </c>
      <c r="G5339">
        <v>90.889853477477999</v>
      </c>
      <c r="H5339">
        <v>0</v>
      </c>
      <c r="I5339">
        <v>0</v>
      </c>
      <c r="J5339">
        <v>30</v>
      </c>
    </row>
    <row r="5340" spans="1:10" x14ac:dyDescent="0.25">
      <c r="A5340" t="s">
        <v>25</v>
      </c>
      <c r="B5340" t="s">
        <v>19</v>
      </c>
      <c r="C5340" t="s">
        <v>18</v>
      </c>
      <c r="D5340" t="s">
        <v>15</v>
      </c>
      <c r="E5340">
        <v>0</v>
      </c>
      <c r="F5340">
        <v>0.75</v>
      </c>
      <c r="G5340">
        <v>91.486687183380099</v>
      </c>
      <c r="H5340">
        <v>0</v>
      </c>
      <c r="I5340">
        <v>0</v>
      </c>
      <c r="J5340">
        <v>30</v>
      </c>
    </row>
    <row r="5341" spans="1:10" x14ac:dyDescent="0.25">
      <c r="A5341" t="s">
        <v>25</v>
      </c>
      <c r="B5341" t="s">
        <v>19</v>
      </c>
      <c r="C5341" t="s">
        <v>18</v>
      </c>
      <c r="D5341" t="s">
        <v>15</v>
      </c>
      <c r="E5341">
        <v>0</v>
      </c>
      <c r="F5341">
        <v>0.75</v>
      </c>
      <c r="G5341">
        <v>92.070052146911607</v>
      </c>
      <c r="H5341">
        <v>1</v>
      </c>
      <c r="I5341">
        <v>5</v>
      </c>
      <c r="J5341">
        <v>30</v>
      </c>
    </row>
    <row r="5342" spans="1:10" x14ac:dyDescent="0.25">
      <c r="A5342" t="s">
        <v>25</v>
      </c>
      <c r="B5342" t="s">
        <v>19</v>
      </c>
      <c r="C5342" t="s">
        <v>18</v>
      </c>
      <c r="D5342" t="s">
        <v>16</v>
      </c>
      <c r="E5342">
        <v>0</v>
      </c>
      <c r="F5342">
        <v>0.75</v>
      </c>
      <c r="G5342">
        <v>0.16794157028198201</v>
      </c>
      <c r="H5342">
        <v>0</v>
      </c>
      <c r="I5342">
        <v>0</v>
      </c>
      <c r="J5342">
        <v>30</v>
      </c>
    </row>
    <row r="5343" spans="1:10" x14ac:dyDescent="0.25">
      <c r="A5343" t="s">
        <v>25</v>
      </c>
      <c r="B5343" t="s">
        <v>19</v>
      </c>
      <c r="C5343" t="s">
        <v>18</v>
      </c>
      <c r="D5343" t="s">
        <v>16</v>
      </c>
      <c r="E5343">
        <v>0</v>
      </c>
      <c r="F5343">
        <v>0.75</v>
      </c>
      <c r="G5343">
        <v>0.172346591949462</v>
      </c>
      <c r="H5343">
        <v>0</v>
      </c>
      <c r="I5343">
        <v>0</v>
      </c>
      <c r="J5343">
        <v>30</v>
      </c>
    </row>
    <row r="5344" spans="1:10" x14ac:dyDescent="0.25">
      <c r="A5344" t="s">
        <v>25</v>
      </c>
      <c r="B5344" t="s">
        <v>19</v>
      </c>
      <c r="C5344" t="s">
        <v>18</v>
      </c>
      <c r="D5344" t="s">
        <v>16</v>
      </c>
      <c r="E5344">
        <v>0</v>
      </c>
      <c r="F5344">
        <v>0.75</v>
      </c>
      <c r="G5344">
        <v>0.197869777679443</v>
      </c>
      <c r="H5344">
        <v>0</v>
      </c>
      <c r="I5344">
        <v>0</v>
      </c>
      <c r="J5344">
        <v>30</v>
      </c>
    </row>
    <row r="5345" spans="1:10" x14ac:dyDescent="0.25">
      <c r="A5345" t="s">
        <v>25</v>
      </c>
      <c r="B5345" t="s">
        <v>19</v>
      </c>
      <c r="C5345" t="s">
        <v>18</v>
      </c>
      <c r="D5345" t="s">
        <v>16</v>
      </c>
      <c r="E5345">
        <v>0</v>
      </c>
      <c r="F5345">
        <v>0.75</v>
      </c>
      <c r="G5345">
        <v>0.18887090682983301</v>
      </c>
      <c r="H5345">
        <v>0</v>
      </c>
      <c r="I5345">
        <v>0</v>
      </c>
      <c r="J5345">
        <v>30</v>
      </c>
    </row>
    <row r="5346" spans="1:10" x14ac:dyDescent="0.25">
      <c r="A5346" t="s">
        <v>25</v>
      </c>
      <c r="B5346" t="s">
        <v>19</v>
      </c>
      <c r="C5346" t="s">
        <v>18</v>
      </c>
      <c r="D5346" t="s">
        <v>16</v>
      </c>
      <c r="E5346">
        <v>0</v>
      </c>
      <c r="F5346">
        <v>0.75</v>
      </c>
      <c r="G5346">
        <v>0.18694829940795801</v>
      </c>
      <c r="H5346">
        <v>0</v>
      </c>
      <c r="I5346">
        <v>0</v>
      </c>
      <c r="J5346">
        <v>30</v>
      </c>
    </row>
    <row r="5347" spans="1:10" x14ac:dyDescent="0.25">
      <c r="A5347" t="s">
        <v>25</v>
      </c>
      <c r="B5347" t="s">
        <v>19</v>
      </c>
      <c r="C5347" t="s">
        <v>18</v>
      </c>
      <c r="D5347" t="s">
        <v>16</v>
      </c>
      <c r="E5347">
        <v>0</v>
      </c>
      <c r="F5347">
        <v>0.75</v>
      </c>
      <c r="G5347">
        <v>0.17036342620849601</v>
      </c>
      <c r="H5347">
        <v>0</v>
      </c>
      <c r="I5347">
        <v>0</v>
      </c>
      <c r="J5347">
        <v>30</v>
      </c>
    </row>
    <row r="5348" spans="1:10" x14ac:dyDescent="0.25">
      <c r="A5348" t="s">
        <v>25</v>
      </c>
      <c r="B5348" t="s">
        <v>19</v>
      </c>
      <c r="C5348" t="s">
        <v>18</v>
      </c>
      <c r="D5348" t="s">
        <v>16</v>
      </c>
      <c r="E5348">
        <v>0</v>
      </c>
      <c r="F5348">
        <v>0.75</v>
      </c>
      <c r="G5348">
        <v>0.18386816978454501</v>
      </c>
      <c r="H5348">
        <v>0</v>
      </c>
      <c r="I5348">
        <v>0</v>
      </c>
      <c r="J5348">
        <v>30</v>
      </c>
    </row>
    <row r="5349" spans="1:10" x14ac:dyDescent="0.25">
      <c r="A5349" t="s">
        <v>25</v>
      </c>
      <c r="B5349" t="s">
        <v>19</v>
      </c>
      <c r="C5349" t="s">
        <v>18</v>
      </c>
      <c r="D5349" t="s">
        <v>16</v>
      </c>
      <c r="E5349">
        <v>0</v>
      </c>
      <c r="F5349">
        <v>0.75</v>
      </c>
      <c r="G5349">
        <v>0.16212487220764099</v>
      </c>
      <c r="H5349">
        <v>0</v>
      </c>
      <c r="I5349">
        <v>0</v>
      </c>
      <c r="J5349">
        <v>30</v>
      </c>
    </row>
    <row r="5350" spans="1:10" x14ac:dyDescent="0.25">
      <c r="A5350" t="s">
        <v>25</v>
      </c>
      <c r="B5350" t="s">
        <v>19</v>
      </c>
      <c r="C5350" t="s">
        <v>18</v>
      </c>
      <c r="D5350" t="s">
        <v>16</v>
      </c>
      <c r="E5350">
        <v>0</v>
      </c>
      <c r="F5350">
        <v>0.75</v>
      </c>
      <c r="G5350">
        <v>0.17886734008788999</v>
      </c>
      <c r="H5350">
        <v>0</v>
      </c>
      <c r="I5350">
        <v>0</v>
      </c>
      <c r="J5350">
        <v>30</v>
      </c>
    </row>
    <row r="5351" spans="1:10" x14ac:dyDescent="0.25">
      <c r="A5351" t="s">
        <v>25</v>
      </c>
      <c r="B5351" t="s">
        <v>19</v>
      </c>
      <c r="C5351" t="s">
        <v>18</v>
      </c>
      <c r="D5351" t="s">
        <v>16</v>
      </c>
      <c r="E5351">
        <v>0</v>
      </c>
      <c r="F5351">
        <v>0.75</v>
      </c>
      <c r="G5351">
        <v>0.21503639221191401</v>
      </c>
      <c r="H5351">
        <v>0</v>
      </c>
      <c r="I5351">
        <v>0</v>
      </c>
      <c r="J5351">
        <v>30</v>
      </c>
    </row>
    <row r="5352" spans="1:10" x14ac:dyDescent="0.25">
      <c r="A5352" t="s">
        <v>25</v>
      </c>
      <c r="B5352" t="s">
        <v>19</v>
      </c>
      <c r="C5352" t="s">
        <v>18</v>
      </c>
      <c r="D5352" t="s">
        <v>16</v>
      </c>
      <c r="E5352">
        <v>0</v>
      </c>
      <c r="F5352">
        <v>0.75</v>
      </c>
      <c r="G5352">
        <v>0.182436227798461</v>
      </c>
      <c r="H5352">
        <v>0</v>
      </c>
      <c r="I5352">
        <v>0</v>
      </c>
      <c r="J5352">
        <v>30</v>
      </c>
    </row>
    <row r="5353" spans="1:10" x14ac:dyDescent="0.25">
      <c r="A5353" t="s">
        <v>25</v>
      </c>
      <c r="B5353" t="s">
        <v>19</v>
      </c>
      <c r="C5353" t="s">
        <v>18</v>
      </c>
      <c r="D5353" t="s">
        <v>16</v>
      </c>
      <c r="E5353">
        <v>0</v>
      </c>
      <c r="F5353">
        <v>0.75</v>
      </c>
      <c r="G5353">
        <v>0.16869235038757299</v>
      </c>
      <c r="H5353">
        <v>0</v>
      </c>
      <c r="I5353">
        <v>0</v>
      </c>
      <c r="J5353">
        <v>30</v>
      </c>
    </row>
    <row r="5354" spans="1:10" x14ac:dyDescent="0.25">
      <c r="A5354" t="s">
        <v>25</v>
      </c>
      <c r="B5354" t="s">
        <v>19</v>
      </c>
      <c r="C5354" t="s">
        <v>18</v>
      </c>
      <c r="D5354" t="s">
        <v>16</v>
      </c>
      <c r="E5354">
        <v>0</v>
      </c>
      <c r="F5354">
        <v>0.75</v>
      </c>
      <c r="G5354">
        <v>0.159104108810424</v>
      </c>
      <c r="H5354">
        <v>0</v>
      </c>
      <c r="I5354">
        <v>0</v>
      </c>
      <c r="J5354">
        <v>30</v>
      </c>
    </row>
    <row r="5355" spans="1:10" x14ac:dyDescent="0.25">
      <c r="A5355" t="s">
        <v>25</v>
      </c>
      <c r="B5355" t="s">
        <v>19</v>
      </c>
      <c r="C5355" t="s">
        <v>18</v>
      </c>
      <c r="D5355" t="s">
        <v>16</v>
      </c>
      <c r="E5355">
        <v>0</v>
      </c>
      <c r="F5355">
        <v>0.75</v>
      </c>
      <c r="G5355">
        <v>0.164610385894775</v>
      </c>
      <c r="H5355">
        <v>0</v>
      </c>
      <c r="I5355">
        <v>0</v>
      </c>
      <c r="J5355">
        <v>30</v>
      </c>
    </row>
    <row r="5356" spans="1:10" x14ac:dyDescent="0.25">
      <c r="A5356" t="s">
        <v>25</v>
      </c>
      <c r="B5356" t="s">
        <v>19</v>
      </c>
      <c r="C5356" t="s">
        <v>18</v>
      </c>
      <c r="D5356" t="s">
        <v>16</v>
      </c>
      <c r="E5356">
        <v>0</v>
      </c>
      <c r="F5356">
        <v>0.75</v>
      </c>
      <c r="G5356">
        <v>0.164149284362792</v>
      </c>
      <c r="H5356">
        <v>0</v>
      </c>
      <c r="I5356">
        <v>0</v>
      </c>
      <c r="J5356">
        <v>30</v>
      </c>
    </row>
    <row r="5357" spans="1:10" x14ac:dyDescent="0.25">
      <c r="A5357" t="s">
        <v>25</v>
      </c>
      <c r="B5357" t="s">
        <v>19</v>
      </c>
      <c r="C5357" t="s">
        <v>18</v>
      </c>
      <c r="D5357" t="s">
        <v>16</v>
      </c>
      <c r="E5357">
        <v>0</v>
      </c>
      <c r="F5357">
        <v>0.75</v>
      </c>
      <c r="G5357">
        <v>0.18494820594787501</v>
      </c>
      <c r="H5357">
        <v>0</v>
      </c>
      <c r="I5357">
        <v>0</v>
      </c>
      <c r="J5357">
        <v>30</v>
      </c>
    </row>
    <row r="5358" spans="1:10" x14ac:dyDescent="0.25">
      <c r="A5358" t="s">
        <v>25</v>
      </c>
      <c r="B5358" t="s">
        <v>19</v>
      </c>
      <c r="C5358" t="s">
        <v>18</v>
      </c>
      <c r="D5358" t="s">
        <v>16</v>
      </c>
      <c r="E5358">
        <v>0</v>
      </c>
      <c r="F5358">
        <v>0.75</v>
      </c>
      <c r="G5358">
        <v>0.17519640922546301</v>
      </c>
      <c r="H5358">
        <v>0</v>
      </c>
      <c r="I5358">
        <v>0</v>
      </c>
      <c r="J5358">
        <v>30</v>
      </c>
    </row>
    <row r="5359" spans="1:10" x14ac:dyDescent="0.25">
      <c r="A5359" t="s">
        <v>25</v>
      </c>
      <c r="B5359" t="s">
        <v>19</v>
      </c>
      <c r="C5359" t="s">
        <v>18</v>
      </c>
      <c r="D5359" t="s">
        <v>16</v>
      </c>
      <c r="E5359">
        <v>0</v>
      </c>
      <c r="F5359">
        <v>0.75</v>
      </c>
      <c r="G5359">
        <v>0.178946018218994</v>
      </c>
      <c r="H5359">
        <v>0</v>
      </c>
      <c r="I5359">
        <v>0</v>
      </c>
      <c r="J5359">
        <v>30</v>
      </c>
    </row>
    <row r="5360" spans="1:10" x14ac:dyDescent="0.25">
      <c r="A5360" t="s">
        <v>25</v>
      </c>
      <c r="B5360" t="s">
        <v>19</v>
      </c>
      <c r="C5360" t="s">
        <v>18</v>
      </c>
      <c r="D5360" t="s">
        <v>16</v>
      </c>
      <c r="E5360">
        <v>0</v>
      </c>
      <c r="F5360">
        <v>0.75</v>
      </c>
      <c r="G5360">
        <v>0.15003943443298301</v>
      </c>
      <c r="H5360">
        <v>0</v>
      </c>
      <c r="I5360">
        <v>0</v>
      </c>
      <c r="J5360">
        <v>30</v>
      </c>
    </row>
    <row r="5361" spans="1:10" x14ac:dyDescent="0.25">
      <c r="A5361" t="s">
        <v>25</v>
      </c>
      <c r="B5361" t="s">
        <v>19</v>
      </c>
      <c r="C5361" t="s">
        <v>18</v>
      </c>
      <c r="D5361" t="s">
        <v>16</v>
      </c>
      <c r="E5361">
        <v>0</v>
      </c>
      <c r="F5361">
        <v>0.75</v>
      </c>
      <c r="G5361">
        <v>0.169131278991699</v>
      </c>
      <c r="H5361">
        <v>0</v>
      </c>
      <c r="I5361">
        <v>0</v>
      </c>
      <c r="J5361">
        <v>30</v>
      </c>
    </row>
    <row r="5362" spans="1:10" x14ac:dyDescent="0.25">
      <c r="A5362" t="s">
        <v>25</v>
      </c>
      <c r="B5362" t="s">
        <v>19</v>
      </c>
      <c r="C5362" t="s">
        <v>18</v>
      </c>
      <c r="D5362" t="s">
        <v>16</v>
      </c>
      <c r="E5362">
        <v>0</v>
      </c>
      <c r="F5362">
        <v>0.75</v>
      </c>
      <c r="G5362">
        <v>0.162126779556274</v>
      </c>
      <c r="H5362">
        <v>0</v>
      </c>
      <c r="I5362">
        <v>0</v>
      </c>
      <c r="J5362">
        <v>30</v>
      </c>
    </row>
    <row r="5363" spans="1:10" x14ac:dyDescent="0.25">
      <c r="A5363" t="s">
        <v>25</v>
      </c>
      <c r="B5363" t="s">
        <v>19</v>
      </c>
      <c r="C5363" t="s">
        <v>18</v>
      </c>
      <c r="D5363" t="s">
        <v>16</v>
      </c>
      <c r="E5363">
        <v>0</v>
      </c>
      <c r="F5363">
        <v>0.75</v>
      </c>
      <c r="G5363">
        <v>0.183857917785644</v>
      </c>
      <c r="H5363">
        <v>0</v>
      </c>
      <c r="I5363">
        <v>0</v>
      </c>
      <c r="J5363">
        <v>30</v>
      </c>
    </row>
    <row r="5364" spans="1:10" x14ac:dyDescent="0.25">
      <c r="A5364" t="s">
        <v>25</v>
      </c>
      <c r="B5364" t="s">
        <v>19</v>
      </c>
      <c r="C5364" t="s">
        <v>18</v>
      </c>
      <c r="D5364" t="s">
        <v>16</v>
      </c>
      <c r="E5364">
        <v>0</v>
      </c>
      <c r="F5364">
        <v>0.75</v>
      </c>
      <c r="G5364">
        <v>0.1676926612854</v>
      </c>
      <c r="H5364">
        <v>0</v>
      </c>
      <c r="I5364">
        <v>0</v>
      </c>
      <c r="J5364">
        <v>30</v>
      </c>
    </row>
    <row r="5365" spans="1:10" x14ac:dyDescent="0.25">
      <c r="A5365" t="s">
        <v>25</v>
      </c>
      <c r="B5365" t="s">
        <v>19</v>
      </c>
      <c r="C5365" t="s">
        <v>18</v>
      </c>
      <c r="D5365" t="s">
        <v>16</v>
      </c>
      <c r="E5365">
        <v>0</v>
      </c>
      <c r="F5365">
        <v>0.75</v>
      </c>
      <c r="G5365">
        <v>0.15362024307250899</v>
      </c>
      <c r="H5365">
        <v>0</v>
      </c>
      <c r="I5365">
        <v>0</v>
      </c>
      <c r="J5365">
        <v>30</v>
      </c>
    </row>
    <row r="5366" spans="1:10" x14ac:dyDescent="0.25">
      <c r="A5366" t="s">
        <v>25</v>
      </c>
      <c r="B5366" t="s">
        <v>19</v>
      </c>
      <c r="C5366" t="s">
        <v>18</v>
      </c>
      <c r="D5366" t="s">
        <v>16</v>
      </c>
      <c r="E5366">
        <v>0</v>
      </c>
      <c r="F5366">
        <v>0.75</v>
      </c>
      <c r="G5366">
        <v>0.17919683456420801</v>
      </c>
      <c r="H5366">
        <v>0</v>
      </c>
      <c r="I5366">
        <v>0</v>
      </c>
      <c r="J5366">
        <v>30</v>
      </c>
    </row>
    <row r="5367" spans="1:10" x14ac:dyDescent="0.25">
      <c r="A5367" t="s">
        <v>25</v>
      </c>
      <c r="B5367" t="s">
        <v>19</v>
      </c>
      <c r="C5367" t="s">
        <v>18</v>
      </c>
      <c r="D5367" t="s">
        <v>16</v>
      </c>
      <c r="E5367">
        <v>0</v>
      </c>
      <c r="F5367">
        <v>0.75</v>
      </c>
      <c r="G5367">
        <v>0.18794918060302701</v>
      </c>
      <c r="H5367">
        <v>0</v>
      </c>
      <c r="I5367">
        <v>0</v>
      </c>
      <c r="J5367">
        <v>30</v>
      </c>
    </row>
    <row r="5368" spans="1:10" x14ac:dyDescent="0.25">
      <c r="A5368" t="s">
        <v>25</v>
      </c>
      <c r="B5368" t="s">
        <v>19</v>
      </c>
      <c r="C5368" t="s">
        <v>18</v>
      </c>
      <c r="D5368" t="s">
        <v>16</v>
      </c>
      <c r="E5368">
        <v>0</v>
      </c>
      <c r="F5368">
        <v>0.75</v>
      </c>
      <c r="G5368">
        <v>0.17736649513244601</v>
      </c>
      <c r="H5368">
        <v>0</v>
      </c>
      <c r="I5368">
        <v>0</v>
      </c>
      <c r="J5368">
        <v>30</v>
      </c>
    </row>
    <row r="5369" spans="1:10" x14ac:dyDescent="0.25">
      <c r="A5369" t="s">
        <v>25</v>
      </c>
      <c r="B5369" t="s">
        <v>19</v>
      </c>
      <c r="C5369" t="s">
        <v>18</v>
      </c>
      <c r="D5369" t="s">
        <v>16</v>
      </c>
      <c r="E5369">
        <v>0</v>
      </c>
      <c r="F5369">
        <v>0.75</v>
      </c>
      <c r="G5369">
        <v>0.184926033020019</v>
      </c>
      <c r="H5369">
        <v>0</v>
      </c>
      <c r="I5369">
        <v>0</v>
      </c>
      <c r="J5369">
        <v>30</v>
      </c>
    </row>
    <row r="5370" spans="1:10" x14ac:dyDescent="0.25">
      <c r="A5370" t="s">
        <v>25</v>
      </c>
      <c r="B5370" t="s">
        <v>19</v>
      </c>
      <c r="C5370" t="s">
        <v>18</v>
      </c>
      <c r="D5370" t="s">
        <v>16</v>
      </c>
      <c r="E5370">
        <v>0</v>
      </c>
      <c r="F5370">
        <v>0.75</v>
      </c>
      <c r="G5370">
        <v>0.17136406898498499</v>
      </c>
      <c r="H5370">
        <v>0</v>
      </c>
      <c r="I5370">
        <v>0</v>
      </c>
      <c r="J5370">
        <v>30</v>
      </c>
    </row>
    <row r="5371" spans="1:10" x14ac:dyDescent="0.25">
      <c r="A5371" t="s">
        <v>25</v>
      </c>
      <c r="B5371" t="s">
        <v>19</v>
      </c>
      <c r="C5371" t="s">
        <v>18</v>
      </c>
      <c r="D5371" t="s">
        <v>16</v>
      </c>
      <c r="E5371">
        <v>0</v>
      </c>
      <c r="F5371">
        <v>0.75</v>
      </c>
      <c r="G5371">
        <v>0.16685986518859799</v>
      </c>
      <c r="H5371">
        <v>0</v>
      </c>
      <c r="I5371">
        <v>0</v>
      </c>
      <c r="J5371">
        <v>30</v>
      </c>
    </row>
    <row r="5372" spans="1:10" x14ac:dyDescent="0.25">
      <c r="A5372" t="s">
        <v>25</v>
      </c>
      <c r="B5372" t="s">
        <v>19</v>
      </c>
      <c r="C5372" t="s">
        <v>18</v>
      </c>
      <c r="D5372" t="s">
        <v>17</v>
      </c>
      <c r="E5372">
        <v>0.91232876712328703</v>
      </c>
      <c r="F5372">
        <v>0.92123861390045703</v>
      </c>
      <c r="G5372">
        <v>37.279404640197697</v>
      </c>
      <c r="H5372">
        <v>8</v>
      </c>
      <c r="I5372">
        <v>9</v>
      </c>
      <c r="J5372">
        <v>30</v>
      </c>
    </row>
    <row r="5373" spans="1:10" x14ac:dyDescent="0.25">
      <c r="A5373" t="s">
        <v>25</v>
      </c>
      <c r="B5373" t="s">
        <v>19</v>
      </c>
      <c r="C5373" t="s">
        <v>18</v>
      </c>
      <c r="D5373" t="s">
        <v>17</v>
      </c>
      <c r="E5373">
        <v>0.88949771689497703</v>
      </c>
      <c r="F5373">
        <v>0.90266158232803795</v>
      </c>
      <c r="G5373">
        <v>45.414639949798499</v>
      </c>
      <c r="H5373">
        <v>10</v>
      </c>
      <c r="I5373">
        <v>11</v>
      </c>
      <c r="J5373">
        <v>30</v>
      </c>
    </row>
    <row r="5374" spans="1:10" x14ac:dyDescent="0.25">
      <c r="A5374" t="s">
        <v>25</v>
      </c>
      <c r="B5374" t="s">
        <v>19</v>
      </c>
      <c r="C5374" t="s">
        <v>18</v>
      </c>
      <c r="D5374" t="s">
        <v>17</v>
      </c>
      <c r="E5374">
        <v>0.92146118721461101</v>
      </c>
      <c r="F5374">
        <v>0.92787336296602696</v>
      </c>
      <c r="G5374">
        <v>50.278419256210299</v>
      </c>
      <c r="H5374">
        <v>10</v>
      </c>
      <c r="I5374">
        <v>10</v>
      </c>
      <c r="J5374">
        <v>30</v>
      </c>
    </row>
    <row r="5375" spans="1:10" x14ac:dyDescent="0.25">
      <c r="A5375" t="s">
        <v>25</v>
      </c>
      <c r="B5375" t="s">
        <v>19</v>
      </c>
      <c r="C5375" t="s">
        <v>18</v>
      </c>
      <c r="D5375" t="s">
        <v>17</v>
      </c>
      <c r="E5375">
        <v>0.90593607305935997</v>
      </c>
      <c r="F5375">
        <v>0.91534215481187098</v>
      </c>
      <c r="G5375">
        <v>52.161621570587101</v>
      </c>
      <c r="H5375">
        <v>11</v>
      </c>
      <c r="I5375">
        <v>11</v>
      </c>
      <c r="J5375">
        <v>30</v>
      </c>
    </row>
    <row r="5376" spans="1:10" x14ac:dyDescent="0.25">
      <c r="A5376" t="s">
        <v>25</v>
      </c>
      <c r="B5376" t="s">
        <v>19</v>
      </c>
      <c r="C5376" t="s">
        <v>18</v>
      </c>
      <c r="D5376" t="s">
        <v>17</v>
      </c>
      <c r="E5376">
        <v>0.90958904109589001</v>
      </c>
      <c r="F5376">
        <v>0.92016130847141597</v>
      </c>
      <c r="G5376">
        <v>55.4636743068695</v>
      </c>
      <c r="H5376">
        <v>8</v>
      </c>
      <c r="I5376">
        <v>9</v>
      </c>
      <c r="J5376">
        <v>30</v>
      </c>
    </row>
    <row r="5377" spans="1:10" x14ac:dyDescent="0.25">
      <c r="A5377" t="s">
        <v>25</v>
      </c>
      <c r="B5377" t="s">
        <v>19</v>
      </c>
      <c r="C5377" t="s">
        <v>18</v>
      </c>
      <c r="D5377" t="s">
        <v>17</v>
      </c>
      <c r="E5377">
        <v>0.89497716894977097</v>
      </c>
      <c r="F5377">
        <v>0.90585756112648197</v>
      </c>
      <c r="G5377">
        <v>57.366370677947998</v>
      </c>
      <c r="H5377">
        <v>8</v>
      </c>
      <c r="I5377">
        <v>9</v>
      </c>
      <c r="J5377">
        <v>30</v>
      </c>
    </row>
    <row r="5378" spans="1:10" x14ac:dyDescent="0.25">
      <c r="A5378" t="s">
        <v>25</v>
      </c>
      <c r="B5378" t="s">
        <v>19</v>
      </c>
      <c r="C5378" t="s">
        <v>18</v>
      </c>
      <c r="D5378" t="s">
        <v>17</v>
      </c>
      <c r="E5378">
        <v>0.90136986301369804</v>
      </c>
      <c r="F5378">
        <v>0.91080222944337896</v>
      </c>
      <c r="G5378">
        <v>57.696263551712001</v>
      </c>
      <c r="H5378">
        <v>9</v>
      </c>
      <c r="I5378">
        <v>9</v>
      </c>
      <c r="J5378">
        <v>30</v>
      </c>
    </row>
    <row r="5379" spans="1:10" x14ac:dyDescent="0.25">
      <c r="A5379" t="s">
        <v>25</v>
      </c>
      <c r="B5379" t="s">
        <v>19</v>
      </c>
      <c r="C5379" t="s">
        <v>18</v>
      </c>
      <c r="D5379" t="s">
        <v>17</v>
      </c>
      <c r="E5379">
        <v>0.90045662100456603</v>
      </c>
      <c r="F5379">
        <v>0.92712281212356196</v>
      </c>
      <c r="G5379">
        <v>57.924562931060699</v>
      </c>
      <c r="H5379">
        <v>9</v>
      </c>
      <c r="I5379">
        <v>12</v>
      </c>
      <c r="J5379">
        <v>30</v>
      </c>
    </row>
    <row r="5380" spans="1:10" x14ac:dyDescent="0.25">
      <c r="A5380" t="s">
        <v>25</v>
      </c>
      <c r="B5380" t="s">
        <v>19</v>
      </c>
      <c r="C5380" t="s">
        <v>18</v>
      </c>
      <c r="D5380" t="s">
        <v>17</v>
      </c>
      <c r="E5380">
        <v>0.89315068493150596</v>
      </c>
      <c r="F5380">
        <v>0.90644909582931599</v>
      </c>
      <c r="G5380">
        <v>58.5664155483245</v>
      </c>
      <c r="H5380">
        <v>15</v>
      </c>
      <c r="I5380">
        <v>15</v>
      </c>
      <c r="J5380">
        <v>30</v>
      </c>
    </row>
    <row r="5381" spans="1:10" x14ac:dyDescent="0.25">
      <c r="A5381" t="s">
        <v>25</v>
      </c>
      <c r="B5381" t="s">
        <v>19</v>
      </c>
      <c r="C5381" t="s">
        <v>18</v>
      </c>
      <c r="D5381" t="s">
        <v>17</v>
      </c>
      <c r="E5381">
        <v>0.897716894977169</v>
      </c>
      <c r="F5381">
        <v>0.90823757055077703</v>
      </c>
      <c r="G5381">
        <v>58.9646122455596</v>
      </c>
      <c r="H5381">
        <v>14</v>
      </c>
      <c r="I5381">
        <v>14</v>
      </c>
      <c r="J5381">
        <v>30</v>
      </c>
    </row>
    <row r="5382" spans="1:10" x14ac:dyDescent="0.25">
      <c r="A5382" t="s">
        <v>25</v>
      </c>
      <c r="B5382" t="s">
        <v>19</v>
      </c>
      <c r="C5382" t="s">
        <v>18</v>
      </c>
      <c r="D5382" t="s">
        <v>17</v>
      </c>
      <c r="E5382">
        <v>0.90958904109589001</v>
      </c>
      <c r="F5382">
        <v>0.91837877912858301</v>
      </c>
      <c r="G5382">
        <v>59.762498617172199</v>
      </c>
      <c r="H5382">
        <v>11</v>
      </c>
      <c r="I5382">
        <v>10</v>
      </c>
      <c r="J5382">
        <v>30</v>
      </c>
    </row>
    <row r="5383" spans="1:10" x14ac:dyDescent="0.25">
      <c r="A5383" t="s">
        <v>25</v>
      </c>
      <c r="B5383" t="s">
        <v>19</v>
      </c>
      <c r="C5383" t="s">
        <v>18</v>
      </c>
      <c r="D5383" t="s">
        <v>17</v>
      </c>
      <c r="E5383">
        <v>0.90228310502283104</v>
      </c>
      <c r="F5383">
        <v>0.91193510792749</v>
      </c>
      <c r="G5383">
        <v>60.019447088241499</v>
      </c>
      <c r="H5383">
        <v>11</v>
      </c>
      <c r="I5383">
        <v>11</v>
      </c>
      <c r="J5383">
        <v>30</v>
      </c>
    </row>
    <row r="5384" spans="1:10" x14ac:dyDescent="0.25">
      <c r="A5384" t="s">
        <v>25</v>
      </c>
      <c r="B5384" t="s">
        <v>19</v>
      </c>
      <c r="C5384" t="s">
        <v>18</v>
      </c>
      <c r="D5384" t="s">
        <v>17</v>
      </c>
      <c r="E5384">
        <v>0.908675799086758</v>
      </c>
      <c r="F5384">
        <v>0.93417753592319597</v>
      </c>
      <c r="G5384">
        <v>60.282821893692002</v>
      </c>
      <c r="H5384">
        <v>10</v>
      </c>
      <c r="I5384">
        <v>11</v>
      </c>
      <c r="J5384">
        <v>30</v>
      </c>
    </row>
    <row r="5385" spans="1:10" x14ac:dyDescent="0.25">
      <c r="A5385" t="s">
        <v>25</v>
      </c>
      <c r="B5385" t="s">
        <v>19</v>
      </c>
      <c r="C5385" t="s">
        <v>18</v>
      </c>
      <c r="D5385" t="s">
        <v>17</v>
      </c>
      <c r="E5385">
        <v>0.90776255707762499</v>
      </c>
      <c r="F5385">
        <v>0.91521639234712504</v>
      </c>
      <c r="G5385">
        <v>60.682230472564697</v>
      </c>
      <c r="H5385">
        <v>9</v>
      </c>
      <c r="I5385">
        <v>9</v>
      </c>
      <c r="J5385">
        <v>30</v>
      </c>
    </row>
    <row r="5386" spans="1:10" x14ac:dyDescent="0.25">
      <c r="A5386" t="s">
        <v>25</v>
      </c>
      <c r="B5386" t="s">
        <v>19</v>
      </c>
      <c r="C5386" t="s">
        <v>18</v>
      </c>
      <c r="D5386" t="s">
        <v>17</v>
      </c>
      <c r="E5386">
        <v>0.88493150684931499</v>
      </c>
      <c r="F5386">
        <v>0.89938542246182396</v>
      </c>
      <c r="G5386">
        <v>60.748858690261798</v>
      </c>
      <c r="H5386">
        <v>11</v>
      </c>
      <c r="I5386">
        <v>12</v>
      </c>
      <c r="J5386">
        <v>30</v>
      </c>
    </row>
    <row r="5387" spans="1:10" x14ac:dyDescent="0.25">
      <c r="A5387" t="s">
        <v>25</v>
      </c>
      <c r="B5387" t="s">
        <v>19</v>
      </c>
      <c r="C5387" t="s">
        <v>18</v>
      </c>
      <c r="D5387" t="s">
        <v>17</v>
      </c>
      <c r="E5387">
        <v>0.92237442922374402</v>
      </c>
      <c r="F5387">
        <v>0.92923123163424504</v>
      </c>
      <c r="G5387">
        <v>60.881834506988497</v>
      </c>
      <c r="H5387">
        <v>12</v>
      </c>
      <c r="I5387">
        <v>25</v>
      </c>
      <c r="J5387">
        <v>30</v>
      </c>
    </row>
    <row r="5388" spans="1:10" x14ac:dyDescent="0.25">
      <c r="A5388" t="s">
        <v>25</v>
      </c>
      <c r="B5388" t="s">
        <v>19</v>
      </c>
      <c r="C5388" t="s">
        <v>18</v>
      </c>
      <c r="D5388" t="s">
        <v>17</v>
      </c>
      <c r="E5388">
        <v>0.90776255707762499</v>
      </c>
      <c r="F5388">
        <v>0.91689665771041196</v>
      </c>
      <c r="G5388">
        <v>61.037317276000898</v>
      </c>
      <c r="H5388">
        <v>9</v>
      </c>
      <c r="I5388">
        <v>10</v>
      </c>
      <c r="J5388">
        <v>30</v>
      </c>
    </row>
    <row r="5389" spans="1:10" x14ac:dyDescent="0.25">
      <c r="A5389" t="s">
        <v>25</v>
      </c>
      <c r="B5389" t="s">
        <v>19</v>
      </c>
      <c r="C5389" t="s">
        <v>18</v>
      </c>
      <c r="D5389" t="s">
        <v>17</v>
      </c>
      <c r="E5389">
        <v>0.90136986301369804</v>
      </c>
      <c r="F5389">
        <v>0.91180949756803698</v>
      </c>
      <c r="G5389">
        <v>61.153168916702199</v>
      </c>
      <c r="H5389">
        <v>11</v>
      </c>
      <c r="I5389">
        <v>11</v>
      </c>
      <c r="J5389">
        <v>30</v>
      </c>
    </row>
    <row r="5390" spans="1:10" x14ac:dyDescent="0.25">
      <c r="A5390" t="s">
        <v>25</v>
      </c>
      <c r="B5390" t="s">
        <v>19</v>
      </c>
      <c r="C5390" t="s">
        <v>18</v>
      </c>
      <c r="D5390" t="s">
        <v>17</v>
      </c>
      <c r="E5390">
        <v>0.91689497716894897</v>
      </c>
      <c r="F5390">
        <v>0.92344192041433704</v>
      </c>
      <c r="G5390">
        <v>61.496589183807302</v>
      </c>
      <c r="H5390">
        <v>11</v>
      </c>
      <c r="I5390">
        <v>12</v>
      </c>
      <c r="J5390">
        <v>30</v>
      </c>
    </row>
    <row r="5391" spans="1:10" x14ac:dyDescent="0.25">
      <c r="A5391" t="s">
        <v>25</v>
      </c>
      <c r="B5391" t="s">
        <v>19</v>
      </c>
      <c r="C5391" t="s">
        <v>18</v>
      </c>
      <c r="D5391" t="s">
        <v>17</v>
      </c>
      <c r="E5391">
        <v>0.91689497716894897</v>
      </c>
      <c r="F5391">
        <v>0.92502863421114001</v>
      </c>
      <c r="G5391">
        <v>61.783253669738698</v>
      </c>
      <c r="H5391">
        <v>9</v>
      </c>
      <c r="I5391">
        <v>10</v>
      </c>
      <c r="J5391">
        <v>30</v>
      </c>
    </row>
    <row r="5392" spans="1:10" x14ac:dyDescent="0.25">
      <c r="A5392" t="s">
        <v>25</v>
      </c>
      <c r="B5392" t="s">
        <v>19</v>
      </c>
      <c r="C5392" t="s">
        <v>18</v>
      </c>
      <c r="D5392" t="s">
        <v>17</v>
      </c>
      <c r="E5392">
        <v>0.89041095890410904</v>
      </c>
      <c r="F5392">
        <v>0.92187837924383398</v>
      </c>
      <c r="G5392">
        <v>63.534126996993997</v>
      </c>
      <c r="H5392">
        <v>14</v>
      </c>
      <c r="I5392">
        <v>15</v>
      </c>
      <c r="J5392">
        <v>30</v>
      </c>
    </row>
    <row r="5393" spans="1:10" x14ac:dyDescent="0.25">
      <c r="A5393" t="s">
        <v>25</v>
      </c>
      <c r="B5393" t="s">
        <v>19</v>
      </c>
      <c r="C5393" t="s">
        <v>18</v>
      </c>
      <c r="D5393" t="s">
        <v>17</v>
      </c>
      <c r="E5393">
        <v>0.90319634703196305</v>
      </c>
      <c r="F5393">
        <v>0.92512556238255705</v>
      </c>
      <c r="G5393">
        <v>64.401797533035193</v>
      </c>
      <c r="H5393">
        <v>13</v>
      </c>
      <c r="I5393">
        <v>14</v>
      </c>
      <c r="J5393">
        <v>30</v>
      </c>
    </row>
    <row r="5394" spans="1:10" x14ac:dyDescent="0.25">
      <c r="A5394" t="s">
        <v>25</v>
      </c>
      <c r="B5394" t="s">
        <v>19</v>
      </c>
      <c r="C5394" t="s">
        <v>18</v>
      </c>
      <c r="D5394" t="s">
        <v>17</v>
      </c>
      <c r="E5394">
        <v>0.91324200913242004</v>
      </c>
      <c r="F5394">
        <v>0.93862995687397299</v>
      </c>
      <c r="G5394">
        <v>66.093622207641602</v>
      </c>
      <c r="H5394">
        <v>11</v>
      </c>
      <c r="I5394">
        <v>15</v>
      </c>
      <c r="J5394">
        <v>30</v>
      </c>
    </row>
    <row r="5395" spans="1:10" x14ac:dyDescent="0.25">
      <c r="A5395" t="s">
        <v>25</v>
      </c>
      <c r="B5395" t="s">
        <v>19</v>
      </c>
      <c r="C5395" t="s">
        <v>18</v>
      </c>
      <c r="D5395" t="s">
        <v>17</v>
      </c>
      <c r="E5395">
        <v>0.90410958904109495</v>
      </c>
      <c r="F5395">
        <v>0.92942100001616401</v>
      </c>
      <c r="G5395">
        <v>66.558521509170504</v>
      </c>
      <c r="H5395">
        <v>11</v>
      </c>
      <c r="I5395">
        <v>12</v>
      </c>
      <c r="J5395">
        <v>30</v>
      </c>
    </row>
    <row r="5396" spans="1:10" x14ac:dyDescent="0.25">
      <c r="A5396" t="s">
        <v>25</v>
      </c>
      <c r="B5396" t="s">
        <v>19</v>
      </c>
      <c r="C5396" t="s">
        <v>18</v>
      </c>
      <c r="D5396" t="s">
        <v>17</v>
      </c>
      <c r="E5396">
        <v>0.91050228310502201</v>
      </c>
      <c r="F5396">
        <v>0.91911389510885699</v>
      </c>
      <c r="G5396">
        <v>67.0147833824157</v>
      </c>
      <c r="H5396">
        <v>10</v>
      </c>
      <c r="I5396">
        <v>10</v>
      </c>
      <c r="J5396">
        <v>30</v>
      </c>
    </row>
    <row r="5397" spans="1:10" x14ac:dyDescent="0.25">
      <c r="A5397" t="s">
        <v>25</v>
      </c>
      <c r="B5397" t="s">
        <v>19</v>
      </c>
      <c r="C5397" t="s">
        <v>18</v>
      </c>
      <c r="D5397" t="s">
        <v>17</v>
      </c>
      <c r="E5397">
        <v>0.88949771689497703</v>
      </c>
      <c r="F5397">
        <v>0.90279751175150802</v>
      </c>
      <c r="G5397">
        <v>67.070883989334106</v>
      </c>
      <c r="H5397">
        <v>12</v>
      </c>
      <c r="I5397">
        <v>12</v>
      </c>
      <c r="J5397">
        <v>30</v>
      </c>
    </row>
    <row r="5398" spans="1:10" x14ac:dyDescent="0.25">
      <c r="A5398" t="s">
        <v>25</v>
      </c>
      <c r="B5398" t="s">
        <v>19</v>
      </c>
      <c r="C5398" t="s">
        <v>18</v>
      </c>
      <c r="D5398" t="s">
        <v>17</v>
      </c>
      <c r="E5398">
        <v>0.89863013698630101</v>
      </c>
      <c r="F5398">
        <v>0.91034678179342299</v>
      </c>
      <c r="G5398">
        <v>67.342748641967702</v>
      </c>
      <c r="H5398">
        <v>8</v>
      </c>
      <c r="I5398">
        <v>9</v>
      </c>
      <c r="J5398">
        <v>30</v>
      </c>
    </row>
    <row r="5399" spans="1:10" x14ac:dyDescent="0.25">
      <c r="A5399" t="s">
        <v>25</v>
      </c>
      <c r="B5399" t="s">
        <v>19</v>
      </c>
      <c r="C5399" t="s">
        <v>18</v>
      </c>
      <c r="D5399" t="s">
        <v>17</v>
      </c>
      <c r="E5399">
        <v>0.90136986301369804</v>
      </c>
      <c r="F5399">
        <v>0.91087917784922401</v>
      </c>
      <c r="G5399">
        <v>69.188462972640906</v>
      </c>
      <c r="H5399">
        <v>7</v>
      </c>
      <c r="I5399">
        <v>8</v>
      </c>
      <c r="J5399">
        <v>30</v>
      </c>
    </row>
    <row r="5400" spans="1:10" x14ac:dyDescent="0.25">
      <c r="A5400" t="s">
        <v>25</v>
      </c>
      <c r="B5400" t="s">
        <v>19</v>
      </c>
      <c r="C5400" t="s">
        <v>18</v>
      </c>
      <c r="D5400" t="s">
        <v>17</v>
      </c>
      <c r="E5400">
        <v>0.89132420091324205</v>
      </c>
      <c r="F5400">
        <v>0.90298558187935796</v>
      </c>
      <c r="G5400">
        <v>69.2788338661193</v>
      </c>
      <c r="H5400">
        <v>9</v>
      </c>
      <c r="I5400">
        <v>10</v>
      </c>
      <c r="J5400">
        <v>30</v>
      </c>
    </row>
    <row r="5401" spans="1:10" x14ac:dyDescent="0.25">
      <c r="A5401" t="s">
        <v>25</v>
      </c>
      <c r="B5401" t="s">
        <v>19</v>
      </c>
      <c r="C5401" t="s">
        <v>18</v>
      </c>
      <c r="D5401" t="s">
        <v>17</v>
      </c>
      <c r="E5401">
        <v>0.91872146118721398</v>
      </c>
      <c r="F5401">
        <v>0.92535542407104798</v>
      </c>
      <c r="G5401">
        <v>69.751226902008</v>
      </c>
      <c r="H5401">
        <v>11</v>
      </c>
      <c r="I5401">
        <v>11</v>
      </c>
      <c r="J5401">
        <v>30</v>
      </c>
    </row>
    <row r="5402" spans="1:10" x14ac:dyDescent="0.25">
      <c r="A5402" t="s">
        <v>25</v>
      </c>
      <c r="B5402" t="s">
        <v>20</v>
      </c>
      <c r="C5402" t="s">
        <v>12</v>
      </c>
      <c r="D5402" t="s">
        <v>13</v>
      </c>
      <c r="E5402">
        <v>1.9178082191780799E-2</v>
      </c>
      <c r="F5402">
        <v>0.75358859108566201</v>
      </c>
      <c r="G5402">
        <v>83.107130765914903</v>
      </c>
      <c r="H5402">
        <v>9</v>
      </c>
      <c r="I5402">
        <v>18</v>
      </c>
      <c r="J5402">
        <v>30</v>
      </c>
    </row>
    <row r="5403" spans="1:10" x14ac:dyDescent="0.25">
      <c r="A5403" t="s">
        <v>25</v>
      </c>
      <c r="B5403" t="s">
        <v>20</v>
      </c>
      <c r="C5403" t="s">
        <v>12</v>
      </c>
      <c r="D5403" t="s">
        <v>13</v>
      </c>
      <c r="E5403">
        <v>2.00913242009132E-2</v>
      </c>
      <c r="F5403">
        <v>0.753870609546758</v>
      </c>
      <c r="G5403">
        <v>87.761257410049396</v>
      </c>
      <c r="H5403">
        <v>12</v>
      </c>
      <c r="I5403">
        <v>30</v>
      </c>
      <c r="J5403">
        <v>30</v>
      </c>
    </row>
    <row r="5404" spans="1:10" x14ac:dyDescent="0.25">
      <c r="A5404" t="s">
        <v>25</v>
      </c>
      <c r="B5404" t="s">
        <v>20</v>
      </c>
      <c r="C5404" t="s">
        <v>12</v>
      </c>
      <c r="D5404" t="s">
        <v>13</v>
      </c>
      <c r="E5404">
        <v>2.1004566210045601E-2</v>
      </c>
      <c r="F5404">
        <v>0.75223097850776199</v>
      </c>
      <c r="G5404">
        <v>90.611093997955294</v>
      </c>
      <c r="H5404">
        <v>6</v>
      </c>
      <c r="I5404">
        <v>11</v>
      </c>
      <c r="J5404">
        <v>30</v>
      </c>
    </row>
    <row r="5405" spans="1:10" x14ac:dyDescent="0.25">
      <c r="A5405" t="s">
        <v>25</v>
      </c>
      <c r="B5405" t="s">
        <v>20</v>
      </c>
      <c r="C5405" t="s">
        <v>12</v>
      </c>
      <c r="D5405" t="s">
        <v>13</v>
      </c>
      <c r="E5405">
        <v>2.3744292237442899E-2</v>
      </c>
      <c r="F5405">
        <v>0.75321818370739702</v>
      </c>
      <c r="G5405">
        <v>103.416576147079</v>
      </c>
      <c r="H5405">
        <v>8</v>
      </c>
      <c r="I5405">
        <v>17</v>
      </c>
      <c r="J5405">
        <v>30</v>
      </c>
    </row>
    <row r="5406" spans="1:10" x14ac:dyDescent="0.25">
      <c r="A5406" t="s">
        <v>25</v>
      </c>
      <c r="B5406" t="s">
        <v>20</v>
      </c>
      <c r="C5406" t="s">
        <v>12</v>
      </c>
      <c r="D5406" t="s">
        <v>13</v>
      </c>
      <c r="E5406">
        <v>1.6438356164383501E-2</v>
      </c>
      <c r="F5406">
        <v>0.75237223317817303</v>
      </c>
      <c r="G5406">
        <v>108.81877136230401</v>
      </c>
      <c r="H5406">
        <v>10</v>
      </c>
      <c r="I5406">
        <v>27</v>
      </c>
      <c r="J5406">
        <v>30</v>
      </c>
    </row>
    <row r="5407" spans="1:10" x14ac:dyDescent="0.25">
      <c r="A5407" t="s">
        <v>25</v>
      </c>
      <c r="B5407" t="s">
        <v>20</v>
      </c>
      <c r="C5407" t="s">
        <v>12</v>
      </c>
      <c r="D5407" t="s">
        <v>13</v>
      </c>
      <c r="E5407">
        <v>1.6438356164383501E-2</v>
      </c>
      <c r="F5407">
        <v>0.75306539039643805</v>
      </c>
      <c r="G5407">
        <v>113.99637842178301</v>
      </c>
      <c r="H5407">
        <v>9</v>
      </c>
      <c r="I5407">
        <v>33</v>
      </c>
      <c r="J5407">
        <v>30</v>
      </c>
    </row>
    <row r="5408" spans="1:10" x14ac:dyDescent="0.25">
      <c r="A5408" t="s">
        <v>25</v>
      </c>
      <c r="B5408" t="s">
        <v>20</v>
      </c>
      <c r="C5408" t="s">
        <v>12</v>
      </c>
      <c r="D5408" t="s">
        <v>13</v>
      </c>
      <c r="E5408">
        <v>2.00913242009132E-2</v>
      </c>
      <c r="F5408">
        <v>0.75370084925588998</v>
      </c>
      <c r="G5408">
        <v>119.21684408187799</v>
      </c>
      <c r="H5408">
        <v>11</v>
      </c>
      <c r="I5408">
        <v>32</v>
      </c>
      <c r="J5408">
        <v>30</v>
      </c>
    </row>
    <row r="5409" spans="1:10" x14ac:dyDescent="0.25">
      <c r="A5409" t="s">
        <v>25</v>
      </c>
      <c r="B5409" t="s">
        <v>20</v>
      </c>
      <c r="C5409" t="s">
        <v>12</v>
      </c>
      <c r="D5409" t="s">
        <v>13</v>
      </c>
      <c r="E5409">
        <v>1.8264840182648401E-2</v>
      </c>
      <c r="F5409">
        <v>0.75361889213488498</v>
      </c>
      <c r="G5409">
        <v>122.04075717926</v>
      </c>
      <c r="H5409">
        <v>8</v>
      </c>
      <c r="I5409">
        <v>24</v>
      </c>
      <c r="J5409">
        <v>30</v>
      </c>
    </row>
    <row r="5410" spans="1:10" x14ac:dyDescent="0.25">
      <c r="A5410" t="s">
        <v>25</v>
      </c>
      <c r="B5410" t="s">
        <v>20</v>
      </c>
      <c r="C5410" t="s">
        <v>12</v>
      </c>
      <c r="D5410" t="s">
        <v>13</v>
      </c>
      <c r="E5410">
        <v>2.00913242009132E-2</v>
      </c>
      <c r="F5410">
        <v>0.75234571598904099</v>
      </c>
      <c r="G5410">
        <v>122.142076969146</v>
      </c>
      <c r="H5410">
        <v>9</v>
      </c>
      <c r="I5410">
        <v>31</v>
      </c>
      <c r="J5410">
        <v>30</v>
      </c>
    </row>
    <row r="5411" spans="1:10" x14ac:dyDescent="0.25">
      <c r="A5411" t="s">
        <v>25</v>
      </c>
      <c r="B5411" t="s">
        <v>20</v>
      </c>
      <c r="C5411" t="s">
        <v>12</v>
      </c>
      <c r="D5411" t="s">
        <v>13</v>
      </c>
      <c r="E5411">
        <v>1.8264840182648401E-2</v>
      </c>
      <c r="F5411">
        <v>0.75367872431506799</v>
      </c>
      <c r="G5411">
        <v>125.319633960723</v>
      </c>
      <c r="H5411">
        <v>8</v>
      </c>
      <c r="I5411">
        <v>19</v>
      </c>
      <c r="J5411">
        <v>30</v>
      </c>
    </row>
    <row r="5412" spans="1:10" x14ac:dyDescent="0.25">
      <c r="A5412" t="s">
        <v>25</v>
      </c>
      <c r="B5412" t="s">
        <v>20</v>
      </c>
      <c r="C5412" t="s">
        <v>12</v>
      </c>
      <c r="D5412" t="s">
        <v>13</v>
      </c>
      <c r="E5412">
        <v>2.1004566210045601E-2</v>
      </c>
      <c r="F5412">
        <v>0.75433974853543295</v>
      </c>
      <c r="G5412">
        <v>125.336178064346</v>
      </c>
      <c r="H5412">
        <v>11</v>
      </c>
      <c r="I5412">
        <v>28</v>
      </c>
      <c r="J5412">
        <v>30</v>
      </c>
    </row>
    <row r="5413" spans="1:10" x14ac:dyDescent="0.25">
      <c r="A5413" t="s">
        <v>25</v>
      </c>
      <c r="B5413" t="s">
        <v>20</v>
      </c>
      <c r="C5413" t="s">
        <v>12</v>
      </c>
      <c r="D5413" t="s">
        <v>13</v>
      </c>
      <c r="E5413">
        <v>1.7351598173515899E-2</v>
      </c>
      <c r="F5413">
        <v>0.75245326407908597</v>
      </c>
      <c r="G5413">
        <v>126.464925289154</v>
      </c>
      <c r="H5413">
        <v>12</v>
      </c>
      <c r="I5413">
        <v>29</v>
      </c>
      <c r="J5413">
        <v>30</v>
      </c>
    </row>
    <row r="5414" spans="1:10" x14ac:dyDescent="0.25">
      <c r="A5414" t="s">
        <v>25</v>
      </c>
      <c r="B5414" t="s">
        <v>20</v>
      </c>
      <c r="C5414" t="s">
        <v>12</v>
      </c>
      <c r="D5414" t="s">
        <v>13</v>
      </c>
      <c r="E5414">
        <v>1.55251141552511E-2</v>
      </c>
      <c r="F5414">
        <v>0.75094986576556999</v>
      </c>
      <c r="G5414">
        <v>126.669780969619</v>
      </c>
      <c r="H5414">
        <v>11</v>
      </c>
      <c r="I5414">
        <v>32</v>
      </c>
      <c r="J5414">
        <v>30</v>
      </c>
    </row>
    <row r="5415" spans="1:10" x14ac:dyDescent="0.25">
      <c r="A5415" t="s">
        <v>25</v>
      </c>
      <c r="B5415" t="s">
        <v>20</v>
      </c>
      <c r="C5415" t="s">
        <v>12</v>
      </c>
      <c r="D5415" t="s">
        <v>13</v>
      </c>
      <c r="E5415">
        <v>2.1917808219177999E-2</v>
      </c>
      <c r="F5415">
        <v>0.75302326332118696</v>
      </c>
      <c r="G5415">
        <v>128.025783061981</v>
      </c>
      <c r="H5415">
        <v>9</v>
      </c>
      <c r="I5415">
        <v>23</v>
      </c>
      <c r="J5415">
        <v>30</v>
      </c>
    </row>
    <row r="5416" spans="1:10" x14ac:dyDescent="0.25">
      <c r="A5416" t="s">
        <v>25</v>
      </c>
      <c r="B5416" t="s">
        <v>20</v>
      </c>
      <c r="C5416" t="s">
        <v>12</v>
      </c>
      <c r="D5416" t="s">
        <v>13</v>
      </c>
      <c r="E5416">
        <v>1.7351598173515899E-2</v>
      </c>
      <c r="F5416">
        <v>0.75327209558584396</v>
      </c>
      <c r="G5416">
        <v>130.51308703422501</v>
      </c>
      <c r="H5416">
        <v>11</v>
      </c>
      <c r="I5416">
        <v>31</v>
      </c>
      <c r="J5416">
        <v>30</v>
      </c>
    </row>
    <row r="5417" spans="1:10" x14ac:dyDescent="0.25">
      <c r="A5417" t="s">
        <v>25</v>
      </c>
      <c r="B5417" t="s">
        <v>20</v>
      </c>
      <c r="C5417" t="s">
        <v>12</v>
      </c>
      <c r="D5417" t="s">
        <v>13</v>
      </c>
      <c r="E5417">
        <v>1.7351598173515899E-2</v>
      </c>
      <c r="F5417">
        <v>0.75321993346091298</v>
      </c>
      <c r="G5417">
        <v>133.524340391159</v>
      </c>
      <c r="H5417">
        <v>14</v>
      </c>
      <c r="I5417">
        <v>45</v>
      </c>
      <c r="J5417">
        <v>30</v>
      </c>
    </row>
    <row r="5418" spans="1:10" x14ac:dyDescent="0.25">
      <c r="A5418" t="s">
        <v>25</v>
      </c>
      <c r="B5418" t="s">
        <v>20</v>
      </c>
      <c r="C5418" t="s">
        <v>12</v>
      </c>
      <c r="D5418" t="s">
        <v>13</v>
      </c>
      <c r="E5418">
        <v>1.3698630136986301E-2</v>
      </c>
      <c r="F5418">
        <v>0.75190949830301301</v>
      </c>
      <c r="G5418">
        <v>137.03596735000599</v>
      </c>
      <c r="H5418">
        <v>12</v>
      </c>
      <c r="I5418">
        <v>36</v>
      </c>
      <c r="J5418">
        <v>30</v>
      </c>
    </row>
    <row r="5419" spans="1:10" x14ac:dyDescent="0.25">
      <c r="A5419" t="s">
        <v>25</v>
      </c>
      <c r="B5419" t="s">
        <v>20</v>
      </c>
      <c r="C5419" t="s">
        <v>12</v>
      </c>
      <c r="D5419" t="s">
        <v>13</v>
      </c>
      <c r="E5419">
        <v>1.7351598173515899E-2</v>
      </c>
      <c r="F5419">
        <v>0.75350375456867502</v>
      </c>
      <c r="G5419">
        <v>137.42952013015699</v>
      </c>
      <c r="H5419">
        <v>9</v>
      </c>
      <c r="I5419">
        <v>28</v>
      </c>
      <c r="J5419">
        <v>30</v>
      </c>
    </row>
    <row r="5420" spans="1:10" x14ac:dyDescent="0.25">
      <c r="A5420" t="s">
        <v>25</v>
      </c>
      <c r="B5420" t="s">
        <v>20</v>
      </c>
      <c r="C5420" t="s">
        <v>12</v>
      </c>
      <c r="D5420" t="s">
        <v>13</v>
      </c>
      <c r="E5420">
        <v>1.9178082191780799E-2</v>
      </c>
      <c r="F5420">
        <v>0.75366769358091301</v>
      </c>
      <c r="G5420">
        <v>140.33281207084599</v>
      </c>
      <c r="H5420">
        <v>10</v>
      </c>
      <c r="I5420">
        <v>31</v>
      </c>
      <c r="J5420">
        <v>30</v>
      </c>
    </row>
    <row r="5421" spans="1:10" x14ac:dyDescent="0.25">
      <c r="A5421" t="s">
        <v>25</v>
      </c>
      <c r="B5421" t="s">
        <v>20</v>
      </c>
      <c r="C5421" t="s">
        <v>12</v>
      </c>
      <c r="D5421" t="s">
        <v>13</v>
      </c>
      <c r="E5421">
        <v>2.00913242009132E-2</v>
      </c>
      <c r="F5421">
        <v>0.75393447592858398</v>
      </c>
      <c r="G5421">
        <v>141.73978853225699</v>
      </c>
      <c r="H5421">
        <v>9</v>
      </c>
      <c r="I5421">
        <v>22</v>
      </c>
      <c r="J5421">
        <v>30</v>
      </c>
    </row>
    <row r="5422" spans="1:10" x14ac:dyDescent="0.25">
      <c r="A5422" t="s">
        <v>25</v>
      </c>
      <c r="B5422" t="s">
        <v>20</v>
      </c>
      <c r="C5422" t="s">
        <v>12</v>
      </c>
      <c r="D5422" t="s">
        <v>13</v>
      </c>
      <c r="E5422">
        <v>3.3789954337899497E-2</v>
      </c>
      <c r="F5422">
        <v>0.75370415703835603</v>
      </c>
      <c r="G5422">
        <v>148.85441446304301</v>
      </c>
      <c r="H5422">
        <v>24</v>
      </c>
      <c r="I5422">
        <v>58</v>
      </c>
      <c r="J5422">
        <v>30</v>
      </c>
    </row>
    <row r="5423" spans="1:10" x14ac:dyDescent="0.25">
      <c r="A5423" t="s">
        <v>25</v>
      </c>
      <c r="B5423" t="s">
        <v>20</v>
      </c>
      <c r="C5423" t="s">
        <v>12</v>
      </c>
      <c r="D5423" t="s">
        <v>13</v>
      </c>
      <c r="E5423">
        <v>2.6484018264840099E-2</v>
      </c>
      <c r="F5423">
        <v>0.75066220973735098</v>
      </c>
      <c r="G5423">
        <v>149.93366956710801</v>
      </c>
      <c r="H5423">
        <v>30</v>
      </c>
      <c r="I5423">
        <v>74</v>
      </c>
      <c r="J5423">
        <v>30</v>
      </c>
    </row>
    <row r="5424" spans="1:10" x14ac:dyDescent="0.25">
      <c r="A5424" t="s">
        <v>25</v>
      </c>
      <c r="B5424" t="s">
        <v>20</v>
      </c>
      <c r="C5424" t="s">
        <v>12</v>
      </c>
      <c r="D5424" t="s">
        <v>13</v>
      </c>
      <c r="E5424">
        <v>1.8264840182648401E-2</v>
      </c>
      <c r="F5424">
        <v>0.75334764183990799</v>
      </c>
      <c r="G5424">
        <v>153.63785123824999</v>
      </c>
      <c r="H5424">
        <v>11</v>
      </c>
      <c r="I5424">
        <v>30</v>
      </c>
      <c r="J5424">
        <v>30</v>
      </c>
    </row>
    <row r="5425" spans="1:10" x14ac:dyDescent="0.25">
      <c r="A5425" t="s">
        <v>25</v>
      </c>
      <c r="B5425" t="s">
        <v>20</v>
      </c>
      <c r="C5425" t="s">
        <v>12</v>
      </c>
      <c r="D5425" t="s">
        <v>13</v>
      </c>
      <c r="E5425">
        <v>2.8310502283104999E-2</v>
      </c>
      <c r="F5425">
        <v>0.75537950329324199</v>
      </c>
      <c r="G5425">
        <v>154.066673517227</v>
      </c>
      <c r="H5425">
        <v>25</v>
      </c>
      <c r="I5425">
        <v>62</v>
      </c>
      <c r="J5425">
        <v>30</v>
      </c>
    </row>
    <row r="5426" spans="1:10" x14ac:dyDescent="0.25">
      <c r="A5426" t="s">
        <v>25</v>
      </c>
      <c r="B5426" t="s">
        <v>20</v>
      </c>
      <c r="C5426" t="s">
        <v>12</v>
      </c>
      <c r="D5426" t="s">
        <v>13</v>
      </c>
      <c r="E5426">
        <v>2.92237442922374E-2</v>
      </c>
      <c r="F5426">
        <v>0.75350571008273903</v>
      </c>
      <c r="G5426">
        <v>155.128321886062</v>
      </c>
      <c r="H5426">
        <v>22</v>
      </c>
      <c r="I5426">
        <v>58</v>
      </c>
      <c r="J5426">
        <v>30</v>
      </c>
    </row>
    <row r="5427" spans="1:10" x14ac:dyDescent="0.25">
      <c r="A5427" t="s">
        <v>25</v>
      </c>
      <c r="B5427" t="s">
        <v>20</v>
      </c>
      <c r="C5427" t="s">
        <v>12</v>
      </c>
      <c r="D5427" t="s">
        <v>13</v>
      </c>
      <c r="E5427">
        <v>3.1963470319634701E-2</v>
      </c>
      <c r="F5427">
        <v>0.75490058687314998</v>
      </c>
      <c r="G5427">
        <v>156.43929648399299</v>
      </c>
      <c r="H5427">
        <v>28</v>
      </c>
      <c r="I5427">
        <v>80</v>
      </c>
      <c r="J5427">
        <v>30</v>
      </c>
    </row>
    <row r="5428" spans="1:10" x14ac:dyDescent="0.25">
      <c r="A5428" t="s">
        <v>25</v>
      </c>
      <c r="B5428" t="s">
        <v>20</v>
      </c>
      <c r="C5428" t="s">
        <v>12</v>
      </c>
      <c r="D5428" t="s">
        <v>13</v>
      </c>
      <c r="E5428">
        <v>3.8356164383561597E-2</v>
      </c>
      <c r="F5428">
        <v>0.75678698071269401</v>
      </c>
      <c r="G5428">
        <v>158.72766709327601</v>
      </c>
      <c r="H5428">
        <v>28</v>
      </c>
      <c r="I5428">
        <v>76</v>
      </c>
      <c r="J5428">
        <v>30</v>
      </c>
    </row>
    <row r="5429" spans="1:10" x14ac:dyDescent="0.25">
      <c r="A5429" t="s">
        <v>25</v>
      </c>
      <c r="B5429" t="s">
        <v>20</v>
      </c>
      <c r="C5429" t="s">
        <v>12</v>
      </c>
      <c r="D5429" t="s">
        <v>13</v>
      </c>
      <c r="E5429">
        <v>3.2876712328767099E-2</v>
      </c>
      <c r="F5429">
        <v>0.75275962712100397</v>
      </c>
      <c r="G5429">
        <v>162.17374205589201</v>
      </c>
      <c r="H5429">
        <v>28</v>
      </c>
      <c r="I5429">
        <v>72</v>
      </c>
      <c r="J5429">
        <v>30</v>
      </c>
    </row>
    <row r="5430" spans="1:10" x14ac:dyDescent="0.25">
      <c r="A5430" t="s">
        <v>25</v>
      </c>
      <c r="B5430" t="s">
        <v>20</v>
      </c>
      <c r="C5430" t="s">
        <v>12</v>
      </c>
      <c r="D5430" t="s">
        <v>13</v>
      </c>
      <c r="E5430">
        <v>3.10502283105022E-2</v>
      </c>
      <c r="F5430">
        <v>0.75437227684219099</v>
      </c>
      <c r="G5430">
        <v>162.424494743347</v>
      </c>
      <c r="H5430">
        <v>29</v>
      </c>
      <c r="I5430">
        <v>77</v>
      </c>
      <c r="J5430">
        <v>30</v>
      </c>
    </row>
    <row r="5431" spans="1:10" x14ac:dyDescent="0.25">
      <c r="A5431" t="s">
        <v>25</v>
      </c>
      <c r="B5431" t="s">
        <v>20</v>
      </c>
      <c r="C5431" t="s">
        <v>12</v>
      </c>
      <c r="D5431" t="s">
        <v>13</v>
      </c>
      <c r="E5431">
        <v>0.92237442922374402</v>
      </c>
      <c r="F5431">
        <v>0.96722600201853803</v>
      </c>
      <c r="G5431">
        <v>163.781526088714</v>
      </c>
      <c r="H5431">
        <v>62</v>
      </c>
      <c r="I5431">
        <v>151</v>
      </c>
      <c r="J5431">
        <v>30</v>
      </c>
    </row>
    <row r="5432" spans="1:10" x14ac:dyDescent="0.25">
      <c r="A5432" t="s">
        <v>25</v>
      </c>
      <c r="B5432" t="s">
        <v>20</v>
      </c>
      <c r="C5432" t="s">
        <v>12</v>
      </c>
      <c r="D5432" t="s">
        <v>14</v>
      </c>
      <c r="E5432">
        <v>9.1324200913241995E-4</v>
      </c>
      <c r="F5432">
        <v>0.75017708384876702</v>
      </c>
      <c r="G5432">
        <v>26.371126174926701</v>
      </c>
      <c r="H5432">
        <v>1</v>
      </c>
      <c r="I5432">
        <v>1</v>
      </c>
      <c r="J5432">
        <v>30</v>
      </c>
    </row>
    <row r="5433" spans="1:10" x14ac:dyDescent="0.25">
      <c r="A5433" t="s">
        <v>25</v>
      </c>
      <c r="B5433" t="s">
        <v>20</v>
      </c>
      <c r="C5433" t="s">
        <v>12</v>
      </c>
      <c r="D5433" t="s">
        <v>14</v>
      </c>
      <c r="E5433">
        <v>2.7397260273972599E-3</v>
      </c>
      <c r="F5433">
        <v>0.750228310502283</v>
      </c>
      <c r="G5433">
        <v>26.695097208023</v>
      </c>
      <c r="H5433">
        <v>1</v>
      </c>
      <c r="I5433">
        <v>1</v>
      </c>
      <c r="J5433">
        <v>30</v>
      </c>
    </row>
    <row r="5434" spans="1:10" x14ac:dyDescent="0.25">
      <c r="A5434" t="s">
        <v>25</v>
      </c>
      <c r="B5434" t="s">
        <v>20</v>
      </c>
      <c r="C5434" t="s">
        <v>12</v>
      </c>
      <c r="D5434" t="s">
        <v>14</v>
      </c>
      <c r="E5434">
        <v>9.1324200913241995E-4</v>
      </c>
      <c r="F5434">
        <v>0.74986187214611799</v>
      </c>
      <c r="G5434">
        <v>27.278839349746701</v>
      </c>
      <c r="H5434">
        <v>1</v>
      </c>
      <c r="I5434">
        <v>1</v>
      </c>
      <c r="J5434">
        <v>30</v>
      </c>
    </row>
    <row r="5435" spans="1:10" x14ac:dyDescent="0.25">
      <c r="A5435" t="s">
        <v>25</v>
      </c>
      <c r="B5435" t="s">
        <v>20</v>
      </c>
      <c r="C5435" t="s">
        <v>12</v>
      </c>
      <c r="D5435" t="s">
        <v>14</v>
      </c>
      <c r="E5435">
        <v>2.7397260273972599E-3</v>
      </c>
      <c r="F5435">
        <v>0.75049295511205405</v>
      </c>
      <c r="G5435">
        <v>29.372539997100802</v>
      </c>
      <c r="H5435">
        <v>1</v>
      </c>
      <c r="I5435">
        <v>1</v>
      </c>
      <c r="J5435">
        <v>30</v>
      </c>
    </row>
    <row r="5436" spans="1:10" x14ac:dyDescent="0.25">
      <c r="A5436" t="s">
        <v>25</v>
      </c>
      <c r="B5436" t="s">
        <v>20</v>
      </c>
      <c r="C5436" t="s">
        <v>12</v>
      </c>
      <c r="D5436" t="s">
        <v>14</v>
      </c>
      <c r="E5436">
        <v>3.6529680365296798E-3</v>
      </c>
      <c r="F5436">
        <v>0.75062428652968005</v>
      </c>
      <c r="G5436">
        <v>29.865406513214101</v>
      </c>
      <c r="H5436">
        <v>1</v>
      </c>
      <c r="I5436">
        <v>1</v>
      </c>
      <c r="J5436">
        <v>30</v>
      </c>
    </row>
    <row r="5437" spans="1:10" x14ac:dyDescent="0.25">
      <c r="A5437" t="s">
        <v>25</v>
      </c>
      <c r="B5437" t="s">
        <v>20</v>
      </c>
      <c r="C5437" t="s">
        <v>12</v>
      </c>
      <c r="D5437" t="s">
        <v>14</v>
      </c>
      <c r="E5437">
        <v>2.7397260273972599E-3</v>
      </c>
      <c r="F5437">
        <v>0.75049295511205405</v>
      </c>
      <c r="G5437">
        <v>30.135723352432201</v>
      </c>
      <c r="H5437">
        <v>1</v>
      </c>
      <c r="I5437">
        <v>1</v>
      </c>
      <c r="J5437">
        <v>30</v>
      </c>
    </row>
    <row r="5438" spans="1:10" x14ac:dyDescent="0.25">
      <c r="A5438" t="s">
        <v>25</v>
      </c>
      <c r="B5438" t="s">
        <v>20</v>
      </c>
      <c r="C5438" t="s">
        <v>12</v>
      </c>
      <c r="D5438" t="s">
        <v>14</v>
      </c>
      <c r="E5438">
        <v>2.7397260273972599E-3</v>
      </c>
      <c r="F5438">
        <v>0.750228310502283</v>
      </c>
      <c r="G5438">
        <v>30.248947381973199</v>
      </c>
      <c r="H5438">
        <v>1</v>
      </c>
      <c r="I5438">
        <v>1</v>
      </c>
      <c r="J5438">
        <v>30</v>
      </c>
    </row>
    <row r="5439" spans="1:10" x14ac:dyDescent="0.25">
      <c r="A5439" t="s">
        <v>25</v>
      </c>
      <c r="B5439" t="s">
        <v>20</v>
      </c>
      <c r="C5439" t="s">
        <v>12</v>
      </c>
      <c r="D5439" t="s">
        <v>14</v>
      </c>
      <c r="E5439">
        <v>1.8264840182648399E-3</v>
      </c>
      <c r="F5439">
        <v>0.75005059401205398</v>
      </c>
      <c r="G5439">
        <v>30.300123691558799</v>
      </c>
      <c r="H5439">
        <v>1</v>
      </c>
      <c r="I5439">
        <v>1</v>
      </c>
      <c r="J5439">
        <v>30</v>
      </c>
    </row>
    <row r="5440" spans="1:10" x14ac:dyDescent="0.25">
      <c r="A5440" t="s">
        <v>25</v>
      </c>
      <c r="B5440" t="s">
        <v>20</v>
      </c>
      <c r="C5440" t="s">
        <v>12</v>
      </c>
      <c r="D5440" t="s">
        <v>14</v>
      </c>
      <c r="E5440">
        <v>2.7397260273972599E-3</v>
      </c>
      <c r="F5440">
        <v>0.750228310502283</v>
      </c>
      <c r="G5440">
        <v>30.898820161819401</v>
      </c>
      <c r="H5440">
        <v>1</v>
      </c>
      <c r="I5440">
        <v>1</v>
      </c>
      <c r="J5440">
        <v>30</v>
      </c>
    </row>
    <row r="5441" spans="1:10" x14ac:dyDescent="0.25">
      <c r="A5441" t="s">
        <v>25</v>
      </c>
      <c r="B5441" t="s">
        <v>20</v>
      </c>
      <c r="C5441" t="s">
        <v>12</v>
      </c>
      <c r="D5441" t="s">
        <v>14</v>
      </c>
      <c r="E5441">
        <v>2.7397260273972599E-3</v>
      </c>
      <c r="F5441">
        <v>0.75049295511205405</v>
      </c>
      <c r="G5441">
        <v>31.187129259109401</v>
      </c>
      <c r="H5441">
        <v>1</v>
      </c>
      <c r="I5441">
        <v>1</v>
      </c>
      <c r="J5441">
        <v>30</v>
      </c>
    </row>
    <row r="5442" spans="1:10" x14ac:dyDescent="0.25">
      <c r="A5442" t="s">
        <v>25</v>
      </c>
      <c r="B5442" t="s">
        <v>20</v>
      </c>
      <c r="C5442" t="s">
        <v>12</v>
      </c>
      <c r="D5442" t="s">
        <v>14</v>
      </c>
      <c r="E5442">
        <v>1.8264840182648399E-3</v>
      </c>
      <c r="F5442">
        <v>0.75005059401205398</v>
      </c>
      <c r="G5442">
        <v>31.238863229751502</v>
      </c>
      <c r="H5442">
        <v>1</v>
      </c>
      <c r="I5442">
        <v>1</v>
      </c>
      <c r="J5442">
        <v>30</v>
      </c>
    </row>
    <row r="5443" spans="1:10" x14ac:dyDescent="0.25">
      <c r="A5443" t="s">
        <v>25</v>
      </c>
      <c r="B5443" t="s">
        <v>20</v>
      </c>
      <c r="C5443" t="s">
        <v>12</v>
      </c>
      <c r="D5443" t="s">
        <v>14</v>
      </c>
      <c r="E5443">
        <v>9.1324200913241995E-4</v>
      </c>
      <c r="F5443">
        <v>0.75017708384876702</v>
      </c>
      <c r="G5443">
        <v>31.273939371109002</v>
      </c>
      <c r="H5443">
        <v>1</v>
      </c>
      <c r="I5443">
        <v>1</v>
      </c>
      <c r="J5443">
        <v>30</v>
      </c>
    </row>
    <row r="5444" spans="1:10" x14ac:dyDescent="0.25">
      <c r="A5444" t="s">
        <v>25</v>
      </c>
      <c r="B5444" t="s">
        <v>20</v>
      </c>
      <c r="C5444" t="s">
        <v>12</v>
      </c>
      <c r="D5444" t="s">
        <v>14</v>
      </c>
      <c r="E5444">
        <v>3.6529680365296798E-3</v>
      </c>
      <c r="F5444">
        <v>0.75062428652968005</v>
      </c>
      <c r="G5444">
        <v>31.27588057518</v>
      </c>
      <c r="H5444">
        <v>1</v>
      </c>
      <c r="I5444">
        <v>1</v>
      </c>
      <c r="J5444">
        <v>30</v>
      </c>
    </row>
    <row r="5445" spans="1:10" x14ac:dyDescent="0.25">
      <c r="A5445" t="s">
        <v>25</v>
      </c>
      <c r="B5445" t="s">
        <v>20</v>
      </c>
      <c r="C5445" t="s">
        <v>12</v>
      </c>
      <c r="D5445" t="s">
        <v>14</v>
      </c>
      <c r="E5445">
        <v>1.8264840182648399E-3</v>
      </c>
      <c r="F5445">
        <v>0.750342465753424</v>
      </c>
      <c r="G5445">
        <v>31.917747974395699</v>
      </c>
      <c r="H5445">
        <v>1</v>
      </c>
      <c r="I5445">
        <v>1</v>
      </c>
      <c r="J5445">
        <v>30</v>
      </c>
    </row>
    <row r="5446" spans="1:10" x14ac:dyDescent="0.25">
      <c r="A5446" t="s">
        <v>25</v>
      </c>
      <c r="B5446" t="s">
        <v>20</v>
      </c>
      <c r="C5446" t="s">
        <v>12</v>
      </c>
      <c r="D5446" t="s">
        <v>14</v>
      </c>
      <c r="E5446">
        <v>9.1324200913241995E-4</v>
      </c>
      <c r="F5446">
        <v>0.75017708384876702</v>
      </c>
      <c r="G5446">
        <v>32.2461130619049</v>
      </c>
      <c r="H5446">
        <v>1</v>
      </c>
      <c r="I5446">
        <v>1</v>
      </c>
      <c r="J5446">
        <v>30</v>
      </c>
    </row>
    <row r="5447" spans="1:10" x14ac:dyDescent="0.25">
      <c r="A5447" t="s">
        <v>25</v>
      </c>
      <c r="B5447" t="s">
        <v>20</v>
      </c>
      <c r="C5447" t="s">
        <v>12</v>
      </c>
      <c r="D5447" t="s">
        <v>14</v>
      </c>
      <c r="E5447">
        <v>2.7397260273972599E-3</v>
      </c>
      <c r="F5447">
        <v>0.75049295511205405</v>
      </c>
      <c r="G5447">
        <v>32.6600341796875</v>
      </c>
      <c r="H5447">
        <v>1</v>
      </c>
      <c r="I5447">
        <v>1</v>
      </c>
      <c r="J5447">
        <v>30</v>
      </c>
    </row>
    <row r="5448" spans="1:10" x14ac:dyDescent="0.25">
      <c r="A5448" t="s">
        <v>25</v>
      </c>
      <c r="B5448" t="s">
        <v>20</v>
      </c>
      <c r="C5448" t="s">
        <v>12</v>
      </c>
      <c r="D5448" t="s">
        <v>14</v>
      </c>
      <c r="E5448">
        <v>2.7397260273972599E-3</v>
      </c>
      <c r="F5448">
        <v>0.750228310502283</v>
      </c>
      <c r="G5448">
        <v>33.305255651473999</v>
      </c>
      <c r="H5448">
        <v>1</v>
      </c>
      <c r="I5448">
        <v>1</v>
      </c>
      <c r="J5448">
        <v>30</v>
      </c>
    </row>
    <row r="5449" spans="1:10" x14ac:dyDescent="0.25">
      <c r="A5449" t="s">
        <v>25</v>
      </c>
      <c r="B5449" t="s">
        <v>20</v>
      </c>
      <c r="C5449" t="s">
        <v>12</v>
      </c>
      <c r="D5449" t="s">
        <v>14</v>
      </c>
      <c r="E5449">
        <v>3.6529680365296798E-3</v>
      </c>
      <c r="F5449">
        <v>0.75053582741588998</v>
      </c>
      <c r="G5449">
        <v>33.497231721878002</v>
      </c>
      <c r="H5449">
        <v>1</v>
      </c>
      <c r="I5449">
        <v>1</v>
      </c>
      <c r="J5449">
        <v>30</v>
      </c>
    </row>
    <row r="5450" spans="1:10" x14ac:dyDescent="0.25">
      <c r="A5450" t="s">
        <v>25</v>
      </c>
      <c r="B5450" t="s">
        <v>20</v>
      </c>
      <c r="C5450" t="s">
        <v>12</v>
      </c>
      <c r="D5450" t="s">
        <v>14</v>
      </c>
      <c r="E5450">
        <v>4.5662100456621002E-3</v>
      </c>
      <c r="F5450">
        <v>0.75073059360730499</v>
      </c>
      <c r="G5450">
        <v>33.469094991683903</v>
      </c>
      <c r="H5450">
        <v>1</v>
      </c>
      <c r="I5450">
        <v>1</v>
      </c>
      <c r="J5450">
        <v>30</v>
      </c>
    </row>
    <row r="5451" spans="1:10" x14ac:dyDescent="0.25">
      <c r="A5451" t="s">
        <v>25</v>
      </c>
      <c r="B5451" t="s">
        <v>20</v>
      </c>
      <c r="C5451" t="s">
        <v>12</v>
      </c>
      <c r="D5451" t="s">
        <v>14</v>
      </c>
      <c r="E5451">
        <v>1.8264840182648399E-3</v>
      </c>
      <c r="F5451">
        <v>0.750342465753424</v>
      </c>
      <c r="G5451">
        <v>33.583337545394897</v>
      </c>
      <c r="H5451">
        <v>1</v>
      </c>
      <c r="I5451">
        <v>1</v>
      </c>
      <c r="J5451">
        <v>30</v>
      </c>
    </row>
    <row r="5452" spans="1:10" x14ac:dyDescent="0.25">
      <c r="A5452" t="s">
        <v>25</v>
      </c>
      <c r="B5452" t="s">
        <v>20</v>
      </c>
      <c r="C5452" t="s">
        <v>12</v>
      </c>
      <c r="D5452" t="s">
        <v>14</v>
      </c>
      <c r="E5452">
        <v>1.8264840182648399E-3</v>
      </c>
      <c r="F5452">
        <v>0.750342465753424</v>
      </c>
      <c r="G5452">
        <v>36.227780580520601</v>
      </c>
      <c r="H5452">
        <v>2</v>
      </c>
      <c r="I5452">
        <v>2</v>
      </c>
      <c r="J5452">
        <v>30</v>
      </c>
    </row>
    <row r="5453" spans="1:10" x14ac:dyDescent="0.25">
      <c r="A5453" t="s">
        <v>25</v>
      </c>
      <c r="B5453" t="s">
        <v>20</v>
      </c>
      <c r="C5453" t="s">
        <v>12</v>
      </c>
      <c r="D5453" t="s">
        <v>14</v>
      </c>
      <c r="E5453">
        <v>9.1324200913241995E-4</v>
      </c>
      <c r="F5453">
        <v>0.75017708384876702</v>
      </c>
      <c r="G5453">
        <v>36.2101020812988</v>
      </c>
      <c r="H5453">
        <v>2</v>
      </c>
      <c r="I5453">
        <v>2</v>
      </c>
      <c r="J5453">
        <v>30</v>
      </c>
    </row>
    <row r="5454" spans="1:10" x14ac:dyDescent="0.25">
      <c r="A5454" t="s">
        <v>25</v>
      </c>
      <c r="B5454" t="s">
        <v>20</v>
      </c>
      <c r="C5454" t="s">
        <v>12</v>
      </c>
      <c r="D5454" t="s">
        <v>14</v>
      </c>
      <c r="E5454">
        <v>2.7397260273972599E-3</v>
      </c>
      <c r="F5454">
        <v>0.75049295511205405</v>
      </c>
      <c r="G5454">
        <v>36.238775253295898</v>
      </c>
      <c r="H5454">
        <v>2</v>
      </c>
      <c r="I5454">
        <v>2</v>
      </c>
      <c r="J5454">
        <v>30</v>
      </c>
    </row>
    <row r="5455" spans="1:10" x14ac:dyDescent="0.25">
      <c r="A5455" t="s">
        <v>25</v>
      </c>
      <c r="B5455" t="s">
        <v>20</v>
      </c>
      <c r="C5455" t="s">
        <v>12</v>
      </c>
      <c r="D5455" t="s">
        <v>14</v>
      </c>
      <c r="E5455">
        <v>9.1324200913241995E-4</v>
      </c>
      <c r="F5455">
        <v>0.75017708384876702</v>
      </c>
      <c r="G5455">
        <v>36.267854928970301</v>
      </c>
      <c r="H5455">
        <v>2</v>
      </c>
      <c r="I5455">
        <v>2</v>
      </c>
      <c r="J5455">
        <v>30</v>
      </c>
    </row>
    <row r="5456" spans="1:10" x14ac:dyDescent="0.25">
      <c r="A5456" t="s">
        <v>25</v>
      </c>
      <c r="B5456" t="s">
        <v>20</v>
      </c>
      <c r="C5456" t="s">
        <v>12</v>
      </c>
      <c r="D5456" t="s">
        <v>14</v>
      </c>
      <c r="E5456">
        <v>3.6529680365296798E-3</v>
      </c>
      <c r="F5456">
        <v>0.75062428652968005</v>
      </c>
      <c r="G5456">
        <v>36.265855312347398</v>
      </c>
      <c r="H5456">
        <v>2</v>
      </c>
      <c r="I5456">
        <v>2</v>
      </c>
      <c r="J5456">
        <v>30</v>
      </c>
    </row>
    <row r="5457" spans="1:10" x14ac:dyDescent="0.25">
      <c r="A5457" t="s">
        <v>25</v>
      </c>
      <c r="B5457" t="s">
        <v>20</v>
      </c>
      <c r="C5457" t="s">
        <v>12</v>
      </c>
      <c r="D5457" t="s">
        <v>14</v>
      </c>
      <c r="E5457">
        <v>1.8264840182648399E-3</v>
      </c>
      <c r="F5457">
        <v>0.750342465753424</v>
      </c>
      <c r="G5457">
        <v>36.351696252822798</v>
      </c>
      <c r="H5457">
        <v>2</v>
      </c>
      <c r="I5457">
        <v>2</v>
      </c>
      <c r="J5457">
        <v>30</v>
      </c>
    </row>
    <row r="5458" spans="1:10" x14ac:dyDescent="0.25">
      <c r="A5458" t="s">
        <v>25</v>
      </c>
      <c r="B5458" t="s">
        <v>20</v>
      </c>
      <c r="C5458" t="s">
        <v>12</v>
      </c>
      <c r="D5458" t="s">
        <v>14</v>
      </c>
      <c r="E5458">
        <v>3.6529680365296798E-3</v>
      </c>
      <c r="F5458">
        <v>0.75062428652968005</v>
      </c>
      <c r="G5458">
        <v>36.4619171619415</v>
      </c>
      <c r="H5458">
        <v>2</v>
      </c>
      <c r="I5458">
        <v>2</v>
      </c>
      <c r="J5458">
        <v>30</v>
      </c>
    </row>
    <row r="5459" spans="1:10" x14ac:dyDescent="0.25">
      <c r="A5459" t="s">
        <v>25</v>
      </c>
      <c r="B5459" t="s">
        <v>20</v>
      </c>
      <c r="C5459" t="s">
        <v>12</v>
      </c>
      <c r="D5459" t="s">
        <v>14</v>
      </c>
      <c r="E5459">
        <v>9.1324200913241995E-4</v>
      </c>
      <c r="F5459">
        <v>0.75017708384876702</v>
      </c>
      <c r="G5459">
        <v>36.518691778182898</v>
      </c>
      <c r="H5459">
        <v>2</v>
      </c>
      <c r="I5459">
        <v>2</v>
      </c>
      <c r="J5459">
        <v>30</v>
      </c>
    </row>
    <row r="5460" spans="1:10" x14ac:dyDescent="0.25">
      <c r="A5460" t="s">
        <v>25</v>
      </c>
      <c r="B5460" t="s">
        <v>20</v>
      </c>
      <c r="C5460" t="s">
        <v>12</v>
      </c>
      <c r="D5460" t="s">
        <v>14</v>
      </c>
      <c r="E5460">
        <v>9.1324200913241995E-4</v>
      </c>
      <c r="F5460">
        <v>0.75017708384876702</v>
      </c>
      <c r="G5460">
        <v>36.541660308837798</v>
      </c>
      <c r="H5460">
        <v>2</v>
      </c>
      <c r="I5460">
        <v>2</v>
      </c>
      <c r="J5460">
        <v>30</v>
      </c>
    </row>
    <row r="5461" spans="1:10" x14ac:dyDescent="0.25">
      <c r="A5461" t="s">
        <v>25</v>
      </c>
      <c r="B5461" t="s">
        <v>20</v>
      </c>
      <c r="C5461" t="s">
        <v>12</v>
      </c>
      <c r="D5461" t="s">
        <v>14</v>
      </c>
      <c r="E5461">
        <v>1.8264840182648399E-3</v>
      </c>
      <c r="F5461">
        <v>0.750342465753424</v>
      </c>
      <c r="G5461">
        <v>36.6189093589782</v>
      </c>
      <c r="H5461">
        <v>2</v>
      </c>
      <c r="I5461">
        <v>2</v>
      </c>
      <c r="J5461">
        <v>30</v>
      </c>
    </row>
    <row r="5462" spans="1:10" x14ac:dyDescent="0.25">
      <c r="A5462" t="s">
        <v>25</v>
      </c>
      <c r="B5462" t="s">
        <v>20</v>
      </c>
      <c r="C5462" t="s">
        <v>12</v>
      </c>
      <c r="D5462" t="s">
        <v>15</v>
      </c>
      <c r="E5462">
        <v>0.88401826484018198</v>
      </c>
      <c r="F5462">
        <v>0.89770779103068199</v>
      </c>
      <c r="G5462">
        <v>21.216824054718</v>
      </c>
      <c r="H5462">
        <v>3</v>
      </c>
      <c r="I5462">
        <v>4</v>
      </c>
      <c r="J5462">
        <v>30</v>
      </c>
    </row>
    <row r="5463" spans="1:10" x14ac:dyDescent="0.25">
      <c r="A5463" t="s">
        <v>25</v>
      </c>
      <c r="B5463" t="s">
        <v>20</v>
      </c>
      <c r="C5463" t="s">
        <v>12</v>
      </c>
      <c r="D5463" t="s">
        <v>15</v>
      </c>
      <c r="E5463">
        <v>0.897716894977169</v>
      </c>
      <c r="F5463">
        <v>0.91020450145607101</v>
      </c>
      <c r="G5463">
        <v>22.221206426620402</v>
      </c>
      <c r="H5463">
        <v>1</v>
      </c>
      <c r="I5463">
        <v>1</v>
      </c>
      <c r="J5463">
        <v>30</v>
      </c>
    </row>
    <row r="5464" spans="1:10" x14ac:dyDescent="0.25">
      <c r="A5464" t="s">
        <v>25</v>
      </c>
      <c r="B5464" t="s">
        <v>20</v>
      </c>
      <c r="C5464" t="s">
        <v>12</v>
      </c>
      <c r="D5464" t="s">
        <v>15</v>
      </c>
      <c r="E5464">
        <v>0.89041095890410904</v>
      </c>
      <c r="F5464">
        <v>0.90334983815040804</v>
      </c>
      <c r="G5464">
        <v>28.5831007957458</v>
      </c>
      <c r="H5464">
        <v>5</v>
      </c>
      <c r="I5464">
        <v>10</v>
      </c>
      <c r="J5464">
        <v>30</v>
      </c>
    </row>
    <row r="5465" spans="1:10" x14ac:dyDescent="0.25">
      <c r="A5465" t="s">
        <v>25</v>
      </c>
      <c r="B5465" t="s">
        <v>20</v>
      </c>
      <c r="C5465" t="s">
        <v>12</v>
      </c>
      <c r="D5465" t="s">
        <v>15</v>
      </c>
      <c r="E5465">
        <v>0.90776255707762499</v>
      </c>
      <c r="F5465">
        <v>0.91765578443944995</v>
      </c>
      <c r="G5465">
        <v>30.193275451660099</v>
      </c>
      <c r="H5465">
        <v>5</v>
      </c>
      <c r="I5465">
        <v>9</v>
      </c>
      <c r="J5465">
        <v>30</v>
      </c>
    </row>
    <row r="5466" spans="1:10" x14ac:dyDescent="0.25">
      <c r="A5466" t="s">
        <v>25</v>
      </c>
      <c r="B5466" t="s">
        <v>20</v>
      </c>
      <c r="C5466" t="s">
        <v>12</v>
      </c>
      <c r="D5466" t="s">
        <v>15</v>
      </c>
      <c r="E5466">
        <v>0</v>
      </c>
      <c r="F5466">
        <v>0.75</v>
      </c>
      <c r="G5466">
        <v>47.524721384048398</v>
      </c>
      <c r="H5466">
        <v>1</v>
      </c>
      <c r="I5466">
        <v>3</v>
      </c>
      <c r="J5466">
        <v>30</v>
      </c>
    </row>
    <row r="5467" spans="1:10" x14ac:dyDescent="0.25">
      <c r="A5467" t="s">
        <v>25</v>
      </c>
      <c r="B5467" t="s">
        <v>20</v>
      </c>
      <c r="C5467" t="s">
        <v>12</v>
      </c>
      <c r="D5467" t="s">
        <v>15</v>
      </c>
      <c r="E5467">
        <v>0.897716894977169</v>
      </c>
      <c r="F5467">
        <v>0.907651253356347</v>
      </c>
      <c r="G5467">
        <v>53.106016159057603</v>
      </c>
      <c r="H5467">
        <v>12</v>
      </c>
      <c r="I5467">
        <v>22</v>
      </c>
      <c r="J5467">
        <v>30</v>
      </c>
    </row>
    <row r="5468" spans="1:10" x14ac:dyDescent="0.25">
      <c r="A5468" t="s">
        <v>25</v>
      </c>
      <c r="B5468" t="s">
        <v>20</v>
      </c>
      <c r="C5468" t="s">
        <v>12</v>
      </c>
      <c r="D5468" t="s">
        <v>15</v>
      </c>
      <c r="E5468">
        <v>0</v>
      </c>
      <c r="F5468">
        <v>0.74995205479451998</v>
      </c>
      <c r="G5468">
        <v>60.727312088012603</v>
      </c>
      <c r="H5468">
        <v>2</v>
      </c>
      <c r="I5468">
        <v>6</v>
      </c>
      <c r="J5468">
        <v>30</v>
      </c>
    </row>
    <row r="5469" spans="1:10" x14ac:dyDescent="0.25">
      <c r="A5469" t="s">
        <v>25</v>
      </c>
      <c r="B5469" t="s">
        <v>20</v>
      </c>
      <c r="C5469" t="s">
        <v>12</v>
      </c>
      <c r="D5469" t="s">
        <v>15</v>
      </c>
      <c r="E5469">
        <v>0.89041095890410904</v>
      </c>
      <c r="F5469">
        <v>0.90420261952876801</v>
      </c>
      <c r="G5469">
        <v>63.278907060623098</v>
      </c>
      <c r="H5469">
        <v>5</v>
      </c>
      <c r="I5469">
        <v>10</v>
      </c>
      <c r="J5469">
        <v>30</v>
      </c>
    </row>
    <row r="5470" spans="1:10" x14ac:dyDescent="0.25">
      <c r="A5470" t="s">
        <v>25</v>
      </c>
      <c r="B5470" t="s">
        <v>20</v>
      </c>
      <c r="C5470" t="s">
        <v>12</v>
      </c>
      <c r="D5470" t="s">
        <v>15</v>
      </c>
      <c r="E5470">
        <v>0.90593607305935997</v>
      </c>
      <c r="F5470">
        <v>0.91704449240693897</v>
      </c>
      <c r="G5470">
        <v>64.041114807128906</v>
      </c>
      <c r="H5470">
        <v>8</v>
      </c>
      <c r="I5470">
        <v>17</v>
      </c>
      <c r="J5470">
        <v>30</v>
      </c>
    </row>
    <row r="5471" spans="1:10" x14ac:dyDescent="0.25">
      <c r="A5471" t="s">
        <v>25</v>
      </c>
      <c r="B5471" t="s">
        <v>20</v>
      </c>
      <c r="C5471" t="s">
        <v>12</v>
      </c>
      <c r="D5471" t="s">
        <v>15</v>
      </c>
      <c r="E5471">
        <v>0.89041095890410904</v>
      </c>
      <c r="F5471">
        <v>0.90333701799844801</v>
      </c>
      <c r="G5471">
        <v>65.471674680709796</v>
      </c>
      <c r="H5471">
        <v>8</v>
      </c>
      <c r="I5471">
        <v>15</v>
      </c>
      <c r="J5471">
        <v>30</v>
      </c>
    </row>
    <row r="5472" spans="1:10" x14ac:dyDescent="0.25">
      <c r="A5472" t="s">
        <v>25</v>
      </c>
      <c r="B5472" t="s">
        <v>20</v>
      </c>
      <c r="C5472" t="s">
        <v>12</v>
      </c>
      <c r="D5472" t="s">
        <v>15</v>
      </c>
      <c r="E5472">
        <v>0.88949771689497703</v>
      </c>
      <c r="F5472">
        <v>0.90312515487561495</v>
      </c>
      <c r="G5472">
        <v>66.717732906341496</v>
      </c>
      <c r="H5472">
        <v>6</v>
      </c>
      <c r="I5472">
        <v>13</v>
      </c>
      <c r="J5472">
        <v>30</v>
      </c>
    </row>
    <row r="5473" spans="1:10" x14ac:dyDescent="0.25">
      <c r="A5473" t="s">
        <v>25</v>
      </c>
      <c r="B5473" t="s">
        <v>20</v>
      </c>
      <c r="C5473" t="s">
        <v>12</v>
      </c>
      <c r="D5473" t="s">
        <v>15</v>
      </c>
      <c r="E5473">
        <v>0.88767123287671201</v>
      </c>
      <c r="F5473">
        <v>0.90114527843762604</v>
      </c>
      <c r="G5473">
        <v>66.902966499328599</v>
      </c>
      <c r="H5473">
        <v>13</v>
      </c>
      <c r="I5473">
        <v>24</v>
      </c>
      <c r="J5473">
        <v>30</v>
      </c>
    </row>
    <row r="5474" spans="1:10" x14ac:dyDescent="0.25">
      <c r="A5474" t="s">
        <v>25</v>
      </c>
      <c r="B5474" t="s">
        <v>20</v>
      </c>
      <c r="C5474" t="s">
        <v>12</v>
      </c>
      <c r="D5474" t="s">
        <v>15</v>
      </c>
      <c r="E5474">
        <v>0.88401826484018198</v>
      </c>
      <c r="F5474">
        <v>0.89938006232255696</v>
      </c>
      <c r="G5474">
        <v>84.356365203857393</v>
      </c>
      <c r="H5474">
        <v>8</v>
      </c>
      <c r="I5474">
        <v>19</v>
      </c>
      <c r="J5474">
        <v>30</v>
      </c>
    </row>
    <row r="5475" spans="1:10" x14ac:dyDescent="0.25">
      <c r="A5475" t="s">
        <v>25</v>
      </c>
      <c r="B5475" t="s">
        <v>20</v>
      </c>
      <c r="C5475" t="s">
        <v>12</v>
      </c>
      <c r="D5475" t="s">
        <v>15</v>
      </c>
      <c r="E5475">
        <v>0.89863013698630101</v>
      </c>
      <c r="F5475">
        <v>0.910940872440273</v>
      </c>
      <c r="G5475">
        <v>84.856857299804602</v>
      </c>
      <c r="H5475">
        <v>10</v>
      </c>
      <c r="I5475">
        <v>21</v>
      </c>
      <c r="J5475">
        <v>30</v>
      </c>
    </row>
    <row r="5476" spans="1:10" x14ac:dyDescent="0.25">
      <c r="A5476" t="s">
        <v>25</v>
      </c>
      <c r="B5476" t="s">
        <v>20</v>
      </c>
      <c r="C5476" t="s">
        <v>12</v>
      </c>
      <c r="D5476" t="s">
        <v>15</v>
      </c>
      <c r="E5476">
        <v>0.897716894977169</v>
      </c>
      <c r="F5476">
        <v>0.91478867320895096</v>
      </c>
      <c r="G5476">
        <v>84.984110832214299</v>
      </c>
      <c r="H5476">
        <v>6</v>
      </c>
      <c r="I5476">
        <v>17</v>
      </c>
      <c r="J5476">
        <v>30</v>
      </c>
    </row>
    <row r="5477" spans="1:10" x14ac:dyDescent="0.25">
      <c r="A5477" t="s">
        <v>25</v>
      </c>
      <c r="B5477" t="s">
        <v>20</v>
      </c>
      <c r="C5477" t="s">
        <v>12</v>
      </c>
      <c r="D5477" t="s">
        <v>15</v>
      </c>
      <c r="E5477">
        <v>0.91324200913242004</v>
      </c>
      <c r="F5477">
        <v>0.92144738160803696</v>
      </c>
      <c r="G5477">
        <v>87.714824676513601</v>
      </c>
      <c r="H5477">
        <v>13</v>
      </c>
      <c r="I5477">
        <v>31</v>
      </c>
      <c r="J5477">
        <v>30</v>
      </c>
    </row>
    <row r="5478" spans="1:10" x14ac:dyDescent="0.25">
      <c r="A5478" t="s">
        <v>25</v>
      </c>
      <c r="B5478" t="s">
        <v>20</v>
      </c>
      <c r="C5478" t="s">
        <v>12</v>
      </c>
      <c r="D5478" t="s">
        <v>15</v>
      </c>
      <c r="E5478">
        <v>0.90593607305935997</v>
      </c>
      <c r="F5478">
        <v>0.91684972814611698</v>
      </c>
      <c r="G5478">
        <v>88.007255077362004</v>
      </c>
      <c r="H5478">
        <v>7</v>
      </c>
      <c r="I5478">
        <v>20</v>
      </c>
      <c r="J5478">
        <v>30</v>
      </c>
    </row>
    <row r="5479" spans="1:10" x14ac:dyDescent="0.25">
      <c r="A5479" t="s">
        <v>25</v>
      </c>
      <c r="B5479" t="s">
        <v>20</v>
      </c>
      <c r="C5479" t="s">
        <v>12</v>
      </c>
      <c r="D5479" t="s">
        <v>15</v>
      </c>
      <c r="E5479">
        <v>0.90319634703196305</v>
      </c>
      <c r="F5479">
        <v>0.91386914311059197</v>
      </c>
      <c r="G5479">
        <v>95.922943115234304</v>
      </c>
      <c r="H5479">
        <v>10</v>
      </c>
      <c r="I5479">
        <v>21</v>
      </c>
      <c r="J5479">
        <v>30</v>
      </c>
    </row>
    <row r="5480" spans="1:10" x14ac:dyDescent="0.25">
      <c r="A5480" t="s">
        <v>25</v>
      </c>
      <c r="B5480" t="s">
        <v>20</v>
      </c>
      <c r="C5480" t="s">
        <v>12</v>
      </c>
      <c r="D5480" t="s">
        <v>15</v>
      </c>
      <c r="E5480">
        <v>0.89954337899543302</v>
      </c>
      <c r="F5480">
        <v>0.91126330085616603</v>
      </c>
      <c r="G5480">
        <v>97.422570943832397</v>
      </c>
      <c r="H5480">
        <v>7</v>
      </c>
      <c r="I5480">
        <v>27</v>
      </c>
      <c r="J5480">
        <v>30</v>
      </c>
    </row>
    <row r="5481" spans="1:10" x14ac:dyDescent="0.25">
      <c r="A5481" t="s">
        <v>25</v>
      </c>
      <c r="B5481" t="s">
        <v>20</v>
      </c>
      <c r="C5481" t="s">
        <v>12</v>
      </c>
      <c r="D5481" t="s">
        <v>15</v>
      </c>
      <c r="E5481">
        <v>0.886757990867579</v>
      </c>
      <c r="F5481">
        <v>0.89917827714611698</v>
      </c>
      <c r="G5481">
        <v>101.63202381134001</v>
      </c>
      <c r="H5481">
        <v>14</v>
      </c>
      <c r="I5481">
        <v>27</v>
      </c>
      <c r="J5481">
        <v>30</v>
      </c>
    </row>
    <row r="5482" spans="1:10" x14ac:dyDescent="0.25">
      <c r="A5482" t="s">
        <v>25</v>
      </c>
      <c r="B5482" t="s">
        <v>20</v>
      </c>
      <c r="C5482" t="s">
        <v>12</v>
      </c>
      <c r="D5482" t="s">
        <v>15</v>
      </c>
      <c r="E5482">
        <v>0.90593607305935997</v>
      </c>
      <c r="F5482">
        <v>0.91553560558904001</v>
      </c>
      <c r="G5482">
        <v>104.87057518959</v>
      </c>
      <c r="H5482">
        <v>18</v>
      </c>
      <c r="I5482">
        <v>33</v>
      </c>
      <c r="J5482">
        <v>30</v>
      </c>
    </row>
    <row r="5483" spans="1:10" x14ac:dyDescent="0.25">
      <c r="A5483" t="s">
        <v>25</v>
      </c>
      <c r="B5483" t="s">
        <v>20</v>
      </c>
      <c r="C5483" t="s">
        <v>12</v>
      </c>
      <c r="D5483" t="s">
        <v>15</v>
      </c>
      <c r="E5483">
        <v>0.89132420091324205</v>
      </c>
      <c r="F5483">
        <v>0.90491526950447398</v>
      </c>
      <c r="G5483">
        <v>113.320994377136</v>
      </c>
      <c r="H5483">
        <v>11</v>
      </c>
      <c r="I5483">
        <v>26</v>
      </c>
      <c r="J5483">
        <v>30</v>
      </c>
    </row>
    <row r="5484" spans="1:10" x14ac:dyDescent="0.25">
      <c r="A5484" t="s">
        <v>25</v>
      </c>
      <c r="B5484" t="s">
        <v>20</v>
      </c>
      <c r="C5484" t="s">
        <v>12</v>
      </c>
      <c r="D5484" t="s">
        <v>15</v>
      </c>
      <c r="E5484">
        <v>0.89589041095890398</v>
      </c>
      <c r="F5484">
        <v>0.90824872646575405</v>
      </c>
      <c r="G5484">
        <v>116.03858923912</v>
      </c>
      <c r="H5484">
        <v>13</v>
      </c>
      <c r="I5484">
        <v>33</v>
      </c>
      <c r="J5484">
        <v>30</v>
      </c>
    </row>
    <row r="5485" spans="1:10" x14ac:dyDescent="0.25">
      <c r="A5485" t="s">
        <v>25</v>
      </c>
      <c r="B5485" t="s">
        <v>20</v>
      </c>
      <c r="C5485" t="s">
        <v>12</v>
      </c>
      <c r="D5485" t="s">
        <v>15</v>
      </c>
      <c r="E5485">
        <v>0.89223744292237395</v>
      </c>
      <c r="F5485">
        <v>0.90853640978346994</v>
      </c>
      <c r="G5485">
        <v>116.36861515045101</v>
      </c>
      <c r="H5485">
        <v>15</v>
      </c>
      <c r="I5485">
        <v>40</v>
      </c>
      <c r="J5485">
        <v>30</v>
      </c>
    </row>
    <row r="5486" spans="1:10" x14ac:dyDescent="0.25">
      <c r="A5486" t="s">
        <v>25</v>
      </c>
      <c r="B5486" t="s">
        <v>20</v>
      </c>
      <c r="C5486" t="s">
        <v>12</v>
      </c>
      <c r="D5486" t="s">
        <v>15</v>
      </c>
      <c r="E5486">
        <v>0.88949771689497703</v>
      </c>
      <c r="F5486">
        <v>0.90581326335260104</v>
      </c>
      <c r="G5486">
        <v>116.917295694351</v>
      </c>
      <c r="H5486">
        <v>11</v>
      </c>
      <c r="I5486">
        <v>25</v>
      </c>
      <c r="J5486">
        <v>30</v>
      </c>
    </row>
    <row r="5487" spans="1:10" x14ac:dyDescent="0.25">
      <c r="A5487" t="s">
        <v>25</v>
      </c>
      <c r="B5487" t="s">
        <v>20</v>
      </c>
      <c r="C5487" t="s">
        <v>12</v>
      </c>
      <c r="D5487" t="s">
        <v>15</v>
      </c>
      <c r="E5487">
        <v>0.89954337899543302</v>
      </c>
      <c r="F5487">
        <v>0.912362053695432</v>
      </c>
      <c r="G5487">
        <v>117.906835079193</v>
      </c>
      <c r="H5487">
        <v>13</v>
      </c>
      <c r="I5487">
        <v>37</v>
      </c>
      <c r="J5487">
        <v>30</v>
      </c>
    </row>
    <row r="5488" spans="1:10" x14ac:dyDescent="0.25">
      <c r="A5488" t="s">
        <v>25</v>
      </c>
      <c r="B5488" t="s">
        <v>20</v>
      </c>
      <c r="C5488" t="s">
        <v>12</v>
      </c>
      <c r="D5488" t="s">
        <v>15</v>
      </c>
      <c r="E5488">
        <v>0.886757990867579</v>
      </c>
      <c r="F5488">
        <v>0.90510459661442799</v>
      </c>
      <c r="G5488">
        <v>120.95601439476</v>
      </c>
      <c r="H5488">
        <v>14</v>
      </c>
      <c r="I5488">
        <v>41</v>
      </c>
      <c r="J5488">
        <v>30</v>
      </c>
    </row>
    <row r="5489" spans="1:10" x14ac:dyDescent="0.25">
      <c r="A5489" t="s">
        <v>25</v>
      </c>
      <c r="B5489" t="s">
        <v>20</v>
      </c>
      <c r="C5489" t="s">
        <v>12</v>
      </c>
      <c r="D5489" t="s">
        <v>15</v>
      </c>
      <c r="E5489">
        <v>0.89132420091324205</v>
      </c>
      <c r="F5489">
        <v>0.906198923082009</v>
      </c>
      <c r="G5489">
        <v>121.724584817886</v>
      </c>
      <c r="H5489">
        <v>15</v>
      </c>
      <c r="I5489">
        <v>36</v>
      </c>
      <c r="J5489">
        <v>30</v>
      </c>
    </row>
    <row r="5490" spans="1:10" x14ac:dyDescent="0.25">
      <c r="A5490" t="s">
        <v>25</v>
      </c>
      <c r="B5490" t="s">
        <v>20</v>
      </c>
      <c r="C5490" t="s">
        <v>12</v>
      </c>
      <c r="D5490" t="s">
        <v>15</v>
      </c>
      <c r="E5490">
        <v>0.89589041095890398</v>
      </c>
      <c r="F5490">
        <v>0.90858259262465702</v>
      </c>
      <c r="G5490">
        <v>126.921597003936</v>
      </c>
      <c r="H5490">
        <v>13</v>
      </c>
      <c r="I5490">
        <v>27</v>
      </c>
      <c r="J5490">
        <v>30</v>
      </c>
    </row>
    <row r="5491" spans="1:10" x14ac:dyDescent="0.25">
      <c r="A5491" t="s">
        <v>25</v>
      </c>
      <c r="B5491" t="s">
        <v>20</v>
      </c>
      <c r="C5491" t="s">
        <v>12</v>
      </c>
      <c r="D5491" t="s">
        <v>15</v>
      </c>
      <c r="E5491">
        <v>5.4794520547945197E-3</v>
      </c>
      <c r="F5491">
        <v>0.75019850887872097</v>
      </c>
      <c r="G5491">
        <v>141.13297796249299</v>
      </c>
      <c r="H5491">
        <v>29</v>
      </c>
      <c r="I5491">
        <v>63</v>
      </c>
      <c r="J5491">
        <v>30</v>
      </c>
    </row>
    <row r="5492" spans="1:10" x14ac:dyDescent="0.25">
      <c r="A5492" t="s">
        <v>25</v>
      </c>
      <c r="B5492" t="s">
        <v>20</v>
      </c>
      <c r="C5492" t="s">
        <v>12</v>
      </c>
      <c r="D5492" t="s">
        <v>16</v>
      </c>
      <c r="E5492">
        <v>0</v>
      </c>
      <c r="F5492">
        <v>0.75</v>
      </c>
      <c r="G5492">
        <v>3.7561447620391801</v>
      </c>
      <c r="H5492">
        <v>0</v>
      </c>
      <c r="I5492">
        <v>0</v>
      </c>
      <c r="J5492">
        <v>30</v>
      </c>
    </row>
    <row r="5493" spans="1:10" x14ac:dyDescent="0.25">
      <c r="A5493" t="s">
        <v>25</v>
      </c>
      <c r="B5493" t="s">
        <v>20</v>
      </c>
      <c r="C5493" t="s">
        <v>12</v>
      </c>
      <c r="D5493" t="s">
        <v>16</v>
      </c>
      <c r="E5493">
        <v>0</v>
      </c>
      <c r="F5493">
        <v>0.75</v>
      </c>
      <c r="G5493">
        <v>4.1753373146057102</v>
      </c>
      <c r="H5493">
        <v>0</v>
      </c>
      <c r="I5493">
        <v>0</v>
      </c>
      <c r="J5493">
        <v>30</v>
      </c>
    </row>
    <row r="5494" spans="1:10" x14ac:dyDescent="0.25">
      <c r="A5494" t="s">
        <v>25</v>
      </c>
      <c r="B5494" t="s">
        <v>20</v>
      </c>
      <c r="C5494" t="s">
        <v>12</v>
      </c>
      <c r="D5494" t="s">
        <v>16</v>
      </c>
      <c r="E5494">
        <v>0</v>
      </c>
      <c r="F5494">
        <v>0.75</v>
      </c>
      <c r="G5494">
        <v>4.27616167068481</v>
      </c>
      <c r="H5494">
        <v>0</v>
      </c>
      <c r="I5494">
        <v>0</v>
      </c>
      <c r="J5494">
        <v>30</v>
      </c>
    </row>
    <row r="5495" spans="1:10" x14ac:dyDescent="0.25">
      <c r="A5495" t="s">
        <v>25</v>
      </c>
      <c r="B5495" t="s">
        <v>20</v>
      </c>
      <c r="C5495" t="s">
        <v>12</v>
      </c>
      <c r="D5495" t="s">
        <v>16</v>
      </c>
      <c r="E5495">
        <v>0</v>
      </c>
      <c r="F5495">
        <v>0.75</v>
      </c>
      <c r="G5495">
        <v>4.5411207675933802</v>
      </c>
      <c r="H5495">
        <v>0</v>
      </c>
      <c r="I5495">
        <v>0</v>
      </c>
      <c r="J5495">
        <v>30</v>
      </c>
    </row>
    <row r="5496" spans="1:10" x14ac:dyDescent="0.25">
      <c r="A5496" t="s">
        <v>25</v>
      </c>
      <c r="B5496" t="s">
        <v>20</v>
      </c>
      <c r="C5496" t="s">
        <v>12</v>
      </c>
      <c r="D5496" t="s">
        <v>16</v>
      </c>
      <c r="E5496">
        <v>0</v>
      </c>
      <c r="F5496">
        <v>0.75</v>
      </c>
      <c r="G5496">
        <v>4.6687068939208896</v>
      </c>
      <c r="H5496">
        <v>0</v>
      </c>
      <c r="I5496">
        <v>0</v>
      </c>
      <c r="J5496">
        <v>30</v>
      </c>
    </row>
    <row r="5497" spans="1:10" x14ac:dyDescent="0.25">
      <c r="A5497" t="s">
        <v>25</v>
      </c>
      <c r="B5497" t="s">
        <v>20</v>
      </c>
      <c r="C5497" t="s">
        <v>12</v>
      </c>
      <c r="D5497" t="s">
        <v>16</v>
      </c>
      <c r="E5497">
        <v>0</v>
      </c>
      <c r="F5497">
        <v>0.75</v>
      </c>
      <c r="G5497">
        <v>4.73887038230896</v>
      </c>
      <c r="H5497">
        <v>0</v>
      </c>
      <c r="I5497">
        <v>0</v>
      </c>
      <c r="J5497">
        <v>30</v>
      </c>
    </row>
    <row r="5498" spans="1:10" x14ac:dyDescent="0.25">
      <c r="A5498" t="s">
        <v>25</v>
      </c>
      <c r="B5498" t="s">
        <v>20</v>
      </c>
      <c r="C5498" t="s">
        <v>12</v>
      </c>
      <c r="D5498" t="s">
        <v>16</v>
      </c>
      <c r="E5498">
        <v>0</v>
      </c>
      <c r="F5498">
        <v>0.75</v>
      </c>
      <c r="G5498">
        <v>4.7565126419067303</v>
      </c>
      <c r="H5498">
        <v>0</v>
      </c>
      <c r="I5498">
        <v>0</v>
      </c>
      <c r="J5498">
        <v>30</v>
      </c>
    </row>
    <row r="5499" spans="1:10" x14ac:dyDescent="0.25">
      <c r="A5499" t="s">
        <v>25</v>
      </c>
      <c r="B5499" t="s">
        <v>20</v>
      </c>
      <c r="C5499" t="s">
        <v>12</v>
      </c>
      <c r="D5499" t="s">
        <v>16</v>
      </c>
      <c r="E5499">
        <v>0</v>
      </c>
      <c r="F5499">
        <v>0.75</v>
      </c>
      <c r="G5499">
        <v>4.76301741600036</v>
      </c>
      <c r="H5499">
        <v>0</v>
      </c>
      <c r="I5499">
        <v>0</v>
      </c>
      <c r="J5499">
        <v>30</v>
      </c>
    </row>
    <row r="5500" spans="1:10" x14ac:dyDescent="0.25">
      <c r="A5500" t="s">
        <v>25</v>
      </c>
      <c r="B5500" t="s">
        <v>20</v>
      </c>
      <c r="C5500" t="s">
        <v>12</v>
      </c>
      <c r="D5500" t="s">
        <v>16</v>
      </c>
      <c r="E5500">
        <v>0</v>
      </c>
      <c r="F5500">
        <v>0.75</v>
      </c>
      <c r="G5500">
        <v>4.8282089233398402</v>
      </c>
      <c r="H5500">
        <v>0</v>
      </c>
      <c r="I5500">
        <v>0</v>
      </c>
      <c r="J5500">
        <v>30</v>
      </c>
    </row>
    <row r="5501" spans="1:10" x14ac:dyDescent="0.25">
      <c r="A5501" t="s">
        <v>25</v>
      </c>
      <c r="B5501" t="s">
        <v>20</v>
      </c>
      <c r="C5501" t="s">
        <v>12</v>
      </c>
      <c r="D5501" t="s">
        <v>16</v>
      </c>
      <c r="E5501">
        <v>0</v>
      </c>
      <c r="F5501">
        <v>0.75</v>
      </c>
      <c r="G5501">
        <v>4.9797375202178902</v>
      </c>
      <c r="H5501">
        <v>0</v>
      </c>
      <c r="I5501">
        <v>0</v>
      </c>
      <c r="J5501">
        <v>30</v>
      </c>
    </row>
    <row r="5502" spans="1:10" x14ac:dyDescent="0.25">
      <c r="A5502" t="s">
        <v>25</v>
      </c>
      <c r="B5502" t="s">
        <v>20</v>
      </c>
      <c r="C5502" t="s">
        <v>12</v>
      </c>
      <c r="D5502" t="s">
        <v>16</v>
      </c>
      <c r="E5502">
        <v>0</v>
      </c>
      <c r="F5502">
        <v>0.75</v>
      </c>
      <c r="G5502">
        <v>5.0289280414581299</v>
      </c>
      <c r="H5502">
        <v>0</v>
      </c>
      <c r="I5502">
        <v>0</v>
      </c>
      <c r="J5502">
        <v>30</v>
      </c>
    </row>
    <row r="5503" spans="1:10" x14ac:dyDescent="0.25">
      <c r="A5503" t="s">
        <v>25</v>
      </c>
      <c r="B5503" t="s">
        <v>20</v>
      </c>
      <c r="C5503" t="s">
        <v>12</v>
      </c>
      <c r="D5503" t="s">
        <v>16</v>
      </c>
      <c r="E5503">
        <v>0</v>
      </c>
      <c r="F5503">
        <v>0.75</v>
      </c>
      <c r="G5503">
        <v>5.0620350837707502</v>
      </c>
      <c r="H5503">
        <v>0</v>
      </c>
      <c r="I5503">
        <v>0</v>
      </c>
      <c r="J5503">
        <v>30</v>
      </c>
    </row>
    <row r="5504" spans="1:10" x14ac:dyDescent="0.25">
      <c r="A5504" t="s">
        <v>25</v>
      </c>
      <c r="B5504" t="s">
        <v>20</v>
      </c>
      <c r="C5504" t="s">
        <v>12</v>
      </c>
      <c r="D5504" t="s">
        <v>16</v>
      </c>
      <c r="E5504">
        <v>0</v>
      </c>
      <c r="F5504">
        <v>0.75</v>
      </c>
      <c r="G5504">
        <v>5.0862386226653999</v>
      </c>
      <c r="H5504">
        <v>0</v>
      </c>
      <c r="I5504">
        <v>0</v>
      </c>
      <c r="J5504">
        <v>30</v>
      </c>
    </row>
    <row r="5505" spans="1:10" x14ac:dyDescent="0.25">
      <c r="A5505" t="s">
        <v>25</v>
      </c>
      <c r="B5505" t="s">
        <v>20</v>
      </c>
      <c r="C5505" t="s">
        <v>12</v>
      </c>
      <c r="D5505" t="s">
        <v>16</v>
      </c>
      <c r="E5505">
        <v>0</v>
      </c>
      <c r="F5505">
        <v>0.75</v>
      </c>
      <c r="G5505">
        <v>5.1743266582488996</v>
      </c>
      <c r="H5505">
        <v>0</v>
      </c>
      <c r="I5505">
        <v>0</v>
      </c>
      <c r="J5505">
        <v>30</v>
      </c>
    </row>
    <row r="5506" spans="1:10" x14ac:dyDescent="0.25">
      <c r="A5506" t="s">
        <v>25</v>
      </c>
      <c r="B5506" t="s">
        <v>20</v>
      </c>
      <c r="C5506" t="s">
        <v>12</v>
      </c>
      <c r="D5506" t="s">
        <v>16</v>
      </c>
      <c r="E5506">
        <v>0</v>
      </c>
      <c r="F5506">
        <v>0.75</v>
      </c>
      <c r="G5506">
        <v>5.14515924453735</v>
      </c>
      <c r="H5506">
        <v>0</v>
      </c>
      <c r="I5506">
        <v>0</v>
      </c>
      <c r="J5506">
        <v>30</v>
      </c>
    </row>
    <row r="5507" spans="1:10" x14ac:dyDescent="0.25">
      <c r="A5507" t="s">
        <v>25</v>
      </c>
      <c r="B5507" t="s">
        <v>20</v>
      </c>
      <c r="C5507" t="s">
        <v>12</v>
      </c>
      <c r="D5507" t="s">
        <v>16</v>
      </c>
      <c r="E5507">
        <v>0</v>
      </c>
      <c r="F5507">
        <v>0.75</v>
      </c>
      <c r="G5507">
        <v>5.1621961593627903</v>
      </c>
      <c r="H5507">
        <v>0</v>
      </c>
      <c r="I5507">
        <v>0</v>
      </c>
      <c r="J5507">
        <v>30</v>
      </c>
    </row>
    <row r="5508" spans="1:10" x14ac:dyDescent="0.25">
      <c r="A5508" t="s">
        <v>25</v>
      </c>
      <c r="B5508" t="s">
        <v>20</v>
      </c>
      <c r="C5508" t="s">
        <v>12</v>
      </c>
      <c r="D5508" t="s">
        <v>16</v>
      </c>
      <c r="E5508">
        <v>0</v>
      </c>
      <c r="F5508">
        <v>0.75</v>
      </c>
      <c r="G5508">
        <v>5.2415750026702801</v>
      </c>
      <c r="H5508">
        <v>0</v>
      </c>
      <c r="I5508">
        <v>0</v>
      </c>
      <c r="J5508">
        <v>30</v>
      </c>
    </row>
    <row r="5509" spans="1:10" x14ac:dyDescent="0.25">
      <c r="A5509" t="s">
        <v>25</v>
      </c>
      <c r="B5509" t="s">
        <v>20</v>
      </c>
      <c r="C5509" t="s">
        <v>12</v>
      </c>
      <c r="D5509" t="s">
        <v>16</v>
      </c>
      <c r="E5509">
        <v>0</v>
      </c>
      <c r="F5509">
        <v>0.75</v>
      </c>
      <c r="G5509">
        <v>5.2308256626129097</v>
      </c>
      <c r="H5509">
        <v>0</v>
      </c>
      <c r="I5509">
        <v>0</v>
      </c>
      <c r="J5509">
        <v>30</v>
      </c>
    </row>
    <row r="5510" spans="1:10" x14ac:dyDescent="0.25">
      <c r="A5510" t="s">
        <v>25</v>
      </c>
      <c r="B5510" t="s">
        <v>20</v>
      </c>
      <c r="C5510" t="s">
        <v>12</v>
      </c>
      <c r="D5510" t="s">
        <v>16</v>
      </c>
      <c r="E5510">
        <v>0</v>
      </c>
      <c r="F5510">
        <v>0.75</v>
      </c>
      <c r="G5510">
        <v>5.2825150489807102</v>
      </c>
      <c r="H5510">
        <v>0</v>
      </c>
      <c r="I5510">
        <v>0</v>
      </c>
      <c r="J5510">
        <v>30</v>
      </c>
    </row>
    <row r="5511" spans="1:10" x14ac:dyDescent="0.25">
      <c r="A5511" t="s">
        <v>25</v>
      </c>
      <c r="B5511" t="s">
        <v>20</v>
      </c>
      <c r="C5511" t="s">
        <v>12</v>
      </c>
      <c r="D5511" t="s">
        <v>16</v>
      </c>
      <c r="E5511">
        <v>0</v>
      </c>
      <c r="F5511">
        <v>0.75</v>
      </c>
      <c r="G5511">
        <v>5.39642310142517</v>
      </c>
      <c r="H5511">
        <v>0</v>
      </c>
      <c r="I5511">
        <v>0</v>
      </c>
      <c r="J5511">
        <v>30</v>
      </c>
    </row>
    <row r="5512" spans="1:10" x14ac:dyDescent="0.25">
      <c r="A5512" t="s">
        <v>25</v>
      </c>
      <c r="B5512" t="s">
        <v>20</v>
      </c>
      <c r="C5512" t="s">
        <v>12</v>
      </c>
      <c r="D5512" t="s">
        <v>16</v>
      </c>
      <c r="E5512">
        <v>0</v>
      </c>
      <c r="F5512">
        <v>0.75</v>
      </c>
      <c r="G5512">
        <v>5.49729228019714</v>
      </c>
      <c r="H5512">
        <v>0</v>
      </c>
      <c r="I5512">
        <v>0</v>
      </c>
      <c r="J5512">
        <v>30</v>
      </c>
    </row>
    <row r="5513" spans="1:10" x14ac:dyDescent="0.25">
      <c r="A5513" t="s">
        <v>25</v>
      </c>
      <c r="B5513" t="s">
        <v>20</v>
      </c>
      <c r="C5513" t="s">
        <v>12</v>
      </c>
      <c r="D5513" t="s">
        <v>16</v>
      </c>
      <c r="E5513">
        <v>0</v>
      </c>
      <c r="F5513">
        <v>0.75</v>
      </c>
      <c r="G5513">
        <v>5.52294826507568</v>
      </c>
      <c r="H5513">
        <v>0</v>
      </c>
      <c r="I5513">
        <v>0</v>
      </c>
      <c r="J5513">
        <v>30</v>
      </c>
    </row>
    <row r="5514" spans="1:10" x14ac:dyDescent="0.25">
      <c r="A5514" t="s">
        <v>25</v>
      </c>
      <c r="B5514" t="s">
        <v>20</v>
      </c>
      <c r="C5514" t="s">
        <v>12</v>
      </c>
      <c r="D5514" t="s">
        <v>16</v>
      </c>
      <c r="E5514">
        <v>0</v>
      </c>
      <c r="F5514">
        <v>0.75</v>
      </c>
      <c r="G5514">
        <v>5.5166115760803196</v>
      </c>
      <c r="H5514">
        <v>0</v>
      </c>
      <c r="I5514">
        <v>0</v>
      </c>
      <c r="J5514">
        <v>30</v>
      </c>
    </row>
    <row r="5515" spans="1:10" x14ac:dyDescent="0.25">
      <c r="A5515" t="s">
        <v>25</v>
      </c>
      <c r="B5515" t="s">
        <v>20</v>
      </c>
      <c r="C5515" t="s">
        <v>12</v>
      </c>
      <c r="D5515" t="s">
        <v>16</v>
      </c>
      <c r="E5515">
        <v>0</v>
      </c>
      <c r="F5515">
        <v>0.75</v>
      </c>
      <c r="G5515">
        <v>5.5451622009277299</v>
      </c>
      <c r="H5515">
        <v>0</v>
      </c>
      <c r="I5515">
        <v>0</v>
      </c>
      <c r="J5515">
        <v>30</v>
      </c>
    </row>
    <row r="5516" spans="1:10" x14ac:dyDescent="0.25">
      <c r="A5516" t="s">
        <v>25</v>
      </c>
      <c r="B5516" t="s">
        <v>20</v>
      </c>
      <c r="C5516" t="s">
        <v>12</v>
      </c>
      <c r="D5516" t="s">
        <v>16</v>
      </c>
      <c r="E5516">
        <v>0</v>
      </c>
      <c r="F5516">
        <v>0.75</v>
      </c>
      <c r="G5516">
        <v>5.5476586818694997</v>
      </c>
      <c r="H5516">
        <v>0</v>
      </c>
      <c r="I5516">
        <v>0</v>
      </c>
      <c r="J5516">
        <v>30</v>
      </c>
    </row>
    <row r="5517" spans="1:10" x14ac:dyDescent="0.25">
      <c r="A5517" t="s">
        <v>25</v>
      </c>
      <c r="B5517" t="s">
        <v>20</v>
      </c>
      <c r="C5517" t="s">
        <v>12</v>
      </c>
      <c r="D5517" t="s">
        <v>16</v>
      </c>
      <c r="E5517">
        <v>0</v>
      </c>
      <c r="F5517">
        <v>0.75</v>
      </c>
      <c r="G5517">
        <v>5.54809117317199</v>
      </c>
      <c r="H5517">
        <v>0</v>
      </c>
      <c r="I5517">
        <v>0</v>
      </c>
      <c r="J5517">
        <v>30</v>
      </c>
    </row>
    <row r="5518" spans="1:10" x14ac:dyDescent="0.25">
      <c r="A5518" t="s">
        <v>25</v>
      </c>
      <c r="B5518" t="s">
        <v>20</v>
      </c>
      <c r="C5518" t="s">
        <v>12</v>
      </c>
      <c r="D5518" t="s">
        <v>16</v>
      </c>
      <c r="E5518">
        <v>0</v>
      </c>
      <c r="F5518">
        <v>0.75</v>
      </c>
      <c r="G5518">
        <v>5.7145833969116202</v>
      </c>
      <c r="H5518">
        <v>0</v>
      </c>
      <c r="I5518">
        <v>0</v>
      </c>
      <c r="J5518">
        <v>30</v>
      </c>
    </row>
    <row r="5519" spans="1:10" x14ac:dyDescent="0.25">
      <c r="A5519" t="s">
        <v>25</v>
      </c>
      <c r="B5519" t="s">
        <v>20</v>
      </c>
      <c r="C5519" t="s">
        <v>12</v>
      </c>
      <c r="D5519" t="s">
        <v>16</v>
      </c>
      <c r="E5519">
        <v>0</v>
      </c>
      <c r="F5519">
        <v>0.75</v>
      </c>
      <c r="G5519">
        <v>5.8063480854034397</v>
      </c>
      <c r="H5519">
        <v>0</v>
      </c>
      <c r="I5519">
        <v>0</v>
      </c>
      <c r="J5519">
        <v>30</v>
      </c>
    </row>
    <row r="5520" spans="1:10" x14ac:dyDescent="0.25">
      <c r="A5520" t="s">
        <v>25</v>
      </c>
      <c r="B5520" t="s">
        <v>20</v>
      </c>
      <c r="C5520" t="s">
        <v>12</v>
      </c>
      <c r="D5520" t="s">
        <v>16</v>
      </c>
      <c r="E5520">
        <v>0</v>
      </c>
      <c r="F5520">
        <v>0.75</v>
      </c>
      <c r="G5520">
        <v>5.8672676086425701</v>
      </c>
      <c r="H5520">
        <v>0</v>
      </c>
      <c r="I5520">
        <v>0</v>
      </c>
      <c r="J5520">
        <v>30</v>
      </c>
    </row>
    <row r="5521" spans="1:10" x14ac:dyDescent="0.25">
      <c r="A5521" t="s">
        <v>25</v>
      </c>
      <c r="B5521" t="s">
        <v>20</v>
      </c>
      <c r="C5521" t="s">
        <v>12</v>
      </c>
      <c r="D5521" t="s">
        <v>16</v>
      </c>
      <c r="E5521">
        <v>0</v>
      </c>
      <c r="F5521">
        <v>0.75</v>
      </c>
      <c r="G5521">
        <v>5.8862569332122803</v>
      </c>
      <c r="H5521">
        <v>0</v>
      </c>
      <c r="I5521">
        <v>0</v>
      </c>
      <c r="J5521">
        <v>30</v>
      </c>
    </row>
    <row r="5522" spans="1:10" x14ac:dyDescent="0.25">
      <c r="A5522" t="s">
        <v>25</v>
      </c>
      <c r="B5522" t="s">
        <v>20</v>
      </c>
      <c r="C5522" t="s">
        <v>12</v>
      </c>
      <c r="D5522" t="s">
        <v>17</v>
      </c>
      <c r="E5522">
        <v>0.89497716894977097</v>
      </c>
      <c r="F5522">
        <v>0.90875879493242095</v>
      </c>
      <c r="G5522">
        <v>45.890493869781402</v>
      </c>
      <c r="H5522">
        <v>42</v>
      </c>
      <c r="I5522">
        <v>65</v>
      </c>
      <c r="J5522">
        <v>30</v>
      </c>
    </row>
    <row r="5523" spans="1:10" x14ac:dyDescent="0.25">
      <c r="A5523" t="s">
        <v>25</v>
      </c>
      <c r="B5523" t="s">
        <v>20</v>
      </c>
      <c r="C5523" t="s">
        <v>12</v>
      </c>
      <c r="D5523" t="s">
        <v>17</v>
      </c>
      <c r="E5523">
        <v>0.87579908675799001</v>
      </c>
      <c r="F5523">
        <v>0.90432677475698597</v>
      </c>
      <c r="G5523">
        <v>50.576032876968299</v>
      </c>
      <c r="H5523">
        <v>50</v>
      </c>
      <c r="I5523">
        <v>89</v>
      </c>
      <c r="J5523">
        <v>30</v>
      </c>
    </row>
    <row r="5524" spans="1:10" x14ac:dyDescent="0.25">
      <c r="A5524" t="s">
        <v>25</v>
      </c>
      <c r="B5524" t="s">
        <v>20</v>
      </c>
      <c r="C5524" t="s">
        <v>12</v>
      </c>
      <c r="D5524" t="s">
        <v>17</v>
      </c>
      <c r="E5524">
        <v>0.88858447488584402</v>
      </c>
      <c r="F5524">
        <v>0.92345432908602798</v>
      </c>
      <c r="G5524">
        <v>53.135757446288999</v>
      </c>
      <c r="H5524">
        <v>50</v>
      </c>
      <c r="I5524">
        <v>82</v>
      </c>
      <c r="J5524">
        <v>30</v>
      </c>
    </row>
    <row r="5525" spans="1:10" x14ac:dyDescent="0.25">
      <c r="A5525" t="s">
        <v>25</v>
      </c>
      <c r="B5525" t="s">
        <v>20</v>
      </c>
      <c r="C5525" t="s">
        <v>12</v>
      </c>
      <c r="D5525" t="s">
        <v>17</v>
      </c>
      <c r="E5525">
        <v>0.88493150684931499</v>
      </c>
      <c r="F5525">
        <v>0.90879774095296695</v>
      </c>
      <c r="G5525">
        <v>56.823193073272698</v>
      </c>
      <c r="H5525">
        <v>36</v>
      </c>
      <c r="I5525">
        <v>63</v>
      </c>
      <c r="J5525">
        <v>30</v>
      </c>
    </row>
    <row r="5526" spans="1:10" x14ac:dyDescent="0.25">
      <c r="A5526" t="s">
        <v>25</v>
      </c>
      <c r="B5526" t="s">
        <v>20</v>
      </c>
      <c r="C5526" t="s">
        <v>12</v>
      </c>
      <c r="D5526" t="s">
        <v>17</v>
      </c>
      <c r="E5526">
        <v>0.88767123287671201</v>
      </c>
      <c r="F5526">
        <v>0.91529703408456498</v>
      </c>
      <c r="G5526">
        <v>66.075682401657104</v>
      </c>
      <c r="H5526">
        <v>49</v>
      </c>
      <c r="I5526">
        <v>76</v>
      </c>
      <c r="J5526">
        <v>30</v>
      </c>
    </row>
    <row r="5527" spans="1:10" x14ac:dyDescent="0.25">
      <c r="A5527" t="s">
        <v>25</v>
      </c>
      <c r="B5527" t="s">
        <v>20</v>
      </c>
      <c r="C5527" t="s">
        <v>12</v>
      </c>
      <c r="D5527" t="s">
        <v>17</v>
      </c>
      <c r="E5527">
        <v>0.88949771689497703</v>
      </c>
      <c r="F5527">
        <v>0.91248565805041004</v>
      </c>
      <c r="G5527">
        <v>68.094326019287095</v>
      </c>
      <c r="H5527">
        <v>44</v>
      </c>
      <c r="I5527">
        <v>68</v>
      </c>
      <c r="J5527">
        <v>30</v>
      </c>
    </row>
    <row r="5528" spans="1:10" x14ac:dyDescent="0.25">
      <c r="A5528" t="s">
        <v>25</v>
      </c>
      <c r="B5528" t="s">
        <v>20</v>
      </c>
      <c r="C5528" t="s">
        <v>12</v>
      </c>
      <c r="D5528" t="s">
        <v>17</v>
      </c>
      <c r="E5528">
        <v>0.89223744292237395</v>
      </c>
      <c r="F5528">
        <v>0.90914820629306003</v>
      </c>
      <c r="G5528">
        <v>69.303466081619206</v>
      </c>
      <c r="H5528">
        <v>57</v>
      </c>
      <c r="I5528">
        <v>85</v>
      </c>
      <c r="J5528">
        <v>30</v>
      </c>
    </row>
    <row r="5529" spans="1:10" x14ac:dyDescent="0.25">
      <c r="A5529" t="s">
        <v>25</v>
      </c>
      <c r="B5529" t="s">
        <v>20</v>
      </c>
      <c r="C5529" t="s">
        <v>12</v>
      </c>
      <c r="D5529" t="s">
        <v>17</v>
      </c>
      <c r="E5529">
        <v>0.91141552511415502</v>
      </c>
      <c r="F5529">
        <v>0.92256482536328699</v>
      </c>
      <c r="G5529">
        <v>82.943889856338501</v>
      </c>
      <c r="H5529">
        <v>70</v>
      </c>
      <c r="I5529">
        <v>101</v>
      </c>
      <c r="J5529">
        <v>30</v>
      </c>
    </row>
    <row r="5530" spans="1:10" x14ac:dyDescent="0.25">
      <c r="A5530" t="s">
        <v>25</v>
      </c>
      <c r="B5530" t="s">
        <v>20</v>
      </c>
      <c r="C5530" t="s">
        <v>12</v>
      </c>
      <c r="D5530" t="s">
        <v>17</v>
      </c>
      <c r="E5530">
        <v>0.89680365296803599</v>
      </c>
      <c r="F5530">
        <v>0.91259972670794498</v>
      </c>
      <c r="G5530">
        <v>99.118804931640597</v>
      </c>
      <c r="H5530">
        <v>83</v>
      </c>
      <c r="I5530">
        <v>126</v>
      </c>
      <c r="J5530">
        <v>30</v>
      </c>
    </row>
    <row r="5531" spans="1:10" x14ac:dyDescent="0.25">
      <c r="A5531" t="s">
        <v>25</v>
      </c>
      <c r="B5531" t="s">
        <v>20</v>
      </c>
      <c r="C5531" t="s">
        <v>12</v>
      </c>
      <c r="D5531" t="s">
        <v>17</v>
      </c>
      <c r="E5531">
        <v>0.91872146118721398</v>
      </c>
      <c r="F5531">
        <v>0.95943726286374398</v>
      </c>
      <c r="G5531">
        <v>110.15250945091201</v>
      </c>
      <c r="H5531">
        <v>130</v>
      </c>
      <c r="I5531">
        <v>150</v>
      </c>
      <c r="J5531">
        <v>30</v>
      </c>
    </row>
    <row r="5532" spans="1:10" x14ac:dyDescent="0.25">
      <c r="A5532" t="s">
        <v>25</v>
      </c>
      <c r="B5532" t="s">
        <v>20</v>
      </c>
      <c r="C5532" t="s">
        <v>12</v>
      </c>
      <c r="D5532" t="s">
        <v>17</v>
      </c>
      <c r="E5532">
        <v>0.908675799086758</v>
      </c>
      <c r="F5532">
        <v>0.92092232700703103</v>
      </c>
      <c r="G5532">
        <v>112.553049564361</v>
      </c>
      <c r="H5532">
        <v>131</v>
      </c>
      <c r="I5532">
        <v>163</v>
      </c>
      <c r="J5532">
        <v>30</v>
      </c>
    </row>
    <row r="5533" spans="1:10" x14ac:dyDescent="0.25">
      <c r="A5533" t="s">
        <v>25</v>
      </c>
      <c r="B5533" t="s">
        <v>20</v>
      </c>
      <c r="C5533" t="s">
        <v>12</v>
      </c>
      <c r="D5533" t="s">
        <v>17</v>
      </c>
      <c r="E5533">
        <v>0.92694063926940595</v>
      </c>
      <c r="F5533">
        <v>0.95624443419187199</v>
      </c>
      <c r="G5533">
        <v>139.755528926849</v>
      </c>
      <c r="H5533">
        <v>178</v>
      </c>
      <c r="I5533">
        <v>205</v>
      </c>
      <c r="J5533">
        <v>30</v>
      </c>
    </row>
    <row r="5534" spans="1:10" x14ac:dyDescent="0.25">
      <c r="A5534" t="s">
        <v>25</v>
      </c>
      <c r="B5534" t="s">
        <v>20</v>
      </c>
      <c r="C5534" t="s">
        <v>12</v>
      </c>
      <c r="D5534" t="s">
        <v>17</v>
      </c>
      <c r="E5534">
        <v>0.92511415525114105</v>
      </c>
      <c r="F5534">
        <v>0.93461668209698601</v>
      </c>
      <c r="G5534">
        <v>159.76025795936499</v>
      </c>
      <c r="H5534">
        <v>152</v>
      </c>
      <c r="I5534">
        <v>178</v>
      </c>
      <c r="J5534">
        <v>30</v>
      </c>
    </row>
    <row r="5535" spans="1:10" x14ac:dyDescent="0.25">
      <c r="A5535" t="s">
        <v>25</v>
      </c>
      <c r="B5535" t="s">
        <v>20</v>
      </c>
      <c r="C5535" t="s">
        <v>12</v>
      </c>
      <c r="D5535" t="s">
        <v>17</v>
      </c>
      <c r="E5535">
        <v>0.93424657534246502</v>
      </c>
      <c r="F5535">
        <v>0.95933757610173598</v>
      </c>
      <c r="G5535">
        <v>163.344066858291</v>
      </c>
      <c r="H5535">
        <v>177</v>
      </c>
      <c r="I5535">
        <v>207</v>
      </c>
      <c r="J5535">
        <v>30</v>
      </c>
    </row>
    <row r="5536" spans="1:10" x14ac:dyDescent="0.25">
      <c r="A5536" t="s">
        <v>25</v>
      </c>
      <c r="B5536" t="s">
        <v>20</v>
      </c>
      <c r="C5536" t="s">
        <v>12</v>
      </c>
      <c r="D5536" t="s">
        <v>17</v>
      </c>
      <c r="E5536">
        <v>0.93424657534246502</v>
      </c>
      <c r="F5536">
        <v>0.95552072731123305</v>
      </c>
      <c r="G5536">
        <v>166.61321139335601</v>
      </c>
      <c r="H5536">
        <v>183</v>
      </c>
      <c r="I5536">
        <v>229</v>
      </c>
      <c r="J5536">
        <v>30</v>
      </c>
    </row>
    <row r="5537" spans="1:10" x14ac:dyDescent="0.25">
      <c r="A5537" t="s">
        <v>25</v>
      </c>
      <c r="B5537" t="s">
        <v>20</v>
      </c>
      <c r="C5537" t="s">
        <v>12</v>
      </c>
      <c r="D5537" t="s">
        <v>17</v>
      </c>
      <c r="E5537">
        <v>0.91872146118721398</v>
      </c>
      <c r="F5537">
        <v>0.95879901967607295</v>
      </c>
      <c r="G5537">
        <v>175.303313016891</v>
      </c>
      <c r="H5537">
        <v>182</v>
      </c>
      <c r="I5537">
        <v>225</v>
      </c>
      <c r="J5537">
        <v>30</v>
      </c>
    </row>
    <row r="5538" spans="1:10" x14ac:dyDescent="0.25">
      <c r="A5538" t="s">
        <v>25</v>
      </c>
      <c r="B5538" t="s">
        <v>20</v>
      </c>
      <c r="C5538" t="s">
        <v>12</v>
      </c>
      <c r="D5538" t="s">
        <v>17</v>
      </c>
      <c r="E5538">
        <v>0.93059360730593599</v>
      </c>
      <c r="F5538">
        <v>0.95316478564182705</v>
      </c>
      <c r="G5538">
        <v>175.701802253723</v>
      </c>
      <c r="H5538">
        <v>189</v>
      </c>
      <c r="I5538">
        <v>216</v>
      </c>
      <c r="J5538">
        <v>30</v>
      </c>
    </row>
    <row r="5539" spans="1:10" x14ac:dyDescent="0.25">
      <c r="A5539" t="s">
        <v>25</v>
      </c>
      <c r="B5539" t="s">
        <v>20</v>
      </c>
      <c r="C5539" t="s">
        <v>12</v>
      </c>
      <c r="D5539" t="s">
        <v>17</v>
      </c>
      <c r="E5539">
        <v>0.93789954337899495</v>
      </c>
      <c r="F5539">
        <v>0.95148122256347001</v>
      </c>
      <c r="G5539">
        <v>178.46884083747801</v>
      </c>
      <c r="H5539">
        <v>180</v>
      </c>
      <c r="I5539">
        <v>229</v>
      </c>
      <c r="J5539">
        <v>30</v>
      </c>
    </row>
    <row r="5540" spans="1:10" x14ac:dyDescent="0.25">
      <c r="A5540" t="s">
        <v>25</v>
      </c>
      <c r="B5540" t="s">
        <v>20</v>
      </c>
      <c r="C5540" t="s">
        <v>12</v>
      </c>
      <c r="D5540" t="s">
        <v>17</v>
      </c>
      <c r="E5540">
        <v>0.93607305936073004</v>
      </c>
      <c r="F5540">
        <v>0.95948621460273897</v>
      </c>
      <c r="G5540">
        <v>179.45955443382201</v>
      </c>
      <c r="H5540">
        <v>159</v>
      </c>
      <c r="I5540">
        <v>202</v>
      </c>
      <c r="J5540">
        <v>30</v>
      </c>
    </row>
    <row r="5541" spans="1:10" x14ac:dyDescent="0.25">
      <c r="A5541" t="s">
        <v>25</v>
      </c>
      <c r="B5541" t="s">
        <v>20</v>
      </c>
      <c r="C5541" t="s">
        <v>12</v>
      </c>
      <c r="D5541" t="s">
        <v>17</v>
      </c>
      <c r="E5541">
        <v>0.92968036529680298</v>
      </c>
      <c r="F5541">
        <v>0.95435959078621002</v>
      </c>
      <c r="G5541">
        <v>189.83723282814</v>
      </c>
      <c r="H5541">
        <v>220</v>
      </c>
      <c r="I5541">
        <v>256</v>
      </c>
      <c r="J5541">
        <v>30</v>
      </c>
    </row>
    <row r="5542" spans="1:10" x14ac:dyDescent="0.25">
      <c r="A5542" t="s">
        <v>25</v>
      </c>
      <c r="B5542" t="s">
        <v>20</v>
      </c>
      <c r="C5542" t="s">
        <v>12</v>
      </c>
      <c r="D5542" t="s">
        <v>17</v>
      </c>
      <c r="E5542">
        <v>0.93698630136986305</v>
      </c>
      <c r="F5542">
        <v>0.96364222073652905</v>
      </c>
      <c r="G5542">
        <v>190.331203699111</v>
      </c>
      <c r="H5542">
        <v>200</v>
      </c>
      <c r="I5542">
        <v>248</v>
      </c>
      <c r="J5542">
        <v>30</v>
      </c>
    </row>
    <row r="5543" spans="1:10" x14ac:dyDescent="0.25">
      <c r="A5543" t="s">
        <v>25</v>
      </c>
      <c r="B5543" t="s">
        <v>20</v>
      </c>
      <c r="C5543" t="s">
        <v>12</v>
      </c>
      <c r="D5543" t="s">
        <v>17</v>
      </c>
      <c r="E5543">
        <v>0.93881278538812696</v>
      </c>
      <c r="F5543">
        <v>0.95985073508867602</v>
      </c>
      <c r="G5543">
        <v>190.701878309249</v>
      </c>
      <c r="H5543">
        <v>200</v>
      </c>
      <c r="I5543">
        <v>233</v>
      </c>
      <c r="J5543">
        <v>30</v>
      </c>
    </row>
    <row r="5544" spans="1:10" x14ac:dyDescent="0.25">
      <c r="A5544" t="s">
        <v>25</v>
      </c>
      <c r="B5544" t="s">
        <v>20</v>
      </c>
      <c r="C5544" t="s">
        <v>12</v>
      </c>
      <c r="D5544" t="s">
        <v>17</v>
      </c>
      <c r="E5544">
        <v>0.94429223744292201</v>
      </c>
      <c r="F5544">
        <v>0.96323235948465702</v>
      </c>
      <c r="G5544">
        <v>192.59624409675499</v>
      </c>
      <c r="H5544">
        <v>224</v>
      </c>
      <c r="I5544">
        <v>260</v>
      </c>
      <c r="J5544">
        <v>30</v>
      </c>
    </row>
    <row r="5545" spans="1:10" x14ac:dyDescent="0.25">
      <c r="A5545" t="s">
        <v>25</v>
      </c>
      <c r="B5545" t="s">
        <v>20</v>
      </c>
      <c r="C5545" t="s">
        <v>12</v>
      </c>
      <c r="D5545" t="s">
        <v>17</v>
      </c>
      <c r="E5545">
        <v>0.93607305936073004</v>
      </c>
      <c r="F5545">
        <v>0.95398930427844597</v>
      </c>
      <c r="G5545">
        <v>193.47628045082001</v>
      </c>
      <c r="H5545">
        <v>172</v>
      </c>
      <c r="I5545">
        <v>199</v>
      </c>
      <c r="J5545">
        <v>30</v>
      </c>
    </row>
    <row r="5546" spans="1:10" x14ac:dyDescent="0.25">
      <c r="A5546" t="s">
        <v>25</v>
      </c>
      <c r="B5546" t="s">
        <v>20</v>
      </c>
      <c r="C5546" t="s">
        <v>12</v>
      </c>
      <c r="D5546" t="s">
        <v>17</v>
      </c>
      <c r="E5546">
        <v>0.92876712328767097</v>
      </c>
      <c r="F5546">
        <v>0.94972402676502199</v>
      </c>
      <c r="G5546">
        <v>193.99520945549</v>
      </c>
      <c r="H5546">
        <v>224</v>
      </c>
      <c r="I5546">
        <v>261</v>
      </c>
      <c r="J5546">
        <v>30</v>
      </c>
    </row>
    <row r="5547" spans="1:10" x14ac:dyDescent="0.25">
      <c r="A5547" t="s">
        <v>25</v>
      </c>
      <c r="B5547" t="s">
        <v>20</v>
      </c>
      <c r="C5547" t="s">
        <v>12</v>
      </c>
      <c r="D5547" t="s">
        <v>17</v>
      </c>
      <c r="E5547">
        <v>0.95342465753424599</v>
      </c>
      <c r="F5547">
        <v>0.96698549759525099</v>
      </c>
      <c r="G5547">
        <v>195.262245893478</v>
      </c>
      <c r="H5547">
        <v>237</v>
      </c>
      <c r="I5547">
        <v>264</v>
      </c>
      <c r="J5547">
        <v>30</v>
      </c>
    </row>
    <row r="5548" spans="1:10" x14ac:dyDescent="0.25">
      <c r="A5548" t="s">
        <v>25</v>
      </c>
      <c r="B5548" t="s">
        <v>20</v>
      </c>
      <c r="C5548" t="s">
        <v>12</v>
      </c>
      <c r="D5548" t="s">
        <v>17</v>
      </c>
      <c r="E5548">
        <v>0.91780821917808197</v>
      </c>
      <c r="F5548">
        <v>0.95627625235844704</v>
      </c>
      <c r="G5548">
        <v>195.37461400032001</v>
      </c>
      <c r="H5548">
        <v>202</v>
      </c>
      <c r="I5548">
        <v>229</v>
      </c>
      <c r="J5548">
        <v>30</v>
      </c>
    </row>
    <row r="5549" spans="1:10" x14ac:dyDescent="0.25">
      <c r="A5549" t="s">
        <v>25</v>
      </c>
      <c r="B5549" t="s">
        <v>20</v>
      </c>
      <c r="C5549" t="s">
        <v>12</v>
      </c>
      <c r="D5549" t="s">
        <v>17</v>
      </c>
      <c r="E5549">
        <v>0.94246575342465699</v>
      </c>
      <c r="F5549">
        <v>0.96365438111561597</v>
      </c>
      <c r="G5549">
        <v>198.44671893119801</v>
      </c>
      <c r="H5549">
        <v>255</v>
      </c>
      <c r="I5549">
        <v>304</v>
      </c>
      <c r="J5549">
        <v>30</v>
      </c>
    </row>
    <row r="5550" spans="1:10" x14ac:dyDescent="0.25">
      <c r="A5550" t="s">
        <v>25</v>
      </c>
      <c r="B5550" t="s">
        <v>20</v>
      </c>
      <c r="C5550" t="s">
        <v>12</v>
      </c>
      <c r="D5550" t="s">
        <v>17</v>
      </c>
      <c r="E5550">
        <v>0.94155251141552498</v>
      </c>
      <c r="F5550">
        <v>0.96165042117525101</v>
      </c>
      <c r="G5550">
        <v>199.00538492202699</v>
      </c>
      <c r="H5550">
        <v>228</v>
      </c>
      <c r="I5550">
        <v>275</v>
      </c>
      <c r="J5550">
        <v>30</v>
      </c>
    </row>
    <row r="5551" spans="1:10" x14ac:dyDescent="0.25">
      <c r="A5551" t="s">
        <v>25</v>
      </c>
      <c r="B5551" t="s">
        <v>20</v>
      </c>
      <c r="C5551" t="s">
        <v>12</v>
      </c>
      <c r="D5551" t="s">
        <v>17</v>
      </c>
      <c r="E5551">
        <v>0.95616438356164302</v>
      </c>
      <c r="F5551">
        <v>0.971571086418903</v>
      </c>
      <c r="G5551">
        <v>200.71635079383799</v>
      </c>
      <c r="H5551">
        <v>273</v>
      </c>
      <c r="I5551">
        <v>325</v>
      </c>
      <c r="J5551">
        <v>30</v>
      </c>
    </row>
    <row r="5552" spans="1:10" x14ac:dyDescent="0.25">
      <c r="A5552" t="s">
        <v>25</v>
      </c>
      <c r="B5552" t="s">
        <v>20</v>
      </c>
      <c r="C5552" t="s">
        <v>18</v>
      </c>
      <c r="D5552" t="s">
        <v>13</v>
      </c>
      <c r="E5552">
        <v>1.6438356164383501E-2</v>
      </c>
      <c r="F5552">
        <v>0.75321880728630097</v>
      </c>
      <c r="G5552">
        <v>107.51409626007</v>
      </c>
      <c r="H5552">
        <v>7</v>
      </c>
      <c r="I5552">
        <v>13</v>
      </c>
      <c r="J5552">
        <v>30</v>
      </c>
    </row>
    <row r="5553" spans="1:10" x14ac:dyDescent="0.25">
      <c r="A5553" t="s">
        <v>25</v>
      </c>
      <c r="B5553" t="s">
        <v>20</v>
      </c>
      <c r="C5553" t="s">
        <v>18</v>
      </c>
      <c r="D5553" t="s">
        <v>13</v>
      </c>
      <c r="E5553">
        <v>1.46118721461187E-2</v>
      </c>
      <c r="F5553">
        <v>0.75084073949205399</v>
      </c>
      <c r="G5553">
        <v>109.489566564559</v>
      </c>
      <c r="H5553">
        <v>8</v>
      </c>
      <c r="I5553">
        <v>26</v>
      </c>
      <c r="J5553">
        <v>30</v>
      </c>
    </row>
    <row r="5554" spans="1:10" x14ac:dyDescent="0.25">
      <c r="A5554" t="s">
        <v>25</v>
      </c>
      <c r="B5554" t="s">
        <v>20</v>
      </c>
      <c r="C5554" t="s">
        <v>18</v>
      </c>
      <c r="D5554" t="s">
        <v>13</v>
      </c>
      <c r="E5554">
        <v>1.3698630136986301E-2</v>
      </c>
      <c r="F5554">
        <v>0.75154680791077599</v>
      </c>
      <c r="G5554">
        <v>126.83670473098699</v>
      </c>
      <c r="H5554">
        <v>6</v>
      </c>
      <c r="I5554">
        <v>21</v>
      </c>
      <c r="J5554">
        <v>30</v>
      </c>
    </row>
    <row r="5555" spans="1:10" x14ac:dyDescent="0.25">
      <c r="A5555" t="s">
        <v>25</v>
      </c>
      <c r="B5555" t="s">
        <v>20</v>
      </c>
      <c r="C5555" t="s">
        <v>18</v>
      </c>
      <c r="D5555" t="s">
        <v>13</v>
      </c>
      <c r="E5555">
        <v>2.46575342465753E-2</v>
      </c>
      <c r="F5555">
        <v>0.75400256160118695</v>
      </c>
      <c r="G5555">
        <v>133.21306943893401</v>
      </c>
      <c r="H5555">
        <v>10</v>
      </c>
      <c r="I5555">
        <v>30</v>
      </c>
      <c r="J5555">
        <v>30</v>
      </c>
    </row>
    <row r="5556" spans="1:10" x14ac:dyDescent="0.25">
      <c r="A5556" t="s">
        <v>25</v>
      </c>
      <c r="B5556" t="s">
        <v>20</v>
      </c>
      <c r="C5556" t="s">
        <v>18</v>
      </c>
      <c r="D5556" t="s">
        <v>13</v>
      </c>
      <c r="E5556">
        <v>1.7351598173515899E-2</v>
      </c>
      <c r="F5556">
        <v>0.75205005154712301</v>
      </c>
      <c r="G5556">
        <v>133.21678447723301</v>
      </c>
      <c r="H5556">
        <v>7</v>
      </c>
      <c r="I5556">
        <v>14</v>
      </c>
      <c r="J5556">
        <v>30</v>
      </c>
    </row>
    <row r="5557" spans="1:10" x14ac:dyDescent="0.25">
      <c r="A5557" t="s">
        <v>25</v>
      </c>
      <c r="B5557" t="s">
        <v>20</v>
      </c>
      <c r="C5557" t="s">
        <v>18</v>
      </c>
      <c r="D5557" t="s">
        <v>13</v>
      </c>
      <c r="E5557">
        <v>1.46118721461187E-2</v>
      </c>
      <c r="F5557">
        <v>0.75199215135826403</v>
      </c>
      <c r="G5557">
        <v>139.17893218994101</v>
      </c>
      <c r="H5557">
        <v>11</v>
      </c>
      <c r="I5557">
        <v>40</v>
      </c>
      <c r="J5557">
        <v>30</v>
      </c>
    </row>
    <row r="5558" spans="1:10" x14ac:dyDescent="0.25">
      <c r="A5558" t="s">
        <v>25</v>
      </c>
      <c r="B5558" t="s">
        <v>20</v>
      </c>
      <c r="C5558" t="s">
        <v>18</v>
      </c>
      <c r="D5558" t="s">
        <v>13</v>
      </c>
      <c r="E5558">
        <v>1.1872146118721401E-2</v>
      </c>
      <c r="F5558">
        <v>0.75176487150456595</v>
      </c>
      <c r="G5558">
        <v>139.548175573349</v>
      </c>
      <c r="H5558">
        <v>9</v>
      </c>
      <c r="I5558">
        <v>18</v>
      </c>
      <c r="J5558">
        <v>30</v>
      </c>
    </row>
    <row r="5559" spans="1:10" x14ac:dyDescent="0.25">
      <c r="A5559" t="s">
        <v>25</v>
      </c>
      <c r="B5559" t="s">
        <v>20</v>
      </c>
      <c r="C5559" t="s">
        <v>18</v>
      </c>
      <c r="D5559" t="s">
        <v>13</v>
      </c>
      <c r="E5559">
        <v>1.55251141552511E-2</v>
      </c>
      <c r="F5559">
        <v>0.751699257298995</v>
      </c>
      <c r="G5559">
        <v>153.51853895187301</v>
      </c>
      <c r="H5559">
        <v>10</v>
      </c>
      <c r="I5559">
        <v>29</v>
      </c>
      <c r="J5559">
        <v>30</v>
      </c>
    </row>
    <row r="5560" spans="1:10" x14ac:dyDescent="0.25">
      <c r="A5560" t="s">
        <v>25</v>
      </c>
      <c r="B5560" t="s">
        <v>20</v>
      </c>
      <c r="C5560" t="s">
        <v>18</v>
      </c>
      <c r="D5560" t="s">
        <v>13</v>
      </c>
      <c r="E5560">
        <v>1.9178082191780799E-2</v>
      </c>
      <c r="F5560">
        <v>0.75272830037360705</v>
      </c>
      <c r="G5560">
        <v>156.351426601409</v>
      </c>
      <c r="H5560">
        <v>10</v>
      </c>
      <c r="I5560">
        <v>34</v>
      </c>
      <c r="J5560">
        <v>30</v>
      </c>
    </row>
    <row r="5561" spans="1:10" x14ac:dyDescent="0.25">
      <c r="A5561" t="s">
        <v>25</v>
      </c>
      <c r="B5561" t="s">
        <v>20</v>
      </c>
      <c r="C5561" t="s">
        <v>18</v>
      </c>
      <c r="D5561" t="s">
        <v>13</v>
      </c>
      <c r="E5561">
        <v>2.00913242009132E-2</v>
      </c>
      <c r="F5561">
        <v>0.75349314639223697</v>
      </c>
      <c r="G5561">
        <v>157.43407893180799</v>
      </c>
      <c r="H5561">
        <v>11</v>
      </c>
      <c r="I5561">
        <v>36</v>
      </c>
      <c r="J5561">
        <v>30</v>
      </c>
    </row>
    <row r="5562" spans="1:10" x14ac:dyDescent="0.25">
      <c r="A5562" t="s">
        <v>25</v>
      </c>
      <c r="B5562" t="s">
        <v>20</v>
      </c>
      <c r="C5562" t="s">
        <v>18</v>
      </c>
      <c r="D5562" t="s">
        <v>13</v>
      </c>
      <c r="E5562">
        <v>1.7351598173515899E-2</v>
      </c>
      <c r="F5562">
        <v>0.75321933431132404</v>
      </c>
      <c r="G5562">
        <v>159.98976182937599</v>
      </c>
      <c r="H5562">
        <v>10</v>
      </c>
      <c r="I5562">
        <v>34</v>
      </c>
      <c r="J5562">
        <v>30</v>
      </c>
    </row>
    <row r="5563" spans="1:10" x14ac:dyDescent="0.25">
      <c r="A5563" t="s">
        <v>25</v>
      </c>
      <c r="B5563" t="s">
        <v>20</v>
      </c>
      <c r="C5563" t="s">
        <v>18</v>
      </c>
      <c r="D5563" t="s">
        <v>13</v>
      </c>
      <c r="E5563">
        <v>1.7351598173515899E-2</v>
      </c>
      <c r="F5563">
        <v>0.75335699731351602</v>
      </c>
      <c r="G5563">
        <v>159.98269748687699</v>
      </c>
      <c r="H5563">
        <v>11</v>
      </c>
      <c r="I5563">
        <v>41</v>
      </c>
      <c r="J5563">
        <v>30</v>
      </c>
    </row>
    <row r="5564" spans="1:10" x14ac:dyDescent="0.25">
      <c r="A5564" t="s">
        <v>25</v>
      </c>
      <c r="B5564" t="s">
        <v>20</v>
      </c>
      <c r="C5564" t="s">
        <v>18</v>
      </c>
      <c r="D5564" t="s">
        <v>13</v>
      </c>
      <c r="E5564">
        <v>1.6438356164383501E-2</v>
      </c>
      <c r="F5564">
        <v>0.75265775887114095</v>
      </c>
      <c r="G5564">
        <v>160.418342351913</v>
      </c>
      <c r="H5564">
        <v>12</v>
      </c>
      <c r="I5564">
        <v>40</v>
      </c>
      <c r="J5564">
        <v>30</v>
      </c>
    </row>
    <row r="5565" spans="1:10" x14ac:dyDescent="0.25">
      <c r="A5565" t="s">
        <v>25</v>
      </c>
      <c r="B5565" t="s">
        <v>20</v>
      </c>
      <c r="C5565" t="s">
        <v>18</v>
      </c>
      <c r="D5565" t="s">
        <v>13</v>
      </c>
      <c r="E5565">
        <v>2.1917808219177999E-2</v>
      </c>
      <c r="F5565">
        <v>0.75480629071589</v>
      </c>
      <c r="G5565">
        <v>170.48072481155299</v>
      </c>
      <c r="H5565">
        <v>12</v>
      </c>
      <c r="I5565">
        <v>49</v>
      </c>
      <c r="J5565">
        <v>30</v>
      </c>
    </row>
    <row r="5566" spans="1:10" x14ac:dyDescent="0.25">
      <c r="A5566" t="s">
        <v>25</v>
      </c>
      <c r="B5566" t="s">
        <v>20</v>
      </c>
      <c r="C5566" t="s">
        <v>18</v>
      </c>
      <c r="D5566" t="s">
        <v>13</v>
      </c>
      <c r="E5566">
        <v>2.8310502283104999E-2</v>
      </c>
      <c r="F5566">
        <v>0.75494704326986295</v>
      </c>
      <c r="G5566">
        <v>171.668326616287</v>
      </c>
      <c r="H5566">
        <v>19</v>
      </c>
      <c r="I5566">
        <v>61</v>
      </c>
      <c r="J5566">
        <v>30</v>
      </c>
    </row>
    <row r="5567" spans="1:10" x14ac:dyDescent="0.25">
      <c r="A5567" t="s">
        <v>25</v>
      </c>
      <c r="B5567" t="s">
        <v>20</v>
      </c>
      <c r="C5567" t="s">
        <v>18</v>
      </c>
      <c r="D5567" t="s">
        <v>13</v>
      </c>
      <c r="E5567">
        <v>2.1917808219177999E-2</v>
      </c>
      <c r="F5567">
        <v>0.75304043026904099</v>
      </c>
      <c r="G5567">
        <v>171.66988873481699</v>
      </c>
      <c r="H5567">
        <v>13</v>
      </c>
      <c r="I5567">
        <v>40</v>
      </c>
      <c r="J5567">
        <v>30</v>
      </c>
    </row>
    <row r="5568" spans="1:10" x14ac:dyDescent="0.25">
      <c r="A5568" t="s">
        <v>25</v>
      </c>
      <c r="B5568" t="s">
        <v>20</v>
      </c>
      <c r="C5568" t="s">
        <v>18</v>
      </c>
      <c r="D5568" t="s">
        <v>13</v>
      </c>
      <c r="E5568">
        <v>3.6529680365296802E-2</v>
      </c>
      <c r="F5568">
        <v>0.75616298541031901</v>
      </c>
      <c r="G5568">
        <v>172.32322859764099</v>
      </c>
      <c r="H5568">
        <v>20</v>
      </c>
      <c r="I5568">
        <v>58</v>
      </c>
      <c r="J5568">
        <v>30</v>
      </c>
    </row>
    <row r="5569" spans="1:10" x14ac:dyDescent="0.25">
      <c r="A5569" t="s">
        <v>25</v>
      </c>
      <c r="B5569" t="s">
        <v>20</v>
      </c>
      <c r="C5569" t="s">
        <v>18</v>
      </c>
      <c r="D5569" t="s">
        <v>13</v>
      </c>
      <c r="E5569">
        <v>1.7351598173515899E-2</v>
      </c>
      <c r="F5569">
        <v>0.75240192367817305</v>
      </c>
      <c r="G5569">
        <v>173.13704848289399</v>
      </c>
      <c r="H5569">
        <v>9</v>
      </c>
      <c r="I5569">
        <v>19</v>
      </c>
      <c r="J5569">
        <v>30</v>
      </c>
    </row>
    <row r="5570" spans="1:10" x14ac:dyDescent="0.25">
      <c r="A5570" t="s">
        <v>25</v>
      </c>
      <c r="B5570" t="s">
        <v>20</v>
      </c>
      <c r="C5570" t="s">
        <v>18</v>
      </c>
      <c r="D5570" t="s">
        <v>13</v>
      </c>
      <c r="E5570">
        <v>3.10502283105022E-2</v>
      </c>
      <c r="F5570">
        <v>0.75446234590429195</v>
      </c>
      <c r="G5570">
        <v>176.08980655670101</v>
      </c>
      <c r="H5570">
        <v>20</v>
      </c>
      <c r="I5570">
        <v>46</v>
      </c>
      <c r="J5570">
        <v>30</v>
      </c>
    </row>
    <row r="5571" spans="1:10" x14ac:dyDescent="0.25">
      <c r="A5571" t="s">
        <v>25</v>
      </c>
      <c r="B5571" t="s">
        <v>20</v>
      </c>
      <c r="C5571" t="s">
        <v>18</v>
      </c>
      <c r="D5571" t="s">
        <v>13</v>
      </c>
      <c r="E5571">
        <v>3.1963470319634701E-2</v>
      </c>
      <c r="F5571">
        <v>0.75485175732730503</v>
      </c>
      <c r="G5571">
        <v>177.91558599472</v>
      </c>
      <c r="H5571">
        <v>19</v>
      </c>
      <c r="I5571">
        <v>51</v>
      </c>
      <c r="J5571">
        <v>30</v>
      </c>
    </row>
    <row r="5572" spans="1:10" x14ac:dyDescent="0.25">
      <c r="A5572" t="s">
        <v>25</v>
      </c>
      <c r="B5572" t="s">
        <v>20</v>
      </c>
      <c r="C5572" t="s">
        <v>18</v>
      </c>
      <c r="D5572" t="s">
        <v>13</v>
      </c>
      <c r="E5572">
        <v>3.0136986301369802E-2</v>
      </c>
      <c r="F5572">
        <v>0.753440106664931</v>
      </c>
      <c r="G5572">
        <v>177.93015933036801</v>
      </c>
      <c r="H5572">
        <v>21</v>
      </c>
      <c r="I5572">
        <v>58</v>
      </c>
      <c r="J5572">
        <v>30</v>
      </c>
    </row>
    <row r="5573" spans="1:10" x14ac:dyDescent="0.25">
      <c r="A5573" t="s">
        <v>25</v>
      </c>
      <c r="B5573" t="s">
        <v>20</v>
      </c>
      <c r="C5573" t="s">
        <v>18</v>
      </c>
      <c r="D5573" t="s">
        <v>13</v>
      </c>
      <c r="E5573">
        <v>1.7351598173515899E-2</v>
      </c>
      <c r="F5573">
        <v>0.75298742668840102</v>
      </c>
      <c r="G5573">
        <v>179.30990600585901</v>
      </c>
      <c r="H5573">
        <v>11</v>
      </c>
      <c r="I5573">
        <v>33</v>
      </c>
      <c r="J5573">
        <v>30</v>
      </c>
    </row>
    <row r="5574" spans="1:10" x14ac:dyDescent="0.25">
      <c r="A5574" t="s">
        <v>25</v>
      </c>
      <c r="B5574" t="s">
        <v>20</v>
      </c>
      <c r="C5574" t="s">
        <v>18</v>
      </c>
      <c r="D5574" t="s">
        <v>13</v>
      </c>
      <c r="E5574">
        <v>3.3789954337899497E-2</v>
      </c>
      <c r="F5574">
        <v>0.75423879643908598</v>
      </c>
      <c r="G5574">
        <v>180.128412485122</v>
      </c>
      <c r="H5574">
        <v>18</v>
      </c>
      <c r="I5574">
        <v>54</v>
      </c>
      <c r="J5574">
        <v>30</v>
      </c>
    </row>
    <row r="5575" spans="1:10" x14ac:dyDescent="0.25">
      <c r="A5575" t="s">
        <v>25</v>
      </c>
      <c r="B5575" t="s">
        <v>20</v>
      </c>
      <c r="C5575" t="s">
        <v>18</v>
      </c>
      <c r="D5575" t="s">
        <v>13</v>
      </c>
      <c r="E5575">
        <v>3.1963470319634701E-2</v>
      </c>
      <c r="F5575">
        <v>0.755236860948858</v>
      </c>
      <c r="G5575">
        <v>180.29192876815699</v>
      </c>
      <c r="H5575">
        <v>20</v>
      </c>
      <c r="I5575">
        <v>52</v>
      </c>
      <c r="J5575">
        <v>30</v>
      </c>
    </row>
    <row r="5576" spans="1:10" x14ac:dyDescent="0.25">
      <c r="A5576" t="s">
        <v>25</v>
      </c>
      <c r="B5576" t="s">
        <v>20</v>
      </c>
      <c r="C5576" t="s">
        <v>18</v>
      </c>
      <c r="D5576" t="s">
        <v>13</v>
      </c>
      <c r="E5576">
        <v>2.6484018264840099E-2</v>
      </c>
      <c r="F5576">
        <v>0.75435460816365296</v>
      </c>
      <c r="G5576">
        <v>180.45945572853</v>
      </c>
      <c r="H5576">
        <v>20</v>
      </c>
      <c r="I5576">
        <v>58</v>
      </c>
      <c r="J5576">
        <v>30</v>
      </c>
    </row>
    <row r="5577" spans="1:10" x14ac:dyDescent="0.25">
      <c r="A5577" t="s">
        <v>25</v>
      </c>
      <c r="B5577" t="s">
        <v>20</v>
      </c>
      <c r="C5577" t="s">
        <v>18</v>
      </c>
      <c r="D5577" t="s">
        <v>13</v>
      </c>
      <c r="E5577">
        <v>2.6484018264840099E-2</v>
      </c>
      <c r="F5577">
        <v>0.75380416256958904</v>
      </c>
      <c r="G5577">
        <v>180.49755573272699</v>
      </c>
      <c r="H5577">
        <v>18</v>
      </c>
      <c r="I5577">
        <v>58</v>
      </c>
      <c r="J5577">
        <v>30</v>
      </c>
    </row>
    <row r="5578" spans="1:10" x14ac:dyDescent="0.25">
      <c r="A5578" t="s">
        <v>25</v>
      </c>
      <c r="B5578" t="s">
        <v>20</v>
      </c>
      <c r="C5578" t="s">
        <v>18</v>
      </c>
      <c r="D5578" t="s">
        <v>13</v>
      </c>
      <c r="E5578">
        <v>3.3789954337899497E-2</v>
      </c>
      <c r="F5578">
        <v>0.75664479162639198</v>
      </c>
      <c r="G5578">
        <v>181.65750122070301</v>
      </c>
      <c r="H5578">
        <v>23</v>
      </c>
      <c r="I5578">
        <v>75</v>
      </c>
      <c r="J5578">
        <v>30</v>
      </c>
    </row>
    <row r="5579" spans="1:10" x14ac:dyDescent="0.25">
      <c r="A5579" t="s">
        <v>25</v>
      </c>
      <c r="B5579" t="s">
        <v>20</v>
      </c>
      <c r="C5579" t="s">
        <v>18</v>
      </c>
      <c r="D5579" t="s">
        <v>13</v>
      </c>
      <c r="E5579">
        <v>2.92237442922374E-2</v>
      </c>
      <c r="F5579">
        <v>0.75153902150100405</v>
      </c>
      <c r="G5579">
        <v>183.01339173316899</v>
      </c>
      <c r="H5579">
        <v>24</v>
      </c>
      <c r="I5579">
        <v>62</v>
      </c>
      <c r="J5579">
        <v>30</v>
      </c>
    </row>
    <row r="5580" spans="1:10" x14ac:dyDescent="0.25">
      <c r="A5580" t="s">
        <v>25</v>
      </c>
      <c r="B5580" t="s">
        <v>20</v>
      </c>
      <c r="C5580" t="s">
        <v>18</v>
      </c>
      <c r="D5580" t="s">
        <v>13</v>
      </c>
      <c r="E5580">
        <v>1.9178082191780799E-2</v>
      </c>
      <c r="F5580">
        <v>0.75337574269817298</v>
      </c>
      <c r="G5580">
        <v>183.55536055564801</v>
      </c>
      <c r="H5580">
        <v>17</v>
      </c>
      <c r="I5580">
        <v>62</v>
      </c>
      <c r="J5580">
        <v>30</v>
      </c>
    </row>
    <row r="5581" spans="1:10" x14ac:dyDescent="0.25">
      <c r="A5581" t="s">
        <v>25</v>
      </c>
      <c r="B5581" t="s">
        <v>20</v>
      </c>
      <c r="C5581" t="s">
        <v>18</v>
      </c>
      <c r="D5581" t="s">
        <v>13</v>
      </c>
      <c r="E5581">
        <v>0.9662100456621</v>
      </c>
      <c r="F5581">
        <v>0.97128069597077604</v>
      </c>
      <c r="G5581">
        <v>191.26222848892201</v>
      </c>
      <c r="H5581">
        <v>39</v>
      </c>
      <c r="I5581">
        <v>108</v>
      </c>
      <c r="J5581">
        <v>30</v>
      </c>
    </row>
    <row r="5582" spans="1:10" x14ac:dyDescent="0.25">
      <c r="A5582" t="s">
        <v>25</v>
      </c>
      <c r="B5582" t="s">
        <v>20</v>
      </c>
      <c r="C5582" t="s">
        <v>18</v>
      </c>
      <c r="D5582" t="s">
        <v>14</v>
      </c>
      <c r="E5582">
        <v>9.1324200913241995E-4</v>
      </c>
      <c r="F5582">
        <v>0.74986187214611799</v>
      </c>
      <c r="G5582">
        <v>27.5842587947845</v>
      </c>
      <c r="H5582">
        <v>1</v>
      </c>
      <c r="I5582">
        <v>1</v>
      </c>
      <c r="J5582">
        <v>30</v>
      </c>
    </row>
    <row r="5583" spans="1:10" x14ac:dyDescent="0.25">
      <c r="A5583" t="s">
        <v>25</v>
      </c>
      <c r="B5583" t="s">
        <v>20</v>
      </c>
      <c r="C5583" t="s">
        <v>18</v>
      </c>
      <c r="D5583" t="s">
        <v>14</v>
      </c>
      <c r="E5583">
        <v>1.8264840182648399E-3</v>
      </c>
      <c r="F5583">
        <v>0.75005059401205398</v>
      </c>
      <c r="G5583">
        <v>27.900134325027398</v>
      </c>
      <c r="H5583">
        <v>1</v>
      </c>
      <c r="I5583">
        <v>1</v>
      </c>
      <c r="J5583">
        <v>30</v>
      </c>
    </row>
    <row r="5584" spans="1:10" x14ac:dyDescent="0.25">
      <c r="A5584" t="s">
        <v>25</v>
      </c>
      <c r="B5584" t="s">
        <v>20</v>
      </c>
      <c r="C5584" t="s">
        <v>18</v>
      </c>
      <c r="D5584" t="s">
        <v>14</v>
      </c>
      <c r="E5584">
        <v>1.8264840182648399E-3</v>
      </c>
      <c r="F5584">
        <v>0.75005059401205398</v>
      </c>
      <c r="G5584">
        <v>28.9846606254577</v>
      </c>
      <c r="H5584">
        <v>1</v>
      </c>
      <c r="I5584">
        <v>1</v>
      </c>
      <c r="J5584">
        <v>30</v>
      </c>
    </row>
    <row r="5585" spans="1:10" x14ac:dyDescent="0.25">
      <c r="A5585" t="s">
        <v>25</v>
      </c>
      <c r="B5585" t="s">
        <v>20</v>
      </c>
      <c r="C5585" t="s">
        <v>18</v>
      </c>
      <c r="D5585" t="s">
        <v>14</v>
      </c>
      <c r="E5585">
        <v>5.4794520547945197E-3</v>
      </c>
      <c r="F5585">
        <v>0.750657534246575</v>
      </c>
      <c r="G5585">
        <v>29.974463462829501</v>
      </c>
      <c r="H5585">
        <v>1</v>
      </c>
      <c r="I5585">
        <v>1</v>
      </c>
      <c r="J5585">
        <v>30</v>
      </c>
    </row>
    <row r="5586" spans="1:10" x14ac:dyDescent="0.25">
      <c r="A5586" t="s">
        <v>25</v>
      </c>
      <c r="B5586" t="s">
        <v>20</v>
      </c>
      <c r="C5586" t="s">
        <v>18</v>
      </c>
      <c r="D5586" t="s">
        <v>14</v>
      </c>
      <c r="E5586">
        <v>3.6529680365296798E-3</v>
      </c>
      <c r="F5586">
        <v>0.750391838428767</v>
      </c>
      <c r="G5586">
        <v>30.295703411102199</v>
      </c>
      <c r="H5586">
        <v>1</v>
      </c>
      <c r="I5586">
        <v>1</v>
      </c>
      <c r="J5586">
        <v>30</v>
      </c>
    </row>
    <row r="5587" spans="1:10" x14ac:dyDescent="0.25">
      <c r="A5587" t="s">
        <v>25</v>
      </c>
      <c r="B5587" t="s">
        <v>20</v>
      </c>
      <c r="C5587" t="s">
        <v>18</v>
      </c>
      <c r="D5587" t="s">
        <v>14</v>
      </c>
      <c r="E5587">
        <v>2.7397260273972599E-3</v>
      </c>
      <c r="F5587">
        <v>0.750228310502283</v>
      </c>
      <c r="G5587">
        <v>30.458461523055998</v>
      </c>
      <c r="H5587">
        <v>1</v>
      </c>
      <c r="I5587">
        <v>1</v>
      </c>
      <c r="J5587">
        <v>30</v>
      </c>
    </row>
    <row r="5588" spans="1:10" x14ac:dyDescent="0.25">
      <c r="A5588" t="s">
        <v>25</v>
      </c>
      <c r="B5588" t="s">
        <v>20</v>
      </c>
      <c r="C5588" t="s">
        <v>18</v>
      </c>
      <c r="D5588" t="s">
        <v>14</v>
      </c>
      <c r="E5588">
        <v>1.8264840182648399E-3</v>
      </c>
      <c r="F5588">
        <v>0.750342465753424</v>
      </c>
      <c r="G5588">
        <v>31.215862274169901</v>
      </c>
      <c r="H5588">
        <v>1</v>
      </c>
      <c r="I5588">
        <v>1</v>
      </c>
      <c r="J5588">
        <v>30</v>
      </c>
    </row>
    <row r="5589" spans="1:10" x14ac:dyDescent="0.25">
      <c r="A5589" t="s">
        <v>25</v>
      </c>
      <c r="B5589" t="s">
        <v>20</v>
      </c>
      <c r="C5589" t="s">
        <v>18</v>
      </c>
      <c r="D5589" t="s">
        <v>14</v>
      </c>
      <c r="E5589">
        <v>6.3926940639269401E-3</v>
      </c>
      <c r="F5589">
        <v>0.75074549958063896</v>
      </c>
      <c r="G5589">
        <v>31.362498044967602</v>
      </c>
      <c r="H5589">
        <v>1</v>
      </c>
      <c r="I5589">
        <v>1</v>
      </c>
      <c r="J5589">
        <v>30</v>
      </c>
    </row>
    <row r="5590" spans="1:10" x14ac:dyDescent="0.25">
      <c r="A5590" t="s">
        <v>25</v>
      </c>
      <c r="B5590" t="s">
        <v>20</v>
      </c>
      <c r="C5590" t="s">
        <v>18</v>
      </c>
      <c r="D5590" t="s">
        <v>14</v>
      </c>
      <c r="E5590">
        <v>3.6529680365296798E-3</v>
      </c>
      <c r="F5590">
        <v>0.750391838428767</v>
      </c>
      <c r="G5590">
        <v>31.5909211635589</v>
      </c>
      <c r="H5590">
        <v>1</v>
      </c>
      <c r="I5590">
        <v>1</v>
      </c>
      <c r="J5590">
        <v>30</v>
      </c>
    </row>
    <row r="5591" spans="1:10" x14ac:dyDescent="0.25">
      <c r="A5591" t="s">
        <v>25</v>
      </c>
      <c r="B5591" t="s">
        <v>20</v>
      </c>
      <c r="C5591" t="s">
        <v>18</v>
      </c>
      <c r="D5591" t="s">
        <v>14</v>
      </c>
      <c r="E5591">
        <v>9.1324200913241995E-4</v>
      </c>
      <c r="F5591">
        <v>0.749541666666666</v>
      </c>
      <c r="G5591">
        <v>31.798527002334499</v>
      </c>
      <c r="H5591">
        <v>1</v>
      </c>
      <c r="I5591">
        <v>1</v>
      </c>
      <c r="J5591">
        <v>30</v>
      </c>
    </row>
    <row r="5592" spans="1:10" x14ac:dyDescent="0.25">
      <c r="A5592" t="s">
        <v>25</v>
      </c>
      <c r="B5592" t="s">
        <v>20</v>
      </c>
      <c r="C5592" t="s">
        <v>18</v>
      </c>
      <c r="D5592" t="s">
        <v>14</v>
      </c>
      <c r="E5592">
        <v>9.1324200913241995E-4</v>
      </c>
      <c r="F5592">
        <v>0.75017708384876702</v>
      </c>
      <c r="G5592">
        <v>33.054595470428403</v>
      </c>
      <c r="H5592">
        <v>1</v>
      </c>
      <c r="I5592">
        <v>1</v>
      </c>
      <c r="J5592">
        <v>30</v>
      </c>
    </row>
    <row r="5593" spans="1:10" x14ac:dyDescent="0.25">
      <c r="A5593" t="s">
        <v>25</v>
      </c>
      <c r="B5593" t="s">
        <v>20</v>
      </c>
      <c r="C5593" t="s">
        <v>18</v>
      </c>
      <c r="D5593" t="s">
        <v>14</v>
      </c>
      <c r="E5593">
        <v>1.8264840182648399E-3</v>
      </c>
      <c r="F5593">
        <v>0.750342465753424</v>
      </c>
      <c r="G5593">
        <v>33.357912540435699</v>
      </c>
      <c r="H5593">
        <v>1</v>
      </c>
      <c r="I5593">
        <v>1</v>
      </c>
      <c r="J5593">
        <v>30</v>
      </c>
    </row>
    <row r="5594" spans="1:10" x14ac:dyDescent="0.25">
      <c r="A5594" t="s">
        <v>25</v>
      </c>
      <c r="B5594" t="s">
        <v>20</v>
      </c>
      <c r="C5594" t="s">
        <v>18</v>
      </c>
      <c r="D5594" t="s">
        <v>14</v>
      </c>
      <c r="E5594">
        <v>4.5662100456621002E-3</v>
      </c>
      <c r="F5594">
        <v>0.75073059360730499</v>
      </c>
      <c r="G5594">
        <v>33.6909852027893</v>
      </c>
      <c r="H5594">
        <v>1</v>
      </c>
      <c r="I5594">
        <v>1</v>
      </c>
      <c r="J5594">
        <v>30</v>
      </c>
    </row>
    <row r="5595" spans="1:10" x14ac:dyDescent="0.25">
      <c r="A5595" t="s">
        <v>25</v>
      </c>
      <c r="B5595" t="s">
        <v>20</v>
      </c>
      <c r="C5595" t="s">
        <v>18</v>
      </c>
      <c r="D5595" t="s">
        <v>14</v>
      </c>
      <c r="E5595">
        <v>2.7397260273972599E-3</v>
      </c>
      <c r="F5595">
        <v>0.75049295511205405</v>
      </c>
      <c r="G5595">
        <v>39.165914058685303</v>
      </c>
      <c r="H5595">
        <v>2</v>
      </c>
      <c r="I5595">
        <v>2</v>
      </c>
      <c r="J5595">
        <v>30</v>
      </c>
    </row>
    <row r="5596" spans="1:10" x14ac:dyDescent="0.25">
      <c r="A5596" t="s">
        <v>25</v>
      </c>
      <c r="B5596" t="s">
        <v>20</v>
      </c>
      <c r="C5596" t="s">
        <v>18</v>
      </c>
      <c r="D5596" t="s">
        <v>14</v>
      </c>
      <c r="E5596">
        <v>0</v>
      </c>
      <c r="F5596">
        <v>0.75</v>
      </c>
      <c r="G5596">
        <v>39.578586578369098</v>
      </c>
      <c r="H5596">
        <v>2</v>
      </c>
      <c r="I5596">
        <v>2</v>
      </c>
      <c r="J5596">
        <v>30</v>
      </c>
    </row>
    <row r="5597" spans="1:10" x14ac:dyDescent="0.25">
      <c r="A5597" t="s">
        <v>25</v>
      </c>
      <c r="B5597" t="s">
        <v>20</v>
      </c>
      <c r="C5597" t="s">
        <v>18</v>
      </c>
      <c r="D5597" t="s">
        <v>14</v>
      </c>
      <c r="E5597">
        <v>9.1324200913241995E-4</v>
      </c>
      <c r="F5597">
        <v>0.75017708384876702</v>
      </c>
      <c r="G5597">
        <v>39.658534526824901</v>
      </c>
      <c r="H5597">
        <v>2</v>
      </c>
      <c r="I5597">
        <v>2</v>
      </c>
      <c r="J5597">
        <v>30</v>
      </c>
    </row>
    <row r="5598" spans="1:10" x14ac:dyDescent="0.25">
      <c r="A5598" t="s">
        <v>25</v>
      </c>
      <c r="B5598" t="s">
        <v>20</v>
      </c>
      <c r="C5598" t="s">
        <v>18</v>
      </c>
      <c r="D5598" t="s">
        <v>14</v>
      </c>
      <c r="E5598">
        <v>2.7397260273972599E-3</v>
      </c>
      <c r="F5598">
        <v>0.75049295511205405</v>
      </c>
      <c r="G5598">
        <v>39.700056314468299</v>
      </c>
      <c r="H5598">
        <v>2</v>
      </c>
      <c r="I5598">
        <v>2</v>
      </c>
      <c r="J5598">
        <v>30</v>
      </c>
    </row>
    <row r="5599" spans="1:10" x14ac:dyDescent="0.25">
      <c r="A5599" t="s">
        <v>25</v>
      </c>
      <c r="B5599" t="s">
        <v>20</v>
      </c>
      <c r="C5599" t="s">
        <v>18</v>
      </c>
      <c r="D5599" t="s">
        <v>14</v>
      </c>
      <c r="E5599">
        <v>1.8264840182648399E-3</v>
      </c>
      <c r="F5599">
        <v>0.750342465753424</v>
      </c>
      <c r="G5599">
        <v>39.722620010375898</v>
      </c>
      <c r="H5599">
        <v>2</v>
      </c>
      <c r="I5599">
        <v>2</v>
      </c>
      <c r="J5599">
        <v>30</v>
      </c>
    </row>
    <row r="5600" spans="1:10" x14ac:dyDescent="0.25">
      <c r="A5600" t="s">
        <v>25</v>
      </c>
      <c r="B5600" t="s">
        <v>20</v>
      </c>
      <c r="C5600" t="s">
        <v>18</v>
      </c>
      <c r="D5600" t="s">
        <v>14</v>
      </c>
      <c r="E5600">
        <v>1.8264840182648399E-3</v>
      </c>
      <c r="F5600">
        <v>0.750342465753424</v>
      </c>
      <c r="G5600">
        <v>39.8322305679321</v>
      </c>
      <c r="H5600">
        <v>2</v>
      </c>
      <c r="I5600">
        <v>2</v>
      </c>
      <c r="J5600">
        <v>30</v>
      </c>
    </row>
    <row r="5601" spans="1:10" x14ac:dyDescent="0.25">
      <c r="A5601" t="s">
        <v>25</v>
      </c>
      <c r="B5601" t="s">
        <v>20</v>
      </c>
      <c r="C5601" t="s">
        <v>18</v>
      </c>
      <c r="D5601" t="s">
        <v>14</v>
      </c>
      <c r="E5601">
        <v>2.7397260273972599E-3</v>
      </c>
      <c r="F5601">
        <v>0.75049295511205405</v>
      </c>
      <c r="G5601">
        <v>39.971324920654297</v>
      </c>
      <c r="H5601">
        <v>2</v>
      </c>
      <c r="I5601">
        <v>2</v>
      </c>
      <c r="J5601">
        <v>30</v>
      </c>
    </row>
    <row r="5602" spans="1:10" x14ac:dyDescent="0.25">
      <c r="A5602" t="s">
        <v>25</v>
      </c>
      <c r="B5602" t="s">
        <v>20</v>
      </c>
      <c r="C5602" t="s">
        <v>18</v>
      </c>
      <c r="D5602" t="s">
        <v>14</v>
      </c>
      <c r="E5602">
        <v>3.6529680365296798E-3</v>
      </c>
      <c r="F5602">
        <v>0.75062428652968005</v>
      </c>
      <c r="G5602">
        <v>40.145596265792797</v>
      </c>
      <c r="H5602">
        <v>2</v>
      </c>
      <c r="I5602">
        <v>2</v>
      </c>
      <c r="J5602">
        <v>30</v>
      </c>
    </row>
    <row r="5603" spans="1:10" x14ac:dyDescent="0.25">
      <c r="A5603" t="s">
        <v>25</v>
      </c>
      <c r="B5603" t="s">
        <v>20</v>
      </c>
      <c r="C5603" t="s">
        <v>18</v>
      </c>
      <c r="D5603" t="s">
        <v>14</v>
      </c>
      <c r="E5603">
        <v>9.1324200913241995E-4</v>
      </c>
      <c r="F5603">
        <v>0.75017708384876702</v>
      </c>
      <c r="G5603">
        <v>40.769296169280999</v>
      </c>
      <c r="H5603">
        <v>2</v>
      </c>
      <c r="I5603">
        <v>2</v>
      </c>
      <c r="J5603">
        <v>30</v>
      </c>
    </row>
    <row r="5604" spans="1:10" x14ac:dyDescent="0.25">
      <c r="A5604" t="s">
        <v>25</v>
      </c>
      <c r="B5604" t="s">
        <v>20</v>
      </c>
      <c r="C5604" t="s">
        <v>18</v>
      </c>
      <c r="D5604" t="s">
        <v>14</v>
      </c>
      <c r="E5604">
        <v>2.7397260273972599E-3</v>
      </c>
      <c r="F5604">
        <v>0.75049295511205405</v>
      </c>
      <c r="G5604">
        <v>40.794739484786902</v>
      </c>
      <c r="H5604">
        <v>2</v>
      </c>
      <c r="I5604">
        <v>2</v>
      </c>
      <c r="J5604">
        <v>30</v>
      </c>
    </row>
    <row r="5605" spans="1:10" x14ac:dyDescent="0.25">
      <c r="A5605" t="s">
        <v>25</v>
      </c>
      <c r="B5605" t="s">
        <v>20</v>
      </c>
      <c r="C5605" t="s">
        <v>18</v>
      </c>
      <c r="D5605" t="s">
        <v>14</v>
      </c>
      <c r="E5605">
        <v>9.1324200913241995E-4</v>
      </c>
      <c r="F5605">
        <v>0.75017708384876702</v>
      </c>
      <c r="G5605">
        <v>40.941186666488598</v>
      </c>
      <c r="H5605">
        <v>2</v>
      </c>
      <c r="I5605">
        <v>2</v>
      </c>
      <c r="J5605">
        <v>30</v>
      </c>
    </row>
    <row r="5606" spans="1:10" x14ac:dyDescent="0.25">
      <c r="A5606" t="s">
        <v>25</v>
      </c>
      <c r="B5606" t="s">
        <v>20</v>
      </c>
      <c r="C5606" t="s">
        <v>18</v>
      </c>
      <c r="D5606" t="s">
        <v>14</v>
      </c>
      <c r="E5606">
        <v>1.8264840182648399E-3</v>
      </c>
      <c r="F5606">
        <v>0.750342465753424</v>
      </c>
      <c r="G5606">
        <v>41.009573221206601</v>
      </c>
      <c r="H5606">
        <v>2</v>
      </c>
      <c r="I5606">
        <v>2</v>
      </c>
      <c r="J5606">
        <v>30</v>
      </c>
    </row>
    <row r="5607" spans="1:10" x14ac:dyDescent="0.25">
      <c r="A5607" t="s">
        <v>25</v>
      </c>
      <c r="B5607" t="s">
        <v>20</v>
      </c>
      <c r="C5607" t="s">
        <v>18</v>
      </c>
      <c r="D5607" t="s">
        <v>14</v>
      </c>
      <c r="E5607">
        <v>2.7397260273972599E-3</v>
      </c>
      <c r="F5607">
        <v>0.75049295511205405</v>
      </c>
      <c r="G5607">
        <v>41.067415952682403</v>
      </c>
      <c r="H5607">
        <v>2</v>
      </c>
      <c r="I5607">
        <v>2</v>
      </c>
      <c r="J5607">
        <v>30</v>
      </c>
    </row>
    <row r="5608" spans="1:10" x14ac:dyDescent="0.25">
      <c r="A5608" t="s">
        <v>25</v>
      </c>
      <c r="B5608" t="s">
        <v>20</v>
      </c>
      <c r="C5608" t="s">
        <v>18</v>
      </c>
      <c r="D5608" t="s">
        <v>14</v>
      </c>
      <c r="E5608">
        <v>2.7397260273972599E-3</v>
      </c>
      <c r="F5608">
        <v>0.75049295511205405</v>
      </c>
      <c r="G5608">
        <v>41.0673375129699</v>
      </c>
      <c r="H5608">
        <v>2</v>
      </c>
      <c r="I5608">
        <v>2</v>
      </c>
      <c r="J5608">
        <v>30</v>
      </c>
    </row>
    <row r="5609" spans="1:10" x14ac:dyDescent="0.25">
      <c r="A5609" t="s">
        <v>25</v>
      </c>
      <c r="B5609" t="s">
        <v>20</v>
      </c>
      <c r="C5609" t="s">
        <v>18</v>
      </c>
      <c r="D5609" t="s">
        <v>14</v>
      </c>
      <c r="E5609">
        <v>0</v>
      </c>
      <c r="F5609">
        <v>0.75</v>
      </c>
      <c r="G5609">
        <v>41.2595279216766</v>
      </c>
      <c r="H5609">
        <v>2</v>
      </c>
      <c r="I5609">
        <v>2</v>
      </c>
      <c r="J5609">
        <v>30</v>
      </c>
    </row>
    <row r="5610" spans="1:10" x14ac:dyDescent="0.25">
      <c r="A5610" t="s">
        <v>25</v>
      </c>
      <c r="B5610" t="s">
        <v>20</v>
      </c>
      <c r="C5610" t="s">
        <v>18</v>
      </c>
      <c r="D5610" t="s">
        <v>14</v>
      </c>
      <c r="E5610">
        <v>2.7397260273972599E-3</v>
      </c>
      <c r="F5610">
        <v>0.75049295511205405</v>
      </c>
      <c r="G5610">
        <v>41.334759235382002</v>
      </c>
      <c r="H5610">
        <v>2</v>
      </c>
      <c r="I5610">
        <v>2</v>
      </c>
      <c r="J5610">
        <v>30</v>
      </c>
    </row>
    <row r="5611" spans="1:10" x14ac:dyDescent="0.25">
      <c r="A5611" t="s">
        <v>25</v>
      </c>
      <c r="B5611" t="s">
        <v>20</v>
      </c>
      <c r="C5611" t="s">
        <v>18</v>
      </c>
      <c r="D5611" t="s">
        <v>14</v>
      </c>
      <c r="E5611">
        <v>2.7397260273972599E-3</v>
      </c>
      <c r="F5611">
        <v>0.75049295511205405</v>
      </c>
      <c r="G5611">
        <v>41.477877616882303</v>
      </c>
      <c r="H5611">
        <v>2</v>
      </c>
      <c r="I5611">
        <v>2</v>
      </c>
      <c r="J5611">
        <v>30</v>
      </c>
    </row>
    <row r="5612" spans="1:10" x14ac:dyDescent="0.25">
      <c r="A5612" t="s">
        <v>25</v>
      </c>
      <c r="B5612" t="s">
        <v>20</v>
      </c>
      <c r="C5612" t="s">
        <v>18</v>
      </c>
      <c r="D5612" t="s">
        <v>15</v>
      </c>
      <c r="E5612">
        <v>0</v>
      </c>
      <c r="F5612">
        <v>0.75</v>
      </c>
      <c r="G5612">
        <v>21.801184892654401</v>
      </c>
      <c r="H5612">
        <v>0</v>
      </c>
      <c r="I5612">
        <v>0</v>
      </c>
      <c r="J5612">
        <v>30</v>
      </c>
    </row>
    <row r="5613" spans="1:10" x14ac:dyDescent="0.25">
      <c r="A5613" t="s">
        <v>25</v>
      </c>
      <c r="B5613" t="s">
        <v>20</v>
      </c>
      <c r="C5613" t="s">
        <v>18</v>
      </c>
      <c r="D5613" t="s">
        <v>15</v>
      </c>
      <c r="E5613">
        <v>0</v>
      </c>
      <c r="F5613">
        <v>0.75</v>
      </c>
      <c r="G5613">
        <v>24.149048328399601</v>
      </c>
      <c r="H5613">
        <v>0</v>
      </c>
      <c r="I5613">
        <v>0</v>
      </c>
      <c r="J5613">
        <v>30</v>
      </c>
    </row>
    <row r="5614" spans="1:10" x14ac:dyDescent="0.25">
      <c r="A5614" t="s">
        <v>25</v>
      </c>
      <c r="B5614" t="s">
        <v>20</v>
      </c>
      <c r="C5614" t="s">
        <v>18</v>
      </c>
      <c r="D5614" t="s">
        <v>15</v>
      </c>
      <c r="E5614">
        <v>0</v>
      </c>
      <c r="F5614">
        <v>0.75</v>
      </c>
      <c r="G5614">
        <v>24.8026909828186</v>
      </c>
      <c r="H5614">
        <v>0</v>
      </c>
      <c r="I5614">
        <v>0</v>
      </c>
      <c r="J5614">
        <v>30</v>
      </c>
    </row>
    <row r="5615" spans="1:10" x14ac:dyDescent="0.25">
      <c r="A5615" t="s">
        <v>25</v>
      </c>
      <c r="B5615" t="s">
        <v>20</v>
      </c>
      <c r="C5615" t="s">
        <v>18</v>
      </c>
      <c r="D5615" t="s">
        <v>15</v>
      </c>
      <c r="E5615">
        <v>0</v>
      </c>
      <c r="F5615">
        <v>0.75</v>
      </c>
      <c r="G5615">
        <v>25.664350509643501</v>
      </c>
      <c r="H5615">
        <v>0</v>
      </c>
      <c r="I5615">
        <v>0</v>
      </c>
      <c r="J5615">
        <v>30</v>
      </c>
    </row>
    <row r="5616" spans="1:10" x14ac:dyDescent="0.25">
      <c r="A5616" t="s">
        <v>25</v>
      </c>
      <c r="B5616" t="s">
        <v>20</v>
      </c>
      <c r="C5616" t="s">
        <v>18</v>
      </c>
      <c r="D5616" t="s">
        <v>15</v>
      </c>
      <c r="E5616">
        <v>0.90319634703196305</v>
      </c>
      <c r="F5616">
        <v>0.91301509302191697</v>
      </c>
      <c r="G5616">
        <v>28.892432928085299</v>
      </c>
      <c r="H5616">
        <v>9</v>
      </c>
      <c r="I5616">
        <v>18</v>
      </c>
      <c r="J5616">
        <v>30</v>
      </c>
    </row>
    <row r="5617" spans="1:10" x14ac:dyDescent="0.25">
      <c r="A5617" t="s">
        <v>25</v>
      </c>
      <c r="B5617" t="s">
        <v>20</v>
      </c>
      <c r="C5617" t="s">
        <v>18</v>
      </c>
      <c r="D5617" t="s">
        <v>15</v>
      </c>
      <c r="E5617">
        <v>0.89497716894977097</v>
      </c>
      <c r="F5617">
        <v>0.90752101950794695</v>
      </c>
      <c r="G5617">
        <v>49.893897533416698</v>
      </c>
      <c r="H5617">
        <v>7</v>
      </c>
      <c r="I5617">
        <v>11</v>
      </c>
      <c r="J5617">
        <v>30</v>
      </c>
    </row>
    <row r="5618" spans="1:10" x14ac:dyDescent="0.25">
      <c r="A5618" t="s">
        <v>25</v>
      </c>
      <c r="B5618" t="s">
        <v>20</v>
      </c>
      <c r="C5618" t="s">
        <v>18</v>
      </c>
      <c r="D5618" t="s">
        <v>15</v>
      </c>
      <c r="E5618">
        <v>0.90228310502283104</v>
      </c>
      <c r="F5618">
        <v>0.91252536411762497</v>
      </c>
      <c r="G5618">
        <v>63.642808675765899</v>
      </c>
      <c r="H5618">
        <v>11</v>
      </c>
      <c r="I5618">
        <v>22</v>
      </c>
      <c r="J5618">
        <v>30</v>
      </c>
    </row>
    <row r="5619" spans="1:10" x14ac:dyDescent="0.25">
      <c r="A5619" t="s">
        <v>25</v>
      </c>
      <c r="B5619" t="s">
        <v>20</v>
      </c>
      <c r="C5619" t="s">
        <v>18</v>
      </c>
      <c r="D5619" t="s">
        <v>15</v>
      </c>
      <c r="E5619">
        <v>0.88127853881278495</v>
      </c>
      <c r="F5619">
        <v>0.89700624793607098</v>
      </c>
      <c r="G5619">
        <v>66.285982847213702</v>
      </c>
      <c r="H5619">
        <v>7</v>
      </c>
      <c r="I5619">
        <v>12</v>
      </c>
      <c r="J5619">
        <v>30</v>
      </c>
    </row>
    <row r="5620" spans="1:10" x14ac:dyDescent="0.25">
      <c r="A5620" t="s">
        <v>25</v>
      </c>
      <c r="B5620" t="s">
        <v>20</v>
      </c>
      <c r="C5620" t="s">
        <v>18</v>
      </c>
      <c r="D5620" t="s">
        <v>15</v>
      </c>
      <c r="E5620">
        <v>0.89863013698630101</v>
      </c>
      <c r="F5620">
        <v>0.90974602194958898</v>
      </c>
      <c r="G5620">
        <v>71.654320001602102</v>
      </c>
      <c r="H5620">
        <v>13</v>
      </c>
      <c r="I5620">
        <v>25</v>
      </c>
      <c r="J5620">
        <v>30</v>
      </c>
    </row>
    <row r="5621" spans="1:10" x14ac:dyDescent="0.25">
      <c r="A5621" t="s">
        <v>25</v>
      </c>
      <c r="B5621" t="s">
        <v>20</v>
      </c>
      <c r="C5621" t="s">
        <v>18</v>
      </c>
      <c r="D5621" t="s">
        <v>15</v>
      </c>
      <c r="E5621">
        <v>0.886757990867579</v>
      </c>
      <c r="F5621">
        <v>0.90178128412018399</v>
      </c>
      <c r="G5621">
        <v>82.880113840103107</v>
      </c>
      <c r="H5621">
        <v>6</v>
      </c>
      <c r="I5621">
        <v>12</v>
      </c>
      <c r="J5621">
        <v>30</v>
      </c>
    </row>
    <row r="5622" spans="1:10" x14ac:dyDescent="0.25">
      <c r="A5622" t="s">
        <v>25</v>
      </c>
      <c r="B5622" t="s">
        <v>20</v>
      </c>
      <c r="C5622" t="s">
        <v>18</v>
      </c>
      <c r="D5622" t="s">
        <v>15</v>
      </c>
      <c r="E5622">
        <v>0.88310502283104997</v>
      </c>
      <c r="F5622">
        <v>0.89767064586200995</v>
      </c>
      <c r="G5622">
        <v>83.148850679397498</v>
      </c>
      <c r="H5622">
        <v>9</v>
      </c>
      <c r="I5622">
        <v>17</v>
      </c>
      <c r="J5622">
        <v>30</v>
      </c>
    </row>
    <row r="5623" spans="1:10" x14ac:dyDescent="0.25">
      <c r="A5623" t="s">
        <v>25</v>
      </c>
      <c r="B5623" t="s">
        <v>20</v>
      </c>
      <c r="C5623" t="s">
        <v>18</v>
      </c>
      <c r="D5623" t="s">
        <v>15</v>
      </c>
      <c r="E5623">
        <v>0.88127853881278495</v>
      </c>
      <c r="F5623">
        <v>0.89751198175926805</v>
      </c>
      <c r="G5623">
        <v>83.741660833358694</v>
      </c>
      <c r="H5623">
        <v>12</v>
      </c>
      <c r="I5623">
        <v>23</v>
      </c>
      <c r="J5623">
        <v>30</v>
      </c>
    </row>
    <row r="5624" spans="1:10" x14ac:dyDescent="0.25">
      <c r="A5624" t="s">
        <v>25</v>
      </c>
      <c r="B5624" t="s">
        <v>20</v>
      </c>
      <c r="C5624" t="s">
        <v>18</v>
      </c>
      <c r="D5624" t="s">
        <v>15</v>
      </c>
      <c r="E5624">
        <v>0.89315068493150596</v>
      </c>
      <c r="F5624">
        <v>0.904929363823743</v>
      </c>
      <c r="G5624">
        <v>102.818098783493</v>
      </c>
      <c r="H5624">
        <v>16</v>
      </c>
      <c r="I5624">
        <v>33</v>
      </c>
      <c r="J5624">
        <v>30</v>
      </c>
    </row>
    <row r="5625" spans="1:10" x14ac:dyDescent="0.25">
      <c r="A5625" t="s">
        <v>25</v>
      </c>
      <c r="B5625" t="s">
        <v>20</v>
      </c>
      <c r="C5625" t="s">
        <v>18</v>
      </c>
      <c r="D5625" t="s">
        <v>15</v>
      </c>
      <c r="E5625">
        <v>0.89041095890410904</v>
      </c>
      <c r="F5625">
        <v>0.90196898837141504</v>
      </c>
      <c r="G5625">
        <v>107.70269227027801</v>
      </c>
      <c r="H5625">
        <v>14</v>
      </c>
      <c r="I5625">
        <v>27</v>
      </c>
      <c r="J5625">
        <v>30</v>
      </c>
    </row>
    <row r="5626" spans="1:10" x14ac:dyDescent="0.25">
      <c r="A5626" t="s">
        <v>25</v>
      </c>
      <c r="B5626" t="s">
        <v>20</v>
      </c>
      <c r="C5626" t="s">
        <v>18</v>
      </c>
      <c r="D5626" t="s">
        <v>15</v>
      </c>
      <c r="E5626">
        <v>0.89680365296803599</v>
      </c>
      <c r="F5626">
        <v>0.91115875509443001</v>
      </c>
      <c r="G5626">
        <v>108.747509956359</v>
      </c>
      <c r="H5626">
        <v>13</v>
      </c>
      <c r="I5626">
        <v>33</v>
      </c>
      <c r="J5626">
        <v>30</v>
      </c>
    </row>
    <row r="5627" spans="1:10" x14ac:dyDescent="0.25">
      <c r="A5627" t="s">
        <v>25</v>
      </c>
      <c r="B5627" t="s">
        <v>20</v>
      </c>
      <c r="C5627" t="s">
        <v>18</v>
      </c>
      <c r="D5627" t="s">
        <v>15</v>
      </c>
      <c r="E5627">
        <v>0.89406392694063896</v>
      </c>
      <c r="F5627">
        <v>0.90744264075105097</v>
      </c>
      <c r="G5627">
        <v>109.161989927291</v>
      </c>
      <c r="H5627">
        <v>11</v>
      </c>
      <c r="I5627">
        <v>23</v>
      </c>
      <c r="J5627">
        <v>30</v>
      </c>
    </row>
    <row r="5628" spans="1:10" x14ac:dyDescent="0.25">
      <c r="A5628" t="s">
        <v>25</v>
      </c>
      <c r="B5628" t="s">
        <v>20</v>
      </c>
      <c r="C5628" t="s">
        <v>18</v>
      </c>
      <c r="D5628" t="s">
        <v>15</v>
      </c>
      <c r="E5628">
        <v>0.89497716894977097</v>
      </c>
      <c r="F5628">
        <v>0.91099081173004404</v>
      </c>
      <c r="G5628">
        <v>120.58552885055499</v>
      </c>
      <c r="H5628">
        <v>14</v>
      </c>
      <c r="I5628">
        <v>39</v>
      </c>
      <c r="J5628">
        <v>30</v>
      </c>
    </row>
    <row r="5629" spans="1:10" x14ac:dyDescent="0.25">
      <c r="A5629" t="s">
        <v>25</v>
      </c>
      <c r="B5629" t="s">
        <v>20</v>
      </c>
      <c r="C5629" t="s">
        <v>18</v>
      </c>
      <c r="D5629" t="s">
        <v>15</v>
      </c>
      <c r="E5629">
        <v>0.90319634703196305</v>
      </c>
      <c r="F5629">
        <v>0.91299515993369695</v>
      </c>
      <c r="G5629">
        <v>128.267427206039</v>
      </c>
      <c r="H5629">
        <v>14</v>
      </c>
      <c r="I5629">
        <v>36</v>
      </c>
      <c r="J5629">
        <v>30</v>
      </c>
    </row>
    <row r="5630" spans="1:10" x14ac:dyDescent="0.25">
      <c r="A5630" t="s">
        <v>25</v>
      </c>
      <c r="B5630" t="s">
        <v>20</v>
      </c>
      <c r="C5630" t="s">
        <v>18</v>
      </c>
      <c r="D5630" t="s">
        <v>15</v>
      </c>
      <c r="E5630">
        <v>0.90136986301369804</v>
      </c>
      <c r="F5630">
        <v>0.91258181742465905</v>
      </c>
      <c r="G5630">
        <v>128.77171802520701</v>
      </c>
      <c r="H5630">
        <v>16</v>
      </c>
      <c r="I5630">
        <v>34</v>
      </c>
      <c r="J5630">
        <v>30</v>
      </c>
    </row>
    <row r="5631" spans="1:10" x14ac:dyDescent="0.25">
      <c r="A5631" t="s">
        <v>25</v>
      </c>
      <c r="B5631" t="s">
        <v>20</v>
      </c>
      <c r="C5631" t="s">
        <v>18</v>
      </c>
      <c r="D5631" t="s">
        <v>15</v>
      </c>
      <c r="E5631">
        <v>0.89954337899543302</v>
      </c>
      <c r="F5631">
        <v>0.911379632032146</v>
      </c>
      <c r="G5631">
        <v>136.61432838439899</v>
      </c>
      <c r="H5631">
        <v>11</v>
      </c>
      <c r="I5631">
        <v>32</v>
      </c>
      <c r="J5631">
        <v>30</v>
      </c>
    </row>
    <row r="5632" spans="1:10" x14ac:dyDescent="0.25">
      <c r="A5632" t="s">
        <v>25</v>
      </c>
      <c r="B5632" t="s">
        <v>20</v>
      </c>
      <c r="C5632" t="s">
        <v>18</v>
      </c>
      <c r="D5632" t="s">
        <v>15</v>
      </c>
      <c r="E5632">
        <v>0.885844748858447</v>
      </c>
      <c r="F5632">
        <v>0.90042863090894998</v>
      </c>
      <c r="G5632">
        <v>138.033152580261</v>
      </c>
      <c r="H5632">
        <v>19</v>
      </c>
      <c r="I5632">
        <v>45</v>
      </c>
      <c r="J5632">
        <v>30</v>
      </c>
    </row>
    <row r="5633" spans="1:10" x14ac:dyDescent="0.25">
      <c r="A5633" t="s">
        <v>25</v>
      </c>
      <c r="B5633" t="s">
        <v>20</v>
      </c>
      <c r="C5633" t="s">
        <v>18</v>
      </c>
      <c r="D5633" t="s">
        <v>15</v>
      </c>
      <c r="E5633">
        <v>0.90045662100456603</v>
      </c>
      <c r="F5633">
        <v>0.91458390487999897</v>
      </c>
      <c r="G5633">
        <v>138.791715860366</v>
      </c>
      <c r="H5633">
        <v>18</v>
      </c>
      <c r="I5633">
        <v>45</v>
      </c>
      <c r="J5633">
        <v>30</v>
      </c>
    </row>
    <row r="5634" spans="1:10" x14ac:dyDescent="0.25">
      <c r="A5634" t="s">
        <v>25</v>
      </c>
      <c r="B5634" t="s">
        <v>20</v>
      </c>
      <c r="C5634" t="s">
        <v>18</v>
      </c>
      <c r="D5634" t="s">
        <v>15</v>
      </c>
      <c r="E5634">
        <v>0.90410958904109495</v>
      </c>
      <c r="F5634">
        <v>0.91490570780958802</v>
      </c>
      <c r="G5634">
        <v>140.615727901458</v>
      </c>
      <c r="H5634">
        <v>18</v>
      </c>
      <c r="I5634">
        <v>36</v>
      </c>
      <c r="J5634">
        <v>30</v>
      </c>
    </row>
    <row r="5635" spans="1:10" x14ac:dyDescent="0.25">
      <c r="A5635" t="s">
        <v>25</v>
      </c>
      <c r="B5635" t="s">
        <v>20</v>
      </c>
      <c r="C5635" t="s">
        <v>18</v>
      </c>
      <c r="D5635" t="s">
        <v>15</v>
      </c>
      <c r="E5635">
        <v>0.90045662100456603</v>
      </c>
      <c r="F5635">
        <v>0.91153195179086599</v>
      </c>
      <c r="G5635">
        <v>144.532017707824</v>
      </c>
      <c r="H5635">
        <v>20</v>
      </c>
      <c r="I5635">
        <v>35</v>
      </c>
      <c r="J5635">
        <v>30</v>
      </c>
    </row>
    <row r="5636" spans="1:10" x14ac:dyDescent="0.25">
      <c r="A5636" t="s">
        <v>25</v>
      </c>
      <c r="B5636" t="s">
        <v>20</v>
      </c>
      <c r="C5636" t="s">
        <v>18</v>
      </c>
      <c r="D5636" t="s">
        <v>15</v>
      </c>
      <c r="E5636">
        <v>0.89132420091324205</v>
      </c>
      <c r="F5636">
        <v>0.90713665596100401</v>
      </c>
      <c r="G5636">
        <v>144.80666494369501</v>
      </c>
      <c r="H5636">
        <v>11</v>
      </c>
      <c r="I5636">
        <v>21</v>
      </c>
      <c r="J5636">
        <v>30</v>
      </c>
    </row>
    <row r="5637" spans="1:10" x14ac:dyDescent="0.25">
      <c r="A5637" t="s">
        <v>25</v>
      </c>
      <c r="B5637" t="s">
        <v>20</v>
      </c>
      <c r="C5637" t="s">
        <v>18</v>
      </c>
      <c r="D5637" t="s">
        <v>15</v>
      </c>
      <c r="E5637">
        <v>0.89589041095890398</v>
      </c>
      <c r="F5637">
        <v>0.90889879289716802</v>
      </c>
      <c r="G5637">
        <v>146.99655055999699</v>
      </c>
      <c r="H5637">
        <v>16</v>
      </c>
      <c r="I5637">
        <v>35</v>
      </c>
      <c r="J5637">
        <v>30</v>
      </c>
    </row>
    <row r="5638" spans="1:10" x14ac:dyDescent="0.25">
      <c r="A5638" t="s">
        <v>25</v>
      </c>
      <c r="B5638" t="s">
        <v>20</v>
      </c>
      <c r="C5638" t="s">
        <v>18</v>
      </c>
      <c r="D5638" t="s">
        <v>15</v>
      </c>
      <c r="E5638">
        <v>0.88493150684931499</v>
      </c>
      <c r="F5638">
        <v>0.90115078473662003</v>
      </c>
      <c r="G5638">
        <v>147.48169851303101</v>
      </c>
      <c r="H5638">
        <v>19</v>
      </c>
      <c r="I5638">
        <v>34</v>
      </c>
      <c r="J5638">
        <v>30</v>
      </c>
    </row>
    <row r="5639" spans="1:10" x14ac:dyDescent="0.25">
      <c r="A5639" t="s">
        <v>25</v>
      </c>
      <c r="B5639" t="s">
        <v>20</v>
      </c>
      <c r="C5639" t="s">
        <v>18</v>
      </c>
      <c r="D5639" t="s">
        <v>15</v>
      </c>
      <c r="E5639">
        <v>0.88127853881278495</v>
      </c>
      <c r="F5639">
        <v>0.90044506205049901</v>
      </c>
      <c r="G5639">
        <v>155.626886606216</v>
      </c>
      <c r="H5639">
        <v>22</v>
      </c>
      <c r="I5639">
        <v>55</v>
      </c>
      <c r="J5639">
        <v>30</v>
      </c>
    </row>
    <row r="5640" spans="1:10" x14ac:dyDescent="0.25">
      <c r="A5640" t="s">
        <v>25</v>
      </c>
      <c r="B5640" t="s">
        <v>20</v>
      </c>
      <c r="C5640" t="s">
        <v>18</v>
      </c>
      <c r="D5640" t="s">
        <v>15</v>
      </c>
      <c r="E5640">
        <v>0.89589041095890398</v>
      </c>
      <c r="F5640">
        <v>0.90906014643981503</v>
      </c>
      <c r="G5640">
        <v>164.19480299949601</v>
      </c>
      <c r="H5640">
        <v>30</v>
      </c>
      <c r="I5640">
        <v>66</v>
      </c>
      <c r="J5640">
        <v>30</v>
      </c>
    </row>
    <row r="5641" spans="1:10" x14ac:dyDescent="0.25">
      <c r="A5641" t="s">
        <v>25</v>
      </c>
      <c r="B5641" t="s">
        <v>20</v>
      </c>
      <c r="C5641" t="s">
        <v>18</v>
      </c>
      <c r="D5641" t="s">
        <v>15</v>
      </c>
      <c r="E5641">
        <v>4.5662100456621002E-3</v>
      </c>
      <c r="F5641">
        <v>0.75021689497716904</v>
      </c>
      <c r="G5641">
        <v>168.636155128479</v>
      </c>
      <c r="H5641">
        <v>25</v>
      </c>
      <c r="I5641">
        <v>56</v>
      </c>
      <c r="J5641">
        <v>30</v>
      </c>
    </row>
    <row r="5642" spans="1:10" x14ac:dyDescent="0.25">
      <c r="A5642" t="s">
        <v>25</v>
      </c>
      <c r="B5642" t="s">
        <v>20</v>
      </c>
      <c r="C5642" t="s">
        <v>18</v>
      </c>
      <c r="D5642" t="s">
        <v>16</v>
      </c>
      <c r="E5642">
        <v>0</v>
      </c>
      <c r="F5642">
        <v>0.75</v>
      </c>
      <c r="G5642">
        <v>4.4902024269104004</v>
      </c>
      <c r="H5642">
        <v>0</v>
      </c>
      <c r="I5642">
        <v>0</v>
      </c>
      <c r="J5642">
        <v>30</v>
      </c>
    </row>
    <row r="5643" spans="1:10" x14ac:dyDescent="0.25">
      <c r="A5643" t="s">
        <v>25</v>
      </c>
      <c r="B5643" t="s">
        <v>20</v>
      </c>
      <c r="C5643" t="s">
        <v>18</v>
      </c>
      <c r="D5643" t="s">
        <v>16</v>
      </c>
      <c r="E5643">
        <v>0</v>
      </c>
      <c r="F5643">
        <v>0.75</v>
      </c>
      <c r="G5643">
        <v>4.6559870243072501</v>
      </c>
      <c r="H5643">
        <v>0</v>
      </c>
      <c r="I5643">
        <v>0</v>
      </c>
      <c r="J5643">
        <v>30</v>
      </c>
    </row>
    <row r="5644" spans="1:10" x14ac:dyDescent="0.25">
      <c r="A5644" t="s">
        <v>25</v>
      </c>
      <c r="B5644" t="s">
        <v>20</v>
      </c>
      <c r="C5644" t="s">
        <v>18</v>
      </c>
      <c r="D5644" t="s">
        <v>16</v>
      </c>
      <c r="E5644">
        <v>0</v>
      </c>
      <c r="F5644">
        <v>0.75</v>
      </c>
      <c r="G5644">
        <v>4.9681358337402299</v>
      </c>
      <c r="H5644">
        <v>0</v>
      </c>
      <c r="I5644">
        <v>0</v>
      </c>
      <c r="J5644">
        <v>30</v>
      </c>
    </row>
    <row r="5645" spans="1:10" x14ac:dyDescent="0.25">
      <c r="A5645" t="s">
        <v>25</v>
      </c>
      <c r="B5645" t="s">
        <v>20</v>
      </c>
      <c r="C5645" t="s">
        <v>18</v>
      </c>
      <c r="D5645" t="s">
        <v>16</v>
      </c>
      <c r="E5645">
        <v>0</v>
      </c>
      <c r="F5645">
        <v>0.75</v>
      </c>
      <c r="G5645">
        <v>4.9765558242797798</v>
      </c>
      <c r="H5645">
        <v>0</v>
      </c>
      <c r="I5645">
        <v>0</v>
      </c>
      <c r="J5645">
        <v>30</v>
      </c>
    </row>
    <row r="5646" spans="1:10" x14ac:dyDescent="0.25">
      <c r="A5646" t="s">
        <v>25</v>
      </c>
      <c r="B5646" t="s">
        <v>20</v>
      </c>
      <c r="C5646" t="s">
        <v>18</v>
      </c>
      <c r="D5646" t="s">
        <v>16</v>
      </c>
      <c r="E5646">
        <v>0</v>
      </c>
      <c r="F5646">
        <v>0.75</v>
      </c>
      <c r="G5646">
        <v>5.0076839923858598</v>
      </c>
      <c r="H5646">
        <v>0</v>
      </c>
      <c r="I5646">
        <v>0</v>
      </c>
      <c r="J5646">
        <v>30</v>
      </c>
    </row>
    <row r="5647" spans="1:10" x14ac:dyDescent="0.25">
      <c r="A5647" t="s">
        <v>25</v>
      </c>
      <c r="B5647" t="s">
        <v>20</v>
      </c>
      <c r="C5647" t="s">
        <v>18</v>
      </c>
      <c r="D5647" t="s">
        <v>16</v>
      </c>
      <c r="E5647">
        <v>0</v>
      </c>
      <c r="F5647">
        <v>0.75</v>
      </c>
      <c r="G5647">
        <v>5.0960919857025102</v>
      </c>
      <c r="H5647">
        <v>0</v>
      </c>
      <c r="I5647">
        <v>0</v>
      </c>
      <c r="J5647">
        <v>30</v>
      </c>
    </row>
    <row r="5648" spans="1:10" x14ac:dyDescent="0.25">
      <c r="A5648" t="s">
        <v>25</v>
      </c>
      <c r="B5648" t="s">
        <v>20</v>
      </c>
      <c r="C5648" t="s">
        <v>18</v>
      </c>
      <c r="D5648" t="s">
        <v>16</v>
      </c>
      <c r="E5648">
        <v>0</v>
      </c>
      <c r="F5648">
        <v>0.75</v>
      </c>
      <c r="G5648">
        <v>5.1357111930847097</v>
      </c>
      <c r="H5648">
        <v>0</v>
      </c>
      <c r="I5648">
        <v>0</v>
      </c>
      <c r="J5648">
        <v>30</v>
      </c>
    </row>
    <row r="5649" spans="1:10" x14ac:dyDescent="0.25">
      <c r="A5649" t="s">
        <v>25</v>
      </c>
      <c r="B5649" t="s">
        <v>20</v>
      </c>
      <c r="C5649" t="s">
        <v>18</v>
      </c>
      <c r="D5649" t="s">
        <v>16</v>
      </c>
      <c r="E5649">
        <v>0</v>
      </c>
      <c r="F5649">
        <v>0.75</v>
      </c>
      <c r="G5649">
        <v>5.1752860546111998</v>
      </c>
      <c r="H5649">
        <v>0</v>
      </c>
      <c r="I5649">
        <v>0</v>
      </c>
      <c r="J5649">
        <v>30</v>
      </c>
    </row>
    <row r="5650" spans="1:10" x14ac:dyDescent="0.25">
      <c r="A5650" t="s">
        <v>25</v>
      </c>
      <c r="B5650" t="s">
        <v>20</v>
      </c>
      <c r="C5650" t="s">
        <v>18</v>
      </c>
      <c r="D5650" t="s">
        <v>16</v>
      </c>
      <c r="E5650">
        <v>0</v>
      </c>
      <c r="F5650">
        <v>0.75</v>
      </c>
      <c r="G5650">
        <v>5.24666428565979</v>
      </c>
      <c r="H5650">
        <v>0</v>
      </c>
      <c r="I5650">
        <v>0</v>
      </c>
      <c r="J5650">
        <v>30</v>
      </c>
    </row>
    <row r="5651" spans="1:10" x14ac:dyDescent="0.25">
      <c r="A5651" t="s">
        <v>25</v>
      </c>
      <c r="B5651" t="s">
        <v>20</v>
      </c>
      <c r="C5651" t="s">
        <v>18</v>
      </c>
      <c r="D5651" t="s">
        <v>16</v>
      </c>
      <c r="E5651">
        <v>0</v>
      </c>
      <c r="F5651">
        <v>0.75</v>
      </c>
      <c r="G5651">
        <v>5.3373515605926496</v>
      </c>
      <c r="H5651">
        <v>0</v>
      </c>
      <c r="I5651">
        <v>0</v>
      </c>
      <c r="J5651">
        <v>30</v>
      </c>
    </row>
    <row r="5652" spans="1:10" x14ac:dyDescent="0.25">
      <c r="A5652" t="s">
        <v>25</v>
      </c>
      <c r="B5652" t="s">
        <v>20</v>
      </c>
      <c r="C5652" t="s">
        <v>18</v>
      </c>
      <c r="D5652" t="s">
        <v>16</v>
      </c>
      <c r="E5652">
        <v>0</v>
      </c>
      <c r="F5652">
        <v>0.75</v>
      </c>
      <c r="G5652">
        <v>5.4152097702026296</v>
      </c>
      <c r="H5652">
        <v>0</v>
      </c>
      <c r="I5652">
        <v>0</v>
      </c>
      <c r="J5652">
        <v>30</v>
      </c>
    </row>
    <row r="5653" spans="1:10" x14ac:dyDescent="0.25">
      <c r="A5653" t="s">
        <v>25</v>
      </c>
      <c r="B5653" t="s">
        <v>20</v>
      </c>
      <c r="C5653" t="s">
        <v>18</v>
      </c>
      <c r="D5653" t="s">
        <v>16</v>
      </c>
      <c r="E5653">
        <v>0</v>
      </c>
      <c r="F5653">
        <v>0.75</v>
      </c>
      <c r="G5653">
        <v>5.4230661392211896</v>
      </c>
      <c r="H5653">
        <v>0</v>
      </c>
      <c r="I5653">
        <v>0</v>
      </c>
      <c r="J5653">
        <v>30</v>
      </c>
    </row>
    <row r="5654" spans="1:10" x14ac:dyDescent="0.25">
      <c r="A5654" t="s">
        <v>25</v>
      </c>
      <c r="B5654" t="s">
        <v>20</v>
      </c>
      <c r="C5654" t="s">
        <v>18</v>
      </c>
      <c r="D5654" t="s">
        <v>16</v>
      </c>
      <c r="E5654">
        <v>0</v>
      </c>
      <c r="F5654">
        <v>0.75</v>
      </c>
      <c r="G5654">
        <v>5.6269578933715803</v>
      </c>
      <c r="H5654">
        <v>0</v>
      </c>
      <c r="I5654">
        <v>0</v>
      </c>
      <c r="J5654">
        <v>30</v>
      </c>
    </row>
    <row r="5655" spans="1:10" x14ac:dyDescent="0.25">
      <c r="A5655" t="s">
        <v>25</v>
      </c>
      <c r="B5655" t="s">
        <v>20</v>
      </c>
      <c r="C5655" t="s">
        <v>18</v>
      </c>
      <c r="D5655" t="s">
        <v>16</v>
      </c>
      <c r="E5655">
        <v>0</v>
      </c>
      <c r="F5655">
        <v>0.75</v>
      </c>
      <c r="G5655">
        <v>5.7091498374938903</v>
      </c>
      <c r="H5655">
        <v>0</v>
      </c>
      <c r="I5655">
        <v>0</v>
      </c>
      <c r="J5655">
        <v>30</v>
      </c>
    </row>
    <row r="5656" spans="1:10" x14ac:dyDescent="0.25">
      <c r="A5656" t="s">
        <v>25</v>
      </c>
      <c r="B5656" t="s">
        <v>20</v>
      </c>
      <c r="C5656" t="s">
        <v>18</v>
      </c>
      <c r="D5656" t="s">
        <v>16</v>
      </c>
      <c r="E5656">
        <v>0</v>
      </c>
      <c r="F5656">
        <v>0.75</v>
      </c>
      <c r="G5656">
        <v>5.7252054214477504</v>
      </c>
      <c r="H5656">
        <v>0</v>
      </c>
      <c r="I5656">
        <v>0</v>
      </c>
      <c r="J5656">
        <v>30</v>
      </c>
    </row>
    <row r="5657" spans="1:10" x14ac:dyDescent="0.25">
      <c r="A5657" t="s">
        <v>25</v>
      </c>
      <c r="B5657" t="s">
        <v>20</v>
      </c>
      <c r="C5657" t="s">
        <v>18</v>
      </c>
      <c r="D5657" t="s">
        <v>16</v>
      </c>
      <c r="E5657">
        <v>0</v>
      </c>
      <c r="F5657">
        <v>0.75</v>
      </c>
      <c r="G5657">
        <v>5.8189573287963796</v>
      </c>
      <c r="H5657">
        <v>0</v>
      </c>
      <c r="I5657">
        <v>0</v>
      </c>
      <c r="J5657">
        <v>30</v>
      </c>
    </row>
    <row r="5658" spans="1:10" x14ac:dyDescent="0.25">
      <c r="A5658" t="s">
        <v>25</v>
      </c>
      <c r="B5658" t="s">
        <v>20</v>
      </c>
      <c r="C5658" t="s">
        <v>18</v>
      </c>
      <c r="D5658" t="s">
        <v>16</v>
      </c>
      <c r="E5658">
        <v>0</v>
      </c>
      <c r="F5658">
        <v>0.75</v>
      </c>
      <c r="G5658">
        <v>5.8751986026763898</v>
      </c>
      <c r="H5658">
        <v>0</v>
      </c>
      <c r="I5658">
        <v>0</v>
      </c>
      <c r="J5658">
        <v>30</v>
      </c>
    </row>
    <row r="5659" spans="1:10" x14ac:dyDescent="0.25">
      <c r="A5659" t="s">
        <v>25</v>
      </c>
      <c r="B5659" t="s">
        <v>20</v>
      </c>
      <c r="C5659" t="s">
        <v>18</v>
      </c>
      <c r="D5659" t="s">
        <v>16</v>
      </c>
      <c r="E5659">
        <v>0</v>
      </c>
      <c r="F5659">
        <v>0.75</v>
      </c>
      <c r="G5659">
        <v>5.8937039375305096</v>
      </c>
      <c r="H5659">
        <v>0</v>
      </c>
      <c r="I5659">
        <v>0</v>
      </c>
      <c r="J5659">
        <v>30</v>
      </c>
    </row>
    <row r="5660" spans="1:10" x14ac:dyDescent="0.25">
      <c r="A5660" t="s">
        <v>25</v>
      </c>
      <c r="B5660" t="s">
        <v>20</v>
      </c>
      <c r="C5660" t="s">
        <v>18</v>
      </c>
      <c r="D5660" t="s">
        <v>16</v>
      </c>
      <c r="E5660">
        <v>0</v>
      </c>
      <c r="F5660">
        <v>0.75</v>
      </c>
      <c r="G5660">
        <v>5.9163846969604403</v>
      </c>
      <c r="H5660">
        <v>0</v>
      </c>
      <c r="I5660">
        <v>0</v>
      </c>
      <c r="J5660">
        <v>30</v>
      </c>
    </row>
    <row r="5661" spans="1:10" x14ac:dyDescent="0.25">
      <c r="A5661" t="s">
        <v>25</v>
      </c>
      <c r="B5661" t="s">
        <v>20</v>
      </c>
      <c r="C5661" t="s">
        <v>18</v>
      </c>
      <c r="D5661" t="s">
        <v>16</v>
      </c>
      <c r="E5661">
        <v>0</v>
      </c>
      <c r="F5661">
        <v>0.75</v>
      </c>
      <c r="G5661">
        <v>5.95700907707214</v>
      </c>
      <c r="H5661">
        <v>0</v>
      </c>
      <c r="I5661">
        <v>0</v>
      </c>
      <c r="J5661">
        <v>30</v>
      </c>
    </row>
    <row r="5662" spans="1:10" x14ac:dyDescent="0.25">
      <c r="A5662" t="s">
        <v>25</v>
      </c>
      <c r="B5662" t="s">
        <v>20</v>
      </c>
      <c r="C5662" t="s">
        <v>18</v>
      </c>
      <c r="D5662" t="s">
        <v>16</v>
      </c>
      <c r="E5662">
        <v>0</v>
      </c>
      <c r="F5662">
        <v>0.75</v>
      </c>
      <c r="G5662">
        <v>5.9609682559966997</v>
      </c>
      <c r="H5662">
        <v>0</v>
      </c>
      <c r="I5662">
        <v>0</v>
      </c>
      <c r="J5662">
        <v>30</v>
      </c>
    </row>
    <row r="5663" spans="1:10" x14ac:dyDescent="0.25">
      <c r="A5663" t="s">
        <v>25</v>
      </c>
      <c r="B5663" t="s">
        <v>20</v>
      </c>
      <c r="C5663" t="s">
        <v>18</v>
      </c>
      <c r="D5663" t="s">
        <v>16</v>
      </c>
      <c r="E5663">
        <v>0</v>
      </c>
      <c r="F5663">
        <v>0.75</v>
      </c>
      <c r="G5663">
        <v>5.9640226364135698</v>
      </c>
      <c r="H5663">
        <v>0</v>
      </c>
      <c r="I5663">
        <v>0</v>
      </c>
      <c r="J5663">
        <v>30</v>
      </c>
    </row>
    <row r="5664" spans="1:10" x14ac:dyDescent="0.25">
      <c r="A5664" t="s">
        <v>25</v>
      </c>
      <c r="B5664" t="s">
        <v>20</v>
      </c>
      <c r="C5664" t="s">
        <v>18</v>
      </c>
      <c r="D5664" t="s">
        <v>16</v>
      </c>
      <c r="E5664">
        <v>0</v>
      </c>
      <c r="F5664">
        <v>0.75</v>
      </c>
      <c r="G5664">
        <v>5.9595184326171804</v>
      </c>
      <c r="H5664">
        <v>0</v>
      </c>
      <c r="I5664">
        <v>0</v>
      </c>
      <c r="J5664">
        <v>30</v>
      </c>
    </row>
    <row r="5665" spans="1:10" x14ac:dyDescent="0.25">
      <c r="A5665" t="s">
        <v>25</v>
      </c>
      <c r="B5665" t="s">
        <v>20</v>
      </c>
      <c r="C5665" t="s">
        <v>18</v>
      </c>
      <c r="D5665" t="s">
        <v>16</v>
      </c>
      <c r="E5665">
        <v>0</v>
      </c>
      <c r="F5665">
        <v>0.75</v>
      </c>
      <c r="G5665">
        <v>6.0526471138000399</v>
      </c>
      <c r="H5665">
        <v>0</v>
      </c>
      <c r="I5665">
        <v>0</v>
      </c>
      <c r="J5665">
        <v>30</v>
      </c>
    </row>
    <row r="5666" spans="1:10" x14ac:dyDescent="0.25">
      <c r="A5666" t="s">
        <v>25</v>
      </c>
      <c r="B5666" t="s">
        <v>20</v>
      </c>
      <c r="C5666" t="s">
        <v>18</v>
      </c>
      <c r="D5666" t="s">
        <v>16</v>
      </c>
      <c r="E5666">
        <v>0</v>
      </c>
      <c r="F5666">
        <v>0.75</v>
      </c>
      <c r="G5666">
        <v>6.1248838901519704</v>
      </c>
      <c r="H5666">
        <v>0</v>
      </c>
      <c r="I5666">
        <v>0</v>
      </c>
      <c r="J5666">
        <v>30</v>
      </c>
    </row>
    <row r="5667" spans="1:10" x14ac:dyDescent="0.25">
      <c r="A5667" t="s">
        <v>25</v>
      </c>
      <c r="B5667" t="s">
        <v>20</v>
      </c>
      <c r="C5667" t="s">
        <v>18</v>
      </c>
      <c r="D5667" t="s">
        <v>16</v>
      </c>
      <c r="E5667">
        <v>0</v>
      </c>
      <c r="F5667">
        <v>0.75</v>
      </c>
      <c r="G5667">
        <v>6.18147444725036</v>
      </c>
      <c r="H5667">
        <v>0</v>
      </c>
      <c r="I5667">
        <v>0</v>
      </c>
      <c r="J5667">
        <v>30</v>
      </c>
    </row>
    <row r="5668" spans="1:10" x14ac:dyDescent="0.25">
      <c r="A5668" t="s">
        <v>25</v>
      </c>
      <c r="B5668" t="s">
        <v>20</v>
      </c>
      <c r="C5668" t="s">
        <v>18</v>
      </c>
      <c r="D5668" t="s">
        <v>16</v>
      </c>
      <c r="E5668">
        <v>0</v>
      </c>
      <c r="F5668">
        <v>0.75</v>
      </c>
      <c r="G5668">
        <v>6.1788811683654696</v>
      </c>
      <c r="H5668">
        <v>0</v>
      </c>
      <c r="I5668">
        <v>0</v>
      </c>
      <c r="J5668">
        <v>30</v>
      </c>
    </row>
    <row r="5669" spans="1:10" x14ac:dyDescent="0.25">
      <c r="A5669" t="s">
        <v>25</v>
      </c>
      <c r="B5669" t="s">
        <v>20</v>
      </c>
      <c r="C5669" t="s">
        <v>18</v>
      </c>
      <c r="D5669" t="s">
        <v>16</v>
      </c>
      <c r="E5669">
        <v>0</v>
      </c>
      <c r="F5669">
        <v>0.75</v>
      </c>
      <c r="G5669">
        <v>6.3329200744628897</v>
      </c>
      <c r="H5669">
        <v>0</v>
      </c>
      <c r="I5669">
        <v>0</v>
      </c>
      <c r="J5669">
        <v>30</v>
      </c>
    </row>
    <row r="5670" spans="1:10" x14ac:dyDescent="0.25">
      <c r="A5670" t="s">
        <v>25</v>
      </c>
      <c r="B5670" t="s">
        <v>20</v>
      </c>
      <c r="C5670" t="s">
        <v>18</v>
      </c>
      <c r="D5670" t="s">
        <v>16</v>
      </c>
      <c r="E5670">
        <v>0</v>
      </c>
      <c r="F5670">
        <v>0.75</v>
      </c>
      <c r="G5670">
        <v>6.36441826820373</v>
      </c>
      <c r="H5670">
        <v>0</v>
      </c>
      <c r="I5670">
        <v>0</v>
      </c>
      <c r="J5670">
        <v>30</v>
      </c>
    </row>
    <row r="5671" spans="1:10" x14ac:dyDescent="0.25">
      <c r="A5671" t="s">
        <v>25</v>
      </c>
      <c r="B5671" t="s">
        <v>20</v>
      </c>
      <c r="C5671" t="s">
        <v>18</v>
      </c>
      <c r="D5671" t="s">
        <v>16</v>
      </c>
      <c r="E5671">
        <v>0</v>
      </c>
      <c r="F5671">
        <v>0.75</v>
      </c>
      <c r="G5671">
        <v>6.4041078090667698</v>
      </c>
      <c r="H5671">
        <v>0</v>
      </c>
      <c r="I5671">
        <v>0</v>
      </c>
      <c r="J5671">
        <v>30</v>
      </c>
    </row>
    <row r="5672" spans="1:10" x14ac:dyDescent="0.25">
      <c r="A5672" t="s">
        <v>25</v>
      </c>
      <c r="B5672" t="s">
        <v>20</v>
      </c>
      <c r="C5672" t="s">
        <v>18</v>
      </c>
      <c r="D5672" t="s">
        <v>17</v>
      </c>
      <c r="E5672">
        <v>0.886757990867579</v>
      </c>
      <c r="F5672">
        <v>0.89988547019689302</v>
      </c>
      <c r="G5672">
        <v>41.987652063369701</v>
      </c>
      <c r="H5672">
        <v>7</v>
      </c>
      <c r="I5672">
        <v>9</v>
      </c>
      <c r="J5672">
        <v>30</v>
      </c>
    </row>
    <row r="5673" spans="1:10" x14ac:dyDescent="0.25">
      <c r="A5673" t="s">
        <v>25</v>
      </c>
      <c r="B5673" t="s">
        <v>20</v>
      </c>
      <c r="C5673" t="s">
        <v>18</v>
      </c>
      <c r="D5673" t="s">
        <v>17</v>
      </c>
      <c r="E5673">
        <v>0.88949771689497703</v>
      </c>
      <c r="F5673">
        <v>0.90175012777013797</v>
      </c>
      <c r="G5673">
        <v>47.503654718398998</v>
      </c>
      <c r="H5673">
        <v>10</v>
      </c>
      <c r="I5673">
        <v>14</v>
      </c>
      <c r="J5673">
        <v>30</v>
      </c>
    </row>
    <row r="5674" spans="1:10" x14ac:dyDescent="0.25">
      <c r="A5674" t="s">
        <v>25</v>
      </c>
      <c r="B5674" t="s">
        <v>20</v>
      </c>
      <c r="C5674" t="s">
        <v>18</v>
      </c>
      <c r="D5674" t="s">
        <v>17</v>
      </c>
      <c r="E5674">
        <v>0.90502283105022796</v>
      </c>
      <c r="F5674">
        <v>0.91416040600027204</v>
      </c>
      <c r="G5674">
        <v>60.674548387527402</v>
      </c>
      <c r="H5674">
        <v>6</v>
      </c>
      <c r="I5674">
        <v>8</v>
      </c>
      <c r="J5674">
        <v>30</v>
      </c>
    </row>
    <row r="5675" spans="1:10" x14ac:dyDescent="0.25">
      <c r="A5675" t="s">
        <v>25</v>
      </c>
      <c r="B5675" t="s">
        <v>20</v>
      </c>
      <c r="C5675" t="s">
        <v>18</v>
      </c>
      <c r="D5675" t="s">
        <v>17</v>
      </c>
      <c r="E5675">
        <v>0.89223744292237395</v>
      </c>
      <c r="F5675">
        <v>0.90362505433652995</v>
      </c>
      <c r="G5675">
        <v>61.845395565032902</v>
      </c>
      <c r="H5675">
        <v>5</v>
      </c>
      <c r="I5675">
        <v>6</v>
      </c>
      <c r="J5675">
        <v>30</v>
      </c>
    </row>
    <row r="5676" spans="1:10" x14ac:dyDescent="0.25">
      <c r="A5676" t="s">
        <v>25</v>
      </c>
      <c r="B5676" t="s">
        <v>20</v>
      </c>
      <c r="C5676" t="s">
        <v>18</v>
      </c>
      <c r="D5676" t="s">
        <v>17</v>
      </c>
      <c r="E5676">
        <v>0.89680365296803599</v>
      </c>
      <c r="F5676">
        <v>0.90786936066840096</v>
      </c>
      <c r="G5676">
        <v>63.269895076751702</v>
      </c>
      <c r="H5676">
        <v>6</v>
      </c>
      <c r="I5676">
        <v>6</v>
      </c>
      <c r="J5676">
        <v>30</v>
      </c>
    </row>
    <row r="5677" spans="1:10" x14ac:dyDescent="0.25">
      <c r="A5677" t="s">
        <v>25</v>
      </c>
      <c r="B5677" t="s">
        <v>20</v>
      </c>
      <c r="C5677" t="s">
        <v>18</v>
      </c>
      <c r="D5677" t="s">
        <v>17</v>
      </c>
      <c r="E5677">
        <v>0.89589041095890398</v>
      </c>
      <c r="F5677">
        <v>0.90687034574959002</v>
      </c>
      <c r="G5677">
        <v>63.7451782226562</v>
      </c>
      <c r="H5677">
        <v>10</v>
      </c>
      <c r="I5677">
        <v>13</v>
      </c>
      <c r="J5677">
        <v>30</v>
      </c>
    </row>
    <row r="5678" spans="1:10" x14ac:dyDescent="0.25">
      <c r="A5678" t="s">
        <v>25</v>
      </c>
      <c r="B5678" t="s">
        <v>20</v>
      </c>
      <c r="C5678" t="s">
        <v>18</v>
      </c>
      <c r="D5678" t="s">
        <v>17</v>
      </c>
      <c r="E5678">
        <v>0.897716894977169</v>
      </c>
      <c r="F5678">
        <v>0.90803540633050095</v>
      </c>
      <c r="G5678">
        <v>64.824468135833698</v>
      </c>
      <c r="H5678">
        <v>6</v>
      </c>
      <c r="I5678">
        <v>8</v>
      </c>
      <c r="J5678">
        <v>30</v>
      </c>
    </row>
    <row r="5679" spans="1:10" x14ac:dyDescent="0.25">
      <c r="A5679" t="s">
        <v>25</v>
      </c>
      <c r="B5679" t="s">
        <v>20</v>
      </c>
      <c r="C5679" t="s">
        <v>18</v>
      </c>
      <c r="D5679" t="s">
        <v>17</v>
      </c>
      <c r="E5679">
        <v>0.897716894977169</v>
      </c>
      <c r="F5679">
        <v>0.91055834668036595</v>
      </c>
      <c r="G5679">
        <v>65.3954594135284</v>
      </c>
      <c r="H5679">
        <v>15</v>
      </c>
      <c r="I5679">
        <v>15</v>
      </c>
      <c r="J5679">
        <v>30</v>
      </c>
    </row>
    <row r="5680" spans="1:10" x14ac:dyDescent="0.25">
      <c r="A5680" t="s">
        <v>25</v>
      </c>
      <c r="B5680" t="s">
        <v>20</v>
      </c>
      <c r="C5680" t="s">
        <v>18</v>
      </c>
      <c r="D5680" t="s">
        <v>17</v>
      </c>
      <c r="E5680">
        <v>0.90776255707762499</v>
      </c>
      <c r="F5680">
        <v>0.91637355968474798</v>
      </c>
      <c r="G5680">
        <v>65.552978992462101</v>
      </c>
      <c r="H5680">
        <v>7</v>
      </c>
      <c r="I5680">
        <v>16</v>
      </c>
      <c r="J5680">
        <v>30</v>
      </c>
    </row>
    <row r="5681" spans="1:10" x14ac:dyDescent="0.25">
      <c r="A5681" t="s">
        <v>25</v>
      </c>
      <c r="B5681" t="s">
        <v>20</v>
      </c>
      <c r="C5681" t="s">
        <v>18</v>
      </c>
      <c r="D5681" t="s">
        <v>17</v>
      </c>
      <c r="E5681">
        <v>0.90410958904109495</v>
      </c>
      <c r="F5681">
        <v>0.91338321881515905</v>
      </c>
      <c r="G5681">
        <v>65.841387748718205</v>
      </c>
      <c r="H5681">
        <v>7</v>
      </c>
      <c r="I5681">
        <v>9</v>
      </c>
      <c r="J5681">
        <v>30</v>
      </c>
    </row>
    <row r="5682" spans="1:10" x14ac:dyDescent="0.25">
      <c r="A5682" t="s">
        <v>25</v>
      </c>
      <c r="B5682" t="s">
        <v>20</v>
      </c>
      <c r="C5682" t="s">
        <v>18</v>
      </c>
      <c r="D5682" t="s">
        <v>17</v>
      </c>
      <c r="E5682">
        <v>0.91506849315068495</v>
      </c>
      <c r="F5682">
        <v>0.92323174695625598</v>
      </c>
      <c r="G5682">
        <v>66.083257436752305</v>
      </c>
      <c r="H5682">
        <v>8</v>
      </c>
      <c r="I5682">
        <v>18</v>
      </c>
      <c r="J5682">
        <v>30</v>
      </c>
    </row>
    <row r="5683" spans="1:10" x14ac:dyDescent="0.25">
      <c r="A5683" t="s">
        <v>25</v>
      </c>
      <c r="B5683" t="s">
        <v>20</v>
      </c>
      <c r="C5683" t="s">
        <v>18</v>
      </c>
      <c r="D5683" t="s">
        <v>17</v>
      </c>
      <c r="E5683">
        <v>0.92876712328767097</v>
      </c>
      <c r="F5683">
        <v>0.93459718699634597</v>
      </c>
      <c r="G5683">
        <v>67.175962686538696</v>
      </c>
      <c r="H5683">
        <v>16</v>
      </c>
      <c r="I5683">
        <v>22</v>
      </c>
      <c r="J5683">
        <v>30</v>
      </c>
    </row>
    <row r="5684" spans="1:10" x14ac:dyDescent="0.25">
      <c r="A5684" t="s">
        <v>25</v>
      </c>
      <c r="B5684" t="s">
        <v>20</v>
      </c>
      <c r="C5684" t="s">
        <v>18</v>
      </c>
      <c r="D5684" t="s">
        <v>17</v>
      </c>
      <c r="E5684">
        <v>0.90319634703196305</v>
      </c>
      <c r="F5684">
        <v>0.91373783157662003</v>
      </c>
      <c r="G5684">
        <v>67.925518274307194</v>
      </c>
      <c r="H5684">
        <v>15</v>
      </c>
      <c r="I5684">
        <v>15</v>
      </c>
      <c r="J5684">
        <v>30</v>
      </c>
    </row>
    <row r="5685" spans="1:10" x14ac:dyDescent="0.25">
      <c r="A5685" t="s">
        <v>25</v>
      </c>
      <c r="B5685" t="s">
        <v>20</v>
      </c>
      <c r="C5685" t="s">
        <v>18</v>
      </c>
      <c r="D5685" t="s">
        <v>17</v>
      </c>
      <c r="E5685">
        <v>0.90136986301369804</v>
      </c>
      <c r="F5685">
        <v>0.91249221052054696</v>
      </c>
      <c r="G5685">
        <v>67.972528696060095</v>
      </c>
      <c r="H5685">
        <v>3</v>
      </c>
      <c r="I5685">
        <v>3</v>
      </c>
      <c r="J5685">
        <v>30</v>
      </c>
    </row>
    <row r="5686" spans="1:10" x14ac:dyDescent="0.25">
      <c r="A5686" t="s">
        <v>25</v>
      </c>
      <c r="B5686" t="s">
        <v>20</v>
      </c>
      <c r="C5686" t="s">
        <v>18</v>
      </c>
      <c r="D5686" t="s">
        <v>17</v>
      </c>
      <c r="E5686">
        <v>0.92328767123287603</v>
      </c>
      <c r="F5686">
        <v>0.92820973623561598</v>
      </c>
      <c r="G5686">
        <v>68.5996768474578</v>
      </c>
      <c r="H5686">
        <v>7</v>
      </c>
      <c r="I5686">
        <v>9</v>
      </c>
      <c r="J5686">
        <v>30</v>
      </c>
    </row>
    <row r="5687" spans="1:10" x14ac:dyDescent="0.25">
      <c r="A5687" t="s">
        <v>25</v>
      </c>
      <c r="B5687" t="s">
        <v>20</v>
      </c>
      <c r="C5687" t="s">
        <v>18</v>
      </c>
      <c r="D5687" t="s">
        <v>17</v>
      </c>
      <c r="E5687">
        <v>0.89497716894977097</v>
      </c>
      <c r="F5687">
        <v>0.90674363437552397</v>
      </c>
      <c r="G5687">
        <v>69.663659095764103</v>
      </c>
      <c r="H5687">
        <v>5</v>
      </c>
      <c r="I5687">
        <v>5</v>
      </c>
      <c r="J5687">
        <v>30</v>
      </c>
    </row>
    <row r="5688" spans="1:10" x14ac:dyDescent="0.25">
      <c r="A5688" t="s">
        <v>25</v>
      </c>
      <c r="B5688" t="s">
        <v>20</v>
      </c>
      <c r="C5688" t="s">
        <v>18</v>
      </c>
      <c r="D5688" t="s">
        <v>17</v>
      </c>
      <c r="E5688">
        <v>0.88767123287671201</v>
      </c>
      <c r="F5688">
        <v>0.90092734294155097</v>
      </c>
      <c r="G5688">
        <v>70.149002313613806</v>
      </c>
      <c r="H5688">
        <v>14</v>
      </c>
      <c r="I5688">
        <v>15</v>
      </c>
      <c r="J5688">
        <v>30</v>
      </c>
    </row>
    <row r="5689" spans="1:10" x14ac:dyDescent="0.25">
      <c r="A5689" t="s">
        <v>25</v>
      </c>
      <c r="B5689" t="s">
        <v>20</v>
      </c>
      <c r="C5689" t="s">
        <v>18</v>
      </c>
      <c r="D5689" t="s">
        <v>17</v>
      </c>
      <c r="E5689">
        <v>0.93698630136986305</v>
      </c>
      <c r="F5689">
        <v>0.94086325781004598</v>
      </c>
      <c r="G5689">
        <v>70.307122707366901</v>
      </c>
      <c r="H5689">
        <v>18</v>
      </c>
      <c r="I5689">
        <v>29</v>
      </c>
      <c r="J5689">
        <v>30</v>
      </c>
    </row>
    <row r="5690" spans="1:10" x14ac:dyDescent="0.25">
      <c r="A5690" t="s">
        <v>25</v>
      </c>
      <c r="B5690" t="s">
        <v>20</v>
      </c>
      <c r="C5690" t="s">
        <v>18</v>
      </c>
      <c r="D5690" t="s">
        <v>17</v>
      </c>
      <c r="E5690">
        <v>0.89041095890410904</v>
      </c>
      <c r="F5690">
        <v>0.90314556860164197</v>
      </c>
      <c r="G5690">
        <v>70.503107070922795</v>
      </c>
      <c r="H5690">
        <v>3</v>
      </c>
      <c r="I5690">
        <v>3</v>
      </c>
      <c r="J5690">
        <v>30</v>
      </c>
    </row>
    <row r="5691" spans="1:10" x14ac:dyDescent="0.25">
      <c r="A5691" t="s">
        <v>25</v>
      </c>
      <c r="B5691" t="s">
        <v>20</v>
      </c>
      <c r="C5691" t="s">
        <v>18</v>
      </c>
      <c r="D5691" t="s">
        <v>17</v>
      </c>
      <c r="E5691">
        <v>0.91324200913242004</v>
      </c>
      <c r="F5691">
        <v>0.92198182485543401</v>
      </c>
      <c r="G5691">
        <v>70.724266767501803</v>
      </c>
      <c r="H5691">
        <v>25</v>
      </c>
      <c r="I5691">
        <v>29</v>
      </c>
      <c r="J5691">
        <v>30</v>
      </c>
    </row>
    <row r="5692" spans="1:10" x14ac:dyDescent="0.25">
      <c r="A5692" t="s">
        <v>25</v>
      </c>
      <c r="B5692" t="s">
        <v>20</v>
      </c>
      <c r="C5692" t="s">
        <v>18</v>
      </c>
      <c r="D5692" t="s">
        <v>17</v>
      </c>
      <c r="E5692">
        <v>0.88949771689497703</v>
      </c>
      <c r="F5692">
        <v>0.90207613736109704</v>
      </c>
      <c r="G5692">
        <v>72.965227842330904</v>
      </c>
      <c r="H5692">
        <v>7</v>
      </c>
      <c r="I5692">
        <v>8</v>
      </c>
      <c r="J5692">
        <v>30</v>
      </c>
    </row>
    <row r="5693" spans="1:10" x14ac:dyDescent="0.25">
      <c r="A5693" t="s">
        <v>25</v>
      </c>
      <c r="B5693" t="s">
        <v>20</v>
      </c>
      <c r="C5693" t="s">
        <v>18</v>
      </c>
      <c r="D5693" t="s">
        <v>17</v>
      </c>
      <c r="E5693">
        <v>0.92602739726027306</v>
      </c>
      <c r="F5693">
        <v>0.93188608591881095</v>
      </c>
      <c r="G5693">
        <v>73.970371723175006</v>
      </c>
      <c r="H5693">
        <v>5</v>
      </c>
      <c r="I5693">
        <v>6</v>
      </c>
      <c r="J5693">
        <v>30</v>
      </c>
    </row>
    <row r="5694" spans="1:10" x14ac:dyDescent="0.25">
      <c r="A5694" t="s">
        <v>25</v>
      </c>
      <c r="B5694" t="s">
        <v>20</v>
      </c>
      <c r="C5694" t="s">
        <v>18</v>
      </c>
      <c r="D5694" t="s">
        <v>17</v>
      </c>
      <c r="E5694">
        <v>0.90776255707762499</v>
      </c>
      <c r="F5694">
        <v>0.91818566389442802</v>
      </c>
      <c r="G5694">
        <v>77.241799831390296</v>
      </c>
      <c r="H5694">
        <v>3</v>
      </c>
      <c r="I5694">
        <v>3</v>
      </c>
      <c r="J5694">
        <v>30</v>
      </c>
    </row>
    <row r="5695" spans="1:10" x14ac:dyDescent="0.25">
      <c r="A5695" t="s">
        <v>25</v>
      </c>
      <c r="B5695" t="s">
        <v>20</v>
      </c>
      <c r="C5695" t="s">
        <v>18</v>
      </c>
      <c r="D5695" t="s">
        <v>17</v>
      </c>
      <c r="E5695">
        <v>0.92328767123287603</v>
      </c>
      <c r="F5695">
        <v>0.92925730063680201</v>
      </c>
      <c r="G5695">
        <v>78.235210895538302</v>
      </c>
      <c r="H5695">
        <v>11</v>
      </c>
      <c r="I5695">
        <v>13</v>
      </c>
      <c r="J5695">
        <v>30</v>
      </c>
    </row>
    <row r="5696" spans="1:10" x14ac:dyDescent="0.25">
      <c r="A5696" t="s">
        <v>25</v>
      </c>
      <c r="B5696" t="s">
        <v>20</v>
      </c>
      <c r="C5696" t="s">
        <v>18</v>
      </c>
      <c r="D5696" t="s">
        <v>17</v>
      </c>
      <c r="E5696">
        <v>0.91963470319634699</v>
      </c>
      <c r="F5696">
        <v>0.92592751174840005</v>
      </c>
      <c r="G5696">
        <v>79.140771389007497</v>
      </c>
      <c r="H5696">
        <v>11</v>
      </c>
      <c r="I5696">
        <v>13</v>
      </c>
      <c r="J5696">
        <v>30</v>
      </c>
    </row>
    <row r="5697" spans="1:10" x14ac:dyDescent="0.25">
      <c r="A5697" t="s">
        <v>25</v>
      </c>
      <c r="B5697" t="s">
        <v>20</v>
      </c>
      <c r="C5697" t="s">
        <v>18</v>
      </c>
      <c r="D5697" t="s">
        <v>17</v>
      </c>
      <c r="E5697">
        <v>0.89863013698630101</v>
      </c>
      <c r="F5697">
        <v>0.90876067546602901</v>
      </c>
      <c r="G5697">
        <v>79.513242959976196</v>
      </c>
      <c r="H5697">
        <v>6</v>
      </c>
      <c r="I5697">
        <v>8</v>
      </c>
      <c r="J5697">
        <v>30</v>
      </c>
    </row>
    <row r="5698" spans="1:10" x14ac:dyDescent="0.25">
      <c r="A5698" t="s">
        <v>25</v>
      </c>
      <c r="B5698" t="s">
        <v>20</v>
      </c>
      <c r="C5698" t="s">
        <v>18</v>
      </c>
      <c r="D5698" t="s">
        <v>17</v>
      </c>
      <c r="E5698">
        <v>0.91780821917808197</v>
      </c>
      <c r="F5698">
        <v>0.92499535447214598</v>
      </c>
      <c r="G5698">
        <v>80.637378931045504</v>
      </c>
      <c r="H5698">
        <v>20</v>
      </c>
      <c r="I5698">
        <v>26</v>
      </c>
      <c r="J5698">
        <v>30</v>
      </c>
    </row>
    <row r="5699" spans="1:10" x14ac:dyDescent="0.25">
      <c r="A5699" t="s">
        <v>25</v>
      </c>
      <c r="B5699" t="s">
        <v>20</v>
      </c>
      <c r="C5699" t="s">
        <v>18</v>
      </c>
      <c r="D5699" t="s">
        <v>17</v>
      </c>
      <c r="E5699">
        <v>0.88127853881278495</v>
      </c>
      <c r="F5699">
        <v>0.89642282816146202</v>
      </c>
      <c r="G5699">
        <v>81.721050024032493</v>
      </c>
      <c r="H5699">
        <v>3</v>
      </c>
      <c r="I5699">
        <v>3</v>
      </c>
      <c r="J5699">
        <v>30</v>
      </c>
    </row>
    <row r="5700" spans="1:10" x14ac:dyDescent="0.25">
      <c r="A5700" t="s">
        <v>25</v>
      </c>
      <c r="B5700" t="s">
        <v>20</v>
      </c>
      <c r="C5700" t="s">
        <v>18</v>
      </c>
      <c r="D5700" t="s">
        <v>17</v>
      </c>
      <c r="E5700">
        <v>0.92237442922374402</v>
      </c>
      <c r="F5700">
        <v>0.92819944590520598</v>
      </c>
      <c r="G5700">
        <v>83.114290237426701</v>
      </c>
      <c r="H5700">
        <v>10</v>
      </c>
      <c r="I5700">
        <v>12</v>
      </c>
      <c r="J5700">
        <v>30</v>
      </c>
    </row>
    <row r="5701" spans="1:10" x14ac:dyDescent="0.25">
      <c r="A5701" t="s">
        <v>25</v>
      </c>
      <c r="B5701" t="s">
        <v>20</v>
      </c>
      <c r="C5701" t="s">
        <v>18</v>
      </c>
      <c r="D5701" t="s">
        <v>17</v>
      </c>
      <c r="E5701">
        <v>0.89589041095890398</v>
      </c>
      <c r="F5701">
        <v>0.90658207155881299</v>
      </c>
      <c r="G5701">
        <v>89.251346588134695</v>
      </c>
      <c r="H5701">
        <v>6</v>
      </c>
      <c r="I5701">
        <v>8</v>
      </c>
      <c r="J5701">
        <v>30</v>
      </c>
    </row>
    <row r="5702" spans="1:10" x14ac:dyDescent="0.25">
      <c r="A5702" t="s">
        <v>25</v>
      </c>
      <c r="B5702" t="s">
        <v>21</v>
      </c>
      <c r="C5702" t="s">
        <v>12</v>
      </c>
      <c r="D5702" t="s">
        <v>13</v>
      </c>
      <c r="E5702">
        <v>0.95981735159817305</v>
      </c>
      <c r="F5702">
        <v>0.96421763152456497</v>
      </c>
      <c r="G5702">
        <v>20.5986583232879</v>
      </c>
      <c r="H5702">
        <v>38</v>
      </c>
      <c r="I5702">
        <v>57</v>
      </c>
      <c r="J5702">
        <v>30</v>
      </c>
    </row>
    <row r="5703" spans="1:10" x14ac:dyDescent="0.25">
      <c r="A5703" t="s">
        <v>25</v>
      </c>
      <c r="B5703" t="s">
        <v>21</v>
      </c>
      <c r="C5703" t="s">
        <v>12</v>
      </c>
      <c r="D5703" t="s">
        <v>13</v>
      </c>
      <c r="E5703">
        <v>0.9662100456621</v>
      </c>
      <c r="F5703">
        <v>0.96815601336401802</v>
      </c>
      <c r="G5703">
        <v>21.918079853057801</v>
      </c>
      <c r="H5703">
        <v>42</v>
      </c>
      <c r="I5703">
        <v>69</v>
      </c>
      <c r="J5703">
        <v>30</v>
      </c>
    </row>
    <row r="5704" spans="1:10" x14ac:dyDescent="0.25">
      <c r="A5704" t="s">
        <v>25</v>
      </c>
      <c r="B5704" t="s">
        <v>21</v>
      </c>
      <c r="C5704" t="s">
        <v>12</v>
      </c>
      <c r="D5704" t="s">
        <v>13</v>
      </c>
      <c r="E5704">
        <v>0.96986301369863004</v>
      </c>
      <c r="F5704">
        <v>0.972072899574977</v>
      </c>
      <c r="G5704">
        <v>22.091545343399002</v>
      </c>
      <c r="H5704">
        <v>49</v>
      </c>
      <c r="I5704">
        <v>82</v>
      </c>
      <c r="J5704">
        <v>30</v>
      </c>
    </row>
    <row r="5705" spans="1:10" x14ac:dyDescent="0.25">
      <c r="A5705" t="s">
        <v>25</v>
      </c>
      <c r="B5705" t="s">
        <v>21</v>
      </c>
      <c r="C5705" t="s">
        <v>12</v>
      </c>
      <c r="D5705" t="s">
        <v>13</v>
      </c>
      <c r="E5705">
        <v>0.96803652968036502</v>
      </c>
      <c r="F5705">
        <v>0.97023491884748803</v>
      </c>
      <c r="G5705">
        <v>23.004626274108801</v>
      </c>
      <c r="H5705">
        <v>48</v>
      </c>
      <c r="I5705">
        <v>86</v>
      </c>
      <c r="J5705">
        <v>30</v>
      </c>
    </row>
    <row r="5706" spans="1:10" x14ac:dyDescent="0.25">
      <c r="A5706" t="s">
        <v>25</v>
      </c>
      <c r="B5706" t="s">
        <v>21</v>
      </c>
      <c r="C5706" t="s">
        <v>12</v>
      </c>
      <c r="D5706" t="s">
        <v>13</v>
      </c>
      <c r="E5706">
        <v>0.97442922374429197</v>
      </c>
      <c r="F5706">
        <v>0.97693572904584502</v>
      </c>
      <c r="G5706">
        <v>23.510670661926198</v>
      </c>
      <c r="H5706">
        <v>54</v>
      </c>
      <c r="I5706">
        <v>101</v>
      </c>
      <c r="J5706">
        <v>30</v>
      </c>
    </row>
    <row r="5707" spans="1:10" x14ac:dyDescent="0.25">
      <c r="A5707" t="s">
        <v>25</v>
      </c>
      <c r="B5707" t="s">
        <v>21</v>
      </c>
      <c r="C5707" t="s">
        <v>12</v>
      </c>
      <c r="D5707" t="s">
        <v>13</v>
      </c>
      <c r="E5707">
        <v>0.96986301369863004</v>
      </c>
      <c r="F5707">
        <v>0.97275164982027296</v>
      </c>
      <c r="G5707">
        <v>25.8015601634979</v>
      </c>
      <c r="H5707">
        <v>49</v>
      </c>
      <c r="I5707">
        <v>77</v>
      </c>
      <c r="J5707">
        <v>30</v>
      </c>
    </row>
    <row r="5708" spans="1:10" x14ac:dyDescent="0.25">
      <c r="A5708" t="s">
        <v>25</v>
      </c>
      <c r="B5708" t="s">
        <v>21</v>
      </c>
      <c r="C5708" t="s">
        <v>12</v>
      </c>
      <c r="D5708" t="s">
        <v>13</v>
      </c>
      <c r="E5708">
        <v>0.96255707762556997</v>
      </c>
      <c r="F5708">
        <v>0.96636523028146004</v>
      </c>
      <c r="G5708">
        <v>26.096290111541698</v>
      </c>
      <c r="H5708">
        <v>54</v>
      </c>
      <c r="I5708">
        <v>99</v>
      </c>
      <c r="J5708">
        <v>30</v>
      </c>
    </row>
    <row r="5709" spans="1:10" x14ac:dyDescent="0.25">
      <c r="A5709" t="s">
        <v>25</v>
      </c>
      <c r="B5709" t="s">
        <v>21</v>
      </c>
      <c r="C5709" t="s">
        <v>12</v>
      </c>
      <c r="D5709" t="s">
        <v>13</v>
      </c>
      <c r="E5709">
        <v>0.95525114155251101</v>
      </c>
      <c r="F5709">
        <v>0.96158013224328798</v>
      </c>
      <c r="G5709">
        <v>26.177291393280001</v>
      </c>
      <c r="H5709">
        <v>47</v>
      </c>
      <c r="I5709">
        <v>78</v>
      </c>
      <c r="J5709">
        <v>30</v>
      </c>
    </row>
    <row r="5710" spans="1:10" x14ac:dyDescent="0.25">
      <c r="A5710" t="s">
        <v>25</v>
      </c>
      <c r="B5710" t="s">
        <v>21</v>
      </c>
      <c r="C5710" t="s">
        <v>12</v>
      </c>
      <c r="D5710" t="s">
        <v>13</v>
      </c>
      <c r="E5710">
        <v>0.96529680365296799</v>
      </c>
      <c r="F5710">
        <v>0.96962417944009105</v>
      </c>
      <c r="G5710">
        <v>26.673931598663302</v>
      </c>
      <c r="H5710">
        <v>53</v>
      </c>
      <c r="I5710">
        <v>103</v>
      </c>
      <c r="J5710">
        <v>30</v>
      </c>
    </row>
    <row r="5711" spans="1:10" x14ac:dyDescent="0.25">
      <c r="A5711" t="s">
        <v>25</v>
      </c>
      <c r="B5711" t="s">
        <v>21</v>
      </c>
      <c r="C5711" t="s">
        <v>12</v>
      </c>
      <c r="D5711" t="s">
        <v>13</v>
      </c>
      <c r="E5711">
        <v>0.96894977168949703</v>
      </c>
      <c r="F5711">
        <v>0.97198508859324095</v>
      </c>
      <c r="G5711">
        <v>28.233924150466901</v>
      </c>
      <c r="H5711">
        <v>63</v>
      </c>
      <c r="I5711">
        <v>122</v>
      </c>
      <c r="J5711">
        <v>30</v>
      </c>
    </row>
    <row r="5712" spans="1:10" x14ac:dyDescent="0.25">
      <c r="A5712" t="s">
        <v>25</v>
      </c>
      <c r="B5712" t="s">
        <v>21</v>
      </c>
      <c r="C5712" t="s">
        <v>12</v>
      </c>
      <c r="D5712" t="s">
        <v>13</v>
      </c>
      <c r="E5712">
        <v>0.96894977168949703</v>
      </c>
      <c r="F5712">
        <v>0.971565602217077</v>
      </c>
      <c r="G5712">
        <v>28.629032611846899</v>
      </c>
      <c r="H5712">
        <v>56</v>
      </c>
      <c r="I5712">
        <v>99</v>
      </c>
      <c r="J5712">
        <v>30</v>
      </c>
    </row>
    <row r="5713" spans="1:10" x14ac:dyDescent="0.25">
      <c r="A5713" t="s">
        <v>25</v>
      </c>
      <c r="B5713" t="s">
        <v>21</v>
      </c>
      <c r="C5713" t="s">
        <v>12</v>
      </c>
      <c r="D5713" t="s">
        <v>13</v>
      </c>
      <c r="E5713">
        <v>0.96255707762556997</v>
      </c>
      <c r="F5713">
        <v>0.96751263317314995</v>
      </c>
      <c r="G5713">
        <v>28.721831560134799</v>
      </c>
      <c r="H5713">
        <v>59</v>
      </c>
      <c r="I5713">
        <v>111</v>
      </c>
      <c r="J5713">
        <v>30</v>
      </c>
    </row>
    <row r="5714" spans="1:10" x14ac:dyDescent="0.25">
      <c r="A5714" t="s">
        <v>25</v>
      </c>
      <c r="B5714" t="s">
        <v>21</v>
      </c>
      <c r="C5714" t="s">
        <v>12</v>
      </c>
      <c r="D5714" t="s">
        <v>13</v>
      </c>
      <c r="E5714">
        <v>0.96347031963470298</v>
      </c>
      <c r="F5714">
        <v>0.96750260750502204</v>
      </c>
      <c r="G5714">
        <v>28.874717473983701</v>
      </c>
      <c r="H5714">
        <v>59</v>
      </c>
      <c r="I5714">
        <v>108</v>
      </c>
      <c r="J5714">
        <v>30</v>
      </c>
    </row>
    <row r="5715" spans="1:10" x14ac:dyDescent="0.25">
      <c r="A5715" t="s">
        <v>25</v>
      </c>
      <c r="B5715" t="s">
        <v>21</v>
      </c>
      <c r="C5715" t="s">
        <v>12</v>
      </c>
      <c r="D5715" t="s">
        <v>13</v>
      </c>
      <c r="E5715">
        <v>0.977168949771689</v>
      </c>
      <c r="F5715">
        <v>0.98015906070721404</v>
      </c>
      <c r="G5715">
        <v>29.023100614547701</v>
      </c>
      <c r="H5715">
        <v>62</v>
      </c>
      <c r="I5715">
        <v>111</v>
      </c>
      <c r="J5715">
        <v>30</v>
      </c>
    </row>
    <row r="5716" spans="1:10" x14ac:dyDescent="0.25">
      <c r="A5716" t="s">
        <v>25</v>
      </c>
      <c r="B5716" t="s">
        <v>21</v>
      </c>
      <c r="C5716" t="s">
        <v>12</v>
      </c>
      <c r="D5716" t="s">
        <v>13</v>
      </c>
      <c r="E5716">
        <v>0.96164383561643796</v>
      </c>
      <c r="F5716">
        <v>0.96654206321716896</v>
      </c>
      <c r="G5716">
        <v>29.937615871429401</v>
      </c>
      <c r="H5716">
        <v>57</v>
      </c>
      <c r="I5716">
        <v>100</v>
      </c>
      <c r="J5716">
        <v>30</v>
      </c>
    </row>
    <row r="5717" spans="1:10" x14ac:dyDescent="0.25">
      <c r="A5717" t="s">
        <v>25</v>
      </c>
      <c r="B5717" t="s">
        <v>21</v>
      </c>
      <c r="C5717" t="s">
        <v>12</v>
      </c>
      <c r="D5717" t="s">
        <v>13</v>
      </c>
      <c r="E5717">
        <v>0.954337899543379</v>
      </c>
      <c r="F5717">
        <v>0.95650624287543295</v>
      </c>
      <c r="G5717">
        <v>30.451562643051101</v>
      </c>
      <c r="H5717">
        <v>69</v>
      </c>
      <c r="I5717">
        <v>129</v>
      </c>
      <c r="J5717">
        <v>30</v>
      </c>
    </row>
    <row r="5718" spans="1:10" x14ac:dyDescent="0.25">
      <c r="A5718" t="s">
        <v>25</v>
      </c>
      <c r="B5718" t="s">
        <v>21</v>
      </c>
      <c r="C5718" t="s">
        <v>12</v>
      </c>
      <c r="D5718" t="s">
        <v>13</v>
      </c>
      <c r="E5718">
        <v>0.95981735159817305</v>
      </c>
      <c r="F5718">
        <v>0.96499506541296798</v>
      </c>
      <c r="G5718">
        <v>30.716506242752001</v>
      </c>
      <c r="H5718">
        <v>63</v>
      </c>
      <c r="I5718">
        <v>136</v>
      </c>
      <c r="J5718">
        <v>30</v>
      </c>
    </row>
    <row r="5719" spans="1:10" x14ac:dyDescent="0.25">
      <c r="A5719" t="s">
        <v>25</v>
      </c>
      <c r="B5719" t="s">
        <v>21</v>
      </c>
      <c r="C5719" t="s">
        <v>12</v>
      </c>
      <c r="D5719" t="s">
        <v>13</v>
      </c>
      <c r="E5719">
        <v>0.96894977168949703</v>
      </c>
      <c r="F5719">
        <v>0.97120924049013602</v>
      </c>
      <c r="G5719">
        <v>30.906923294067301</v>
      </c>
      <c r="H5719">
        <v>61</v>
      </c>
      <c r="I5719">
        <v>118</v>
      </c>
      <c r="J5719">
        <v>30</v>
      </c>
    </row>
    <row r="5720" spans="1:10" x14ac:dyDescent="0.25">
      <c r="A5720" t="s">
        <v>25</v>
      </c>
      <c r="B5720" t="s">
        <v>21</v>
      </c>
      <c r="C5720" t="s">
        <v>12</v>
      </c>
      <c r="D5720" t="s">
        <v>13</v>
      </c>
      <c r="E5720">
        <v>0.96438356164383499</v>
      </c>
      <c r="F5720">
        <v>0.97027212815899599</v>
      </c>
      <c r="G5720">
        <v>32.103013992309499</v>
      </c>
      <c r="H5720">
        <v>59</v>
      </c>
      <c r="I5720">
        <v>106</v>
      </c>
      <c r="J5720">
        <v>30</v>
      </c>
    </row>
    <row r="5721" spans="1:10" x14ac:dyDescent="0.25">
      <c r="A5721" t="s">
        <v>25</v>
      </c>
      <c r="B5721" t="s">
        <v>21</v>
      </c>
      <c r="C5721" t="s">
        <v>12</v>
      </c>
      <c r="D5721" t="s">
        <v>13</v>
      </c>
      <c r="E5721">
        <v>0.97077625570776205</v>
      </c>
      <c r="F5721">
        <v>0.97323191090684902</v>
      </c>
      <c r="G5721">
        <v>32.227360010147002</v>
      </c>
      <c r="H5721">
        <v>67</v>
      </c>
      <c r="I5721">
        <v>121</v>
      </c>
      <c r="J5721">
        <v>30</v>
      </c>
    </row>
    <row r="5722" spans="1:10" x14ac:dyDescent="0.25">
      <c r="A5722" t="s">
        <v>25</v>
      </c>
      <c r="B5722" t="s">
        <v>21</v>
      </c>
      <c r="C5722" t="s">
        <v>12</v>
      </c>
      <c r="D5722" t="s">
        <v>13</v>
      </c>
      <c r="E5722">
        <v>0.96438356164383499</v>
      </c>
      <c r="F5722">
        <v>0.97008721869744297</v>
      </c>
      <c r="G5722">
        <v>32.506721019744802</v>
      </c>
      <c r="H5722">
        <v>59</v>
      </c>
      <c r="I5722">
        <v>109</v>
      </c>
      <c r="J5722">
        <v>30</v>
      </c>
    </row>
    <row r="5723" spans="1:10" x14ac:dyDescent="0.25">
      <c r="A5723" t="s">
        <v>25</v>
      </c>
      <c r="B5723" t="s">
        <v>21</v>
      </c>
      <c r="C5723" t="s">
        <v>12</v>
      </c>
      <c r="D5723" t="s">
        <v>13</v>
      </c>
      <c r="E5723">
        <v>0.95981735159817305</v>
      </c>
      <c r="F5723">
        <v>0.96403948449077603</v>
      </c>
      <c r="G5723">
        <v>32.722720861434901</v>
      </c>
      <c r="H5723">
        <v>73</v>
      </c>
      <c r="I5723">
        <v>122</v>
      </c>
      <c r="J5723">
        <v>30</v>
      </c>
    </row>
    <row r="5724" spans="1:10" x14ac:dyDescent="0.25">
      <c r="A5724" t="s">
        <v>25</v>
      </c>
      <c r="B5724" t="s">
        <v>21</v>
      </c>
      <c r="C5724" t="s">
        <v>12</v>
      </c>
      <c r="D5724" t="s">
        <v>13</v>
      </c>
      <c r="E5724">
        <v>0.96347031963470298</v>
      </c>
      <c r="F5724">
        <v>0.96810140011780799</v>
      </c>
      <c r="G5724">
        <v>32.909923553466797</v>
      </c>
      <c r="H5724">
        <v>67</v>
      </c>
      <c r="I5724">
        <v>113</v>
      </c>
      <c r="J5724">
        <v>30</v>
      </c>
    </row>
    <row r="5725" spans="1:10" x14ac:dyDescent="0.25">
      <c r="A5725" t="s">
        <v>25</v>
      </c>
      <c r="B5725" t="s">
        <v>21</v>
      </c>
      <c r="C5725" t="s">
        <v>12</v>
      </c>
      <c r="D5725" t="s">
        <v>13</v>
      </c>
      <c r="E5725">
        <v>0.96438356164383499</v>
      </c>
      <c r="F5725">
        <v>0.96800318802931495</v>
      </c>
      <c r="G5725">
        <v>33.032272577285703</v>
      </c>
      <c r="H5725">
        <v>61</v>
      </c>
      <c r="I5725">
        <v>116</v>
      </c>
      <c r="J5725">
        <v>30</v>
      </c>
    </row>
    <row r="5726" spans="1:10" x14ac:dyDescent="0.25">
      <c r="A5726" t="s">
        <v>25</v>
      </c>
      <c r="B5726" t="s">
        <v>21</v>
      </c>
      <c r="C5726" t="s">
        <v>12</v>
      </c>
      <c r="D5726" t="s">
        <v>13</v>
      </c>
      <c r="E5726">
        <v>0.97077625570776205</v>
      </c>
      <c r="F5726">
        <v>0.97330967608931496</v>
      </c>
      <c r="G5726">
        <v>33.3860952854156</v>
      </c>
      <c r="H5726">
        <v>70</v>
      </c>
      <c r="I5726">
        <v>121</v>
      </c>
      <c r="J5726">
        <v>30</v>
      </c>
    </row>
    <row r="5727" spans="1:10" x14ac:dyDescent="0.25">
      <c r="A5727" t="s">
        <v>25</v>
      </c>
      <c r="B5727" t="s">
        <v>21</v>
      </c>
      <c r="C5727" t="s">
        <v>12</v>
      </c>
      <c r="D5727" t="s">
        <v>13</v>
      </c>
      <c r="E5727">
        <v>0.95981735159817305</v>
      </c>
      <c r="F5727">
        <v>0.96409444587104998</v>
      </c>
      <c r="G5727">
        <v>33.684860229492102</v>
      </c>
      <c r="H5727">
        <v>72</v>
      </c>
      <c r="I5727">
        <v>136</v>
      </c>
      <c r="J5727">
        <v>30</v>
      </c>
    </row>
    <row r="5728" spans="1:10" x14ac:dyDescent="0.25">
      <c r="A5728" t="s">
        <v>25</v>
      </c>
      <c r="B5728" t="s">
        <v>21</v>
      </c>
      <c r="C5728" t="s">
        <v>12</v>
      </c>
      <c r="D5728" t="s">
        <v>13</v>
      </c>
      <c r="E5728">
        <v>0.96164383561643796</v>
      </c>
      <c r="F5728">
        <v>0.96512225841643795</v>
      </c>
      <c r="G5728">
        <v>34.415543079376199</v>
      </c>
      <c r="H5728">
        <v>76</v>
      </c>
      <c r="I5728">
        <v>137</v>
      </c>
      <c r="J5728">
        <v>30</v>
      </c>
    </row>
    <row r="5729" spans="1:10" x14ac:dyDescent="0.25">
      <c r="A5729" t="s">
        <v>25</v>
      </c>
      <c r="B5729" t="s">
        <v>21</v>
      </c>
      <c r="C5729" t="s">
        <v>12</v>
      </c>
      <c r="D5729" t="s">
        <v>13</v>
      </c>
      <c r="E5729">
        <v>0.96986301369863004</v>
      </c>
      <c r="F5729">
        <v>0.97344911769570797</v>
      </c>
      <c r="G5729">
        <v>34.530012607574399</v>
      </c>
      <c r="H5729">
        <v>69</v>
      </c>
      <c r="I5729">
        <v>121</v>
      </c>
      <c r="J5729">
        <v>30</v>
      </c>
    </row>
    <row r="5730" spans="1:10" x14ac:dyDescent="0.25">
      <c r="A5730" t="s">
        <v>25</v>
      </c>
      <c r="B5730" t="s">
        <v>21</v>
      </c>
      <c r="C5730" t="s">
        <v>12</v>
      </c>
      <c r="D5730" t="s">
        <v>13</v>
      </c>
      <c r="E5730">
        <v>0.96347031963470298</v>
      </c>
      <c r="F5730">
        <v>0.96924581673378996</v>
      </c>
      <c r="G5730">
        <v>34.524429559707599</v>
      </c>
      <c r="H5730">
        <v>82</v>
      </c>
      <c r="I5730">
        <v>155</v>
      </c>
      <c r="J5730">
        <v>30</v>
      </c>
    </row>
    <row r="5731" spans="1:10" x14ac:dyDescent="0.25">
      <c r="A5731" t="s">
        <v>25</v>
      </c>
      <c r="B5731" t="s">
        <v>21</v>
      </c>
      <c r="C5731" t="s">
        <v>12</v>
      </c>
      <c r="D5731" t="s">
        <v>13</v>
      </c>
      <c r="E5731">
        <v>0.96894977168949703</v>
      </c>
      <c r="F5731">
        <v>0.97293464187515999</v>
      </c>
      <c r="G5731">
        <v>34.634832382202099</v>
      </c>
      <c r="H5731">
        <v>82</v>
      </c>
      <c r="I5731">
        <v>150</v>
      </c>
      <c r="J5731">
        <v>30</v>
      </c>
    </row>
    <row r="5732" spans="1:10" x14ac:dyDescent="0.25">
      <c r="A5732" t="s">
        <v>25</v>
      </c>
      <c r="B5732" t="s">
        <v>21</v>
      </c>
      <c r="C5732" t="s">
        <v>12</v>
      </c>
      <c r="D5732" t="s">
        <v>14</v>
      </c>
      <c r="E5732">
        <v>0.90684931506849298</v>
      </c>
      <c r="F5732">
        <v>0.91575009393187001</v>
      </c>
      <c r="G5732">
        <v>21.8620638847351</v>
      </c>
      <c r="H5732">
        <v>11</v>
      </c>
      <c r="I5732">
        <v>11</v>
      </c>
      <c r="J5732">
        <v>30</v>
      </c>
    </row>
    <row r="5733" spans="1:10" x14ac:dyDescent="0.25">
      <c r="A5733" t="s">
        <v>25</v>
      </c>
      <c r="B5733" t="s">
        <v>21</v>
      </c>
      <c r="C5733" t="s">
        <v>12</v>
      </c>
      <c r="D5733" t="s">
        <v>14</v>
      </c>
      <c r="E5733">
        <v>0.93881278538812696</v>
      </c>
      <c r="F5733">
        <v>0.94172005753168997</v>
      </c>
      <c r="G5733">
        <v>21.908308506011899</v>
      </c>
      <c r="H5733">
        <v>12</v>
      </c>
      <c r="I5733">
        <v>12</v>
      </c>
      <c r="J5733">
        <v>30</v>
      </c>
    </row>
    <row r="5734" spans="1:10" x14ac:dyDescent="0.25">
      <c r="A5734" t="s">
        <v>25</v>
      </c>
      <c r="B5734" t="s">
        <v>21</v>
      </c>
      <c r="C5734" t="s">
        <v>12</v>
      </c>
      <c r="D5734" t="s">
        <v>14</v>
      </c>
      <c r="E5734">
        <v>0.92602739726027306</v>
      </c>
      <c r="F5734">
        <v>0.93119045241643805</v>
      </c>
      <c r="G5734">
        <v>22.739777326583798</v>
      </c>
      <c r="H5734">
        <v>14</v>
      </c>
      <c r="I5734">
        <v>14</v>
      </c>
      <c r="J5734">
        <v>30</v>
      </c>
    </row>
    <row r="5735" spans="1:10" x14ac:dyDescent="0.25">
      <c r="A5735" t="s">
        <v>25</v>
      </c>
      <c r="B5735" t="s">
        <v>21</v>
      </c>
      <c r="C5735" t="s">
        <v>12</v>
      </c>
      <c r="D5735" t="s">
        <v>14</v>
      </c>
      <c r="E5735">
        <v>0.92511415525114105</v>
      </c>
      <c r="F5735">
        <v>0.93059259828712304</v>
      </c>
      <c r="G5735">
        <v>23.940666437149002</v>
      </c>
      <c r="H5735">
        <v>13</v>
      </c>
      <c r="I5735">
        <v>13</v>
      </c>
      <c r="J5735">
        <v>30</v>
      </c>
    </row>
    <row r="5736" spans="1:10" x14ac:dyDescent="0.25">
      <c r="A5736" t="s">
        <v>25</v>
      </c>
      <c r="B5736" t="s">
        <v>21</v>
      </c>
      <c r="C5736" t="s">
        <v>12</v>
      </c>
      <c r="D5736" t="s">
        <v>14</v>
      </c>
      <c r="E5736">
        <v>0.92237442922374402</v>
      </c>
      <c r="F5736">
        <v>0.92815908663031799</v>
      </c>
      <c r="G5736">
        <v>23.9265584945678</v>
      </c>
      <c r="H5736">
        <v>13</v>
      </c>
      <c r="I5736">
        <v>13</v>
      </c>
      <c r="J5736">
        <v>30</v>
      </c>
    </row>
    <row r="5737" spans="1:10" x14ac:dyDescent="0.25">
      <c r="A5737" t="s">
        <v>25</v>
      </c>
      <c r="B5737" t="s">
        <v>21</v>
      </c>
      <c r="C5737" t="s">
        <v>12</v>
      </c>
      <c r="D5737" t="s">
        <v>14</v>
      </c>
      <c r="E5737">
        <v>0.91780821917808197</v>
      </c>
      <c r="F5737">
        <v>0.92433499977643896</v>
      </c>
      <c r="G5737">
        <v>24.329323291778501</v>
      </c>
      <c r="H5737">
        <v>13</v>
      </c>
      <c r="I5737">
        <v>13</v>
      </c>
      <c r="J5737">
        <v>30</v>
      </c>
    </row>
    <row r="5738" spans="1:10" x14ac:dyDescent="0.25">
      <c r="A5738" t="s">
        <v>25</v>
      </c>
      <c r="B5738" t="s">
        <v>21</v>
      </c>
      <c r="C5738" t="s">
        <v>12</v>
      </c>
      <c r="D5738" t="s">
        <v>14</v>
      </c>
      <c r="E5738">
        <v>0.92146118721461101</v>
      </c>
      <c r="F5738">
        <v>0.92779065586529597</v>
      </c>
      <c r="G5738">
        <v>24.7067515850067</v>
      </c>
      <c r="H5738">
        <v>13</v>
      </c>
      <c r="I5738">
        <v>13</v>
      </c>
      <c r="J5738">
        <v>30</v>
      </c>
    </row>
    <row r="5739" spans="1:10" x14ac:dyDescent="0.25">
      <c r="A5739" t="s">
        <v>25</v>
      </c>
      <c r="B5739" t="s">
        <v>21</v>
      </c>
      <c r="C5739" t="s">
        <v>12</v>
      </c>
      <c r="D5739" t="s">
        <v>14</v>
      </c>
      <c r="E5739">
        <v>0.93607305936073004</v>
      </c>
      <c r="F5739">
        <v>0.93978983934748705</v>
      </c>
      <c r="G5739">
        <v>24.8165411949157</v>
      </c>
      <c r="H5739">
        <v>14</v>
      </c>
      <c r="I5739">
        <v>14</v>
      </c>
      <c r="J5739">
        <v>30</v>
      </c>
    </row>
    <row r="5740" spans="1:10" x14ac:dyDescent="0.25">
      <c r="A5740" t="s">
        <v>25</v>
      </c>
      <c r="B5740" t="s">
        <v>21</v>
      </c>
      <c r="C5740" t="s">
        <v>12</v>
      </c>
      <c r="D5740" t="s">
        <v>14</v>
      </c>
      <c r="E5740">
        <v>0.931506849315068</v>
      </c>
      <c r="F5740">
        <v>0.93579881206456506</v>
      </c>
      <c r="G5740">
        <v>24.889780998229899</v>
      </c>
      <c r="H5740">
        <v>13</v>
      </c>
      <c r="I5740">
        <v>13</v>
      </c>
      <c r="J5740">
        <v>30</v>
      </c>
    </row>
    <row r="5741" spans="1:10" x14ac:dyDescent="0.25">
      <c r="A5741" t="s">
        <v>25</v>
      </c>
      <c r="B5741" t="s">
        <v>21</v>
      </c>
      <c r="C5741" t="s">
        <v>12</v>
      </c>
      <c r="D5741" t="s">
        <v>14</v>
      </c>
      <c r="E5741">
        <v>0.92237442922374402</v>
      </c>
      <c r="F5741">
        <v>0.92803208717762498</v>
      </c>
      <c r="G5741">
        <v>25.081511259078901</v>
      </c>
      <c r="H5741">
        <v>13</v>
      </c>
      <c r="I5741">
        <v>13</v>
      </c>
      <c r="J5741">
        <v>30</v>
      </c>
    </row>
    <row r="5742" spans="1:10" x14ac:dyDescent="0.25">
      <c r="A5742" t="s">
        <v>25</v>
      </c>
      <c r="B5742" t="s">
        <v>21</v>
      </c>
      <c r="C5742" t="s">
        <v>12</v>
      </c>
      <c r="D5742" t="s">
        <v>14</v>
      </c>
      <c r="E5742">
        <v>0.92328767123287603</v>
      </c>
      <c r="F5742">
        <v>0.92887728047013696</v>
      </c>
      <c r="G5742">
        <v>25.861412048339801</v>
      </c>
      <c r="H5742">
        <v>13</v>
      </c>
      <c r="I5742">
        <v>13</v>
      </c>
      <c r="J5742">
        <v>30</v>
      </c>
    </row>
    <row r="5743" spans="1:10" x14ac:dyDescent="0.25">
      <c r="A5743" t="s">
        <v>25</v>
      </c>
      <c r="B5743" t="s">
        <v>21</v>
      </c>
      <c r="C5743" t="s">
        <v>12</v>
      </c>
      <c r="D5743" t="s">
        <v>14</v>
      </c>
      <c r="E5743">
        <v>0.91780821917808197</v>
      </c>
      <c r="F5743">
        <v>0.92472802075890503</v>
      </c>
      <c r="G5743">
        <v>25.964232444763098</v>
      </c>
      <c r="H5743">
        <v>13</v>
      </c>
      <c r="I5743">
        <v>13</v>
      </c>
      <c r="J5743">
        <v>30</v>
      </c>
    </row>
    <row r="5744" spans="1:10" x14ac:dyDescent="0.25">
      <c r="A5744" t="s">
        <v>25</v>
      </c>
      <c r="B5744" t="s">
        <v>21</v>
      </c>
      <c r="C5744" t="s">
        <v>12</v>
      </c>
      <c r="D5744" t="s">
        <v>14</v>
      </c>
      <c r="E5744">
        <v>0.92146118721461101</v>
      </c>
      <c r="F5744">
        <v>0.927325639775889</v>
      </c>
      <c r="G5744">
        <v>26.469852924346899</v>
      </c>
      <c r="H5744">
        <v>14</v>
      </c>
      <c r="I5744">
        <v>14</v>
      </c>
      <c r="J5744">
        <v>30</v>
      </c>
    </row>
    <row r="5745" spans="1:10" x14ac:dyDescent="0.25">
      <c r="A5745" t="s">
        <v>25</v>
      </c>
      <c r="B5745" t="s">
        <v>21</v>
      </c>
      <c r="C5745" t="s">
        <v>12</v>
      </c>
      <c r="D5745" t="s">
        <v>14</v>
      </c>
      <c r="E5745">
        <v>0.91780821917808197</v>
      </c>
      <c r="F5745">
        <v>0.92451673409972601</v>
      </c>
      <c r="G5745">
        <v>26.562839508056602</v>
      </c>
      <c r="H5745">
        <v>14</v>
      </c>
      <c r="I5745">
        <v>14</v>
      </c>
      <c r="J5745">
        <v>30</v>
      </c>
    </row>
    <row r="5746" spans="1:10" x14ac:dyDescent="0.25">
      <c r="A5746" t="s">
        <v>25</v>
      </c>
      <c r="B5746" t="s">
        <v>21</v>
      </c>
      <c r="C5746" t="s">
        <v>12</v>
      </c>
      <c r="D5746" t="s">
        <v>14</v>
      </c>
      <c r="E5746">
        <v>0.92876712328767097</v>
      </c>
      <c r="F5746">
        <v>0.93374440870995301</v>
      </c>
      <c r="G5746">
        <v>26.740719556808401</v>
      </c>
      <c r="H5746">
        <v>14</v>
      </c>
      <c r="I5746">
        <v>14</v>
      </c>
      <c r="J5746">
        <v>30</v>
      </c>
    </row>
    <row r="5747" spans="1:10" x14ac:dyDescent="0.25">
      <c r="A5747" t="s">
        <v>25</v>
      </c>
      <c r="B5747" t="s">
        <v>21</v>
      </c>
      <c r="C5747" t="s">
        <v>12</v>
      </c>
      <c r="D5747" t="s">
        <v>14</v>
      </c>
      <c r="E5747">
        <v>0.92420091324200904</v>
      </c>
      <c r="F5747">
        <v>0.92964157185461205</v>
      </c>
      <c r="G5747">
        <v>26.778371095657299</v>
      </c>
      <c r="H5747">
        <v>13</v>
      </c>
      <c r="I5747">
        <v>13</v>
      </c>
      <c r="J5747">
        <v>30</v>
      </c>
    </row>
    <row r="5748" spans="1:10" x14ac:dyDescent="0.25">
      <c r="A5748" t="s">
        <v>25</v>
      </c>
      <c r="B5748" t="s">
        <v>21</v>
      </c>
      <c r="C5748" t="s">
        <v>12</v>
      </c>
      <c r="D5748" t="s">
        <v>14</v>
      </c>
      <c r="E5748">
        <v>0.91598173515981696</v>
      </c>
      <c r="F5748">
        <v>0.92278977861378797</v>
      </c>
      <c r="G5748">
        <v>26.773350000381399</v>
      </c>
      <c r="H5748">
        <v>13</v>
      </c>
      <c r="I5748">
        <v>13</v>
      </c>
      <c r="J5748">
        <v>30</v>
      </c>
    </row>
    <row r="5749" spans="1:10" x14ac:dyDescent="0.25">
      <c r="A5749" t="s">
        <v>25</v>
      </c>
      <c r="B5749" t="s">
        <v>21</v>
      </c>
      <c r="C5749" t="s">
        <v>12</v>
      </c>
      <c r="D5749" t="s">
        <v>14</v>
      </c>
      <c r="E5749">
        <v>0.91232876712328703</v>
      </c>
      <c r="F5749">
        <v>0.91974604925232795</v>
      </c>
      <c r="G5749">
        <v>26.9493391513824</v>
      </c>
      <c r="H5749">
        <v>14</v>
      </c>
      <c r="I5749">
        <v>14</v>
      </c>
      <c r="J5749">
        <v>30</v>
      </c>
    </row>
    <row r="5750" spans="1:10" x14ac:dyDescent="0.25">
      <c r="A5750" t="s">
        <v>25</v>
      </c>
      <c r="B5750" t="s">
        <v>21</v>
      </c>
      <c r="C5750" t="s">
        <v>12</v>
      </c>
      <c r="D5750" t="s">
        <v>14</v>
      </c>
      <c r="E5750">
        <v>0.91780821917808197</v>
      </c>
      <c r="F5750">
        <v>0.92409049625926998</v>
      </c>
      <c r="G5750">
        <v>27.041259288787799</v>
      </c>
      <c r="H5750">
        <v>13</v>
      </c>
      <c r="I5750">
        <v>13</v>
      </c>
      <c r="J5750">
        <v>30</v>
      </c>
    </row>
    <row r="5751" spans="1:10" x14ac:dyDescent="0.25">
      <c r="A5751" t="s">
        <v>25</v>
      </c>
      <c r="B5751" t="s">
        <v>21</v>
      </c>
      <c r="C5751" t="s">
        <v>12</v>
      </c>
      <c r="D5751" t="s">
        <v>14</v>
      </c>
      <c r="E5751">
        <v>0.931506849315068</v>
      </c>
      <c r="F5751">
        <v>0.93627242952438305</v>
      </c>
      <c r="G5751">
        <v>27.036185026168798</v>
      </c>
      <c r="H5751">
        <v>14</v>
      </c>
      <c r="I5751">
        <v>14</v>
      </c>
      <c r="J5751">
        <v>30</v>
      </c>
    </row>
    <row r="5752" spans="1:10" x14ac:dyDescent="0.25">
      <c r="A5752" t="s">
        <v>25</v>
      </c>
      <c r="B5752" t="s">
        <v>21</v>
      </c>
      <c r="C5752" t="s">
        <v>12</v>
      </c>
      <c r="D5752" t="s">
        <v>14</v>
      </c>
      <c r="E5752">
        <v>0.92511415525114105</v>
      </c>
      <c r="F5752">
        <v>0.93052690274584504</v>
      </c>
      <c r="G5752">
        <v>27.136655569076499</v>
      </c>
      <c r="H5752">
        <v>13</v>
      </c>
      <c r="I5752">
        <v>13</v>
      </c>
      <c r="J5752">
        <v>30</v>
      </c>
    </row>
    <row r="5753" spans="1:10" x14ac:dyDescent="0.25">
      <c r="A5753" t="s">
        <v>25</v>
      </c>
      <c r="B5753" t="s">
        <v>21</v>
      </c>
      <c r="C5753" t="s">
        <v>12</v>
      </c>
      <c r="D5753" t="s">
        <v>14</v>
      </c>
      <c r="E5753">
        <v>0.91872146118721398</v>
      </c>
      <c r="F5753">
        <v>0.92506178295241803</v>
      </c>
      <c r="G5753">
        <v>27.183206081390299</v>
      </c>
      <c r="H5753">
        <v>14</v>
      </c>
      <c r="I5753">
        <v>14</v>
      </c>
      <c r="J5753">
        <v>30</v>
      </c>
    </row>
    <row r="5754" spans="1:10" x14ac:dyDescent="0.25">
      <c r="A5754" t="s">
        <v>25</v>
      </c>
      <c r="B5754" t="s">
        <v>21</v>
      </c>
      <c r="C5754" t="s">
        <v>12</v>
      </c>
      <c r="D5754" t="s">
        <v>14</v>
      </c>
      <c r="E5754">
        <v>0.91963470319634699</v>
      </c>
      <c r="F5754">
        <v>0.926890313818446</v>
      </c>
      <c r="G5754">
        <v>27.184176921844401</v>
      </c>
      <c r="H5754">
        <v>13</v>
      </c>
      <c r="I5754">
        <v>13</v>
      </c>
      <c r="J5754">
        <v>30</v>
      </c>
    </row>
    <row r="5755" spans="1:10" x14ac:dyDescent="0.25">
      <c r="A5755" t="s">
        <v>25</v>
      </c>
      <c r="B5755" t="s">
        <v>21</v>
      </c>
      <c r="C5755" t="s">
        <v>12</v>
      </c>
      <c r="D5755" t="s">
        <v>14</v>
      </c>
      <c r="E5755">
        <v>0.90776255707762499</v>
      </c>
      <c r="F5755">
        <v>0.91559016719479303</v>
      </c>
      <c r="G5755">
        <v>27.196726322174001</v>
      </c>
      <c r="H5755">
        <v>14</v>
      </c>
      <c r="I5755">
        <v>14</v>
      </c>
      <c r="J5755">
        <v>30</v>
      </c>
    </row>
    <row r="5756" spans="1:10" x14ac:dyDescent="0.25">
      <c r="A5756" t="s">
        <v>25</v>
      </c>
      <c r="B5756" t="s">
        <v>21</v>
      </c>
      <c r="C5756" t="s">
        <v>12</v>
      </c>
      <c r="D5756" t="s">
        <v>14</v>
      </c>
      <c r="E5756">
        <v>0.92146118721461101</v>
      </c>
      <c r="F5756">
        <v>0.92854417144219104</v>
      </c>
      <c r="G5756">
        <v>27.2254137992858</v>
      </c>
      <c r="H5756">
        <v>14</v>
      </c>
      <c r="I5756">
        <v>14</v>
      </c>
      <c r="J5756">
        <v>30</v>
      </c>
    </row>
    <row r="5757" spans="1:10" x14ac:dyDescent="0.25">
      <c r="A5757" t="s">
        <v>25</v>
      </c>
      <c r="B5757" t="s">
        <v>21</v>
      </c>
      <c r="C5757" t="s">
        <v>12</v>
      </c>
      <c r="D5757" t="s">
        <v>14</v>
      </c>
      <c r="E5757">
        <v>0.92785388127853796</v>
      </c>
      <c r="F5757">
        <v>0.93271336001196403</v>
      </c>
      <c r="G5757">
        <v>27.330433845520002</v>
      </c>
      <c r="H5757">
        <v>14</v>
      </c>
      <c r="I5757">
        <v>14</v>
      </c>
      <c r="J5757">
        <v>30</v>
      </c>
    </row>
    <row r="5758" spans="1:10" x14ac:dyDescent="0.25">
      <c r="A5758" t="s">
        <v>25</v>
      </c>
      <c r="B5758" t="s">
        <v>21</v>
      </c>
      <c r="C5758" t="s">
        <v>12</v>
      </c>
      <c r="D5758" t="s">
        <v>14</v>
      </c>
      <c r="E5758">
        <v>0.92602739726027306</v>
      </c>
      <c r="F5758">
        <v>0.93133932038073097</v>
      </c>
      <c r="G5758">
        <v>27.3279259204864</v>
      </c>
      <c r="H5758">
        <v>14</v>
      </c>
      <c r="I5758">
        <v>14</v>
      </c>
      <c r="J5758">
        <v>30</v>
      </c>
    </row>
    <row r="5759" spans="1:10" x14ac:dyDescent="0.25">
      <c r="A5759" t="s">
        <v>25</v>
      </c>
      <c r="B5759" t="s">
        <v>21</v>
      </c>
      <c r="C5759" t="s">
        <v>12</v>
      </c>
      <c r="D5759" t="s">
        <v>14</v>
      </c>
      <c r="E5759">
        <v>0.90319634703196305</v>
      </c>
      <c r="F5759">
        <v>0.91234592886913102</v>
      </c>
      <c r="G5759">
        <v>27.440791845321598</v>
      </c>
      <c r="H5759">
        <v>14</v>
      </c>
      <c r="I5759">
        <v>14</v>
      </c>
      <c r="J5759">
        <v>30</v>
      </c>
    </row>
    <row r="5760" spans="1:10" x14ac:dyDescent="0.25">
      <c r="A5760" t="s">
        <v>25</v>
      </c>
      <c r="B5760" t="s">
        <v>21</v>
      </c>
      <c r="C5760" t="s">
        <v>12</v>
      </c>
      <c r="D5760" t="s">
        <v>14</v>
      </c>
      <c r="E5760">
        <v>0.90958904109589001</v>
      </c>
      <c r="F5760">
        <v>0.91729107810520405</v>
      </c>
      <c r="G5760">
        <v>27.504361629485999</v>
      </c>
      <c r="H5760">
        <v>14</v>
      </c>
      <c r="I5760">
        <v>14</v>
      </c>
      <c r="J5760">
        <v>30</v>
      </c>
    </row>
    <row r="5761" spans="1:10" x14ac:dyDescent="0.25">
      <c r="A5761" t="s">
        <v>25</v>
      </c>
      <c r="B5761" t="s">
        <v>21</v>
      </c>
      <c r="C5761" t="s">
        <v>12</v>
      </c>
      <c r="D5761" t="s">
        <v>14</v>
      </c>
      <c r="E5761">
        <v>0.92876712328767097</v>
      </c>
      <c r="F5761">
        <v>0.93366863808392497</v>
      </c>
      <c r="G5761">
        <v>27.490817785263001</v>
      </c>
      <c r="H5761">
        <v>14</v>
      </c>
      <c r="I5761">
        <v>14</v>
      </c>
      <c r="J5761">
        <v>30</v>
      </c>
    </row>
    <row r="5762" spans="1:10" x14ac:dyDescent="0.25">
      <c r="A5762" t="s">
        <v>25</v>
      </c>
      <c r="B5762" t="s">
        <v>21</v>
      </c>
      <c r="C5762" t="s">
        <v>12</v>
      </c>
      <c r="D5762" t="s">
        <v>15</v>
      </c>
      <c r="E5762">
        <v>0</v>
      </c>
      <c r="F5762">
        <v>0.75</v>
      </c>
      <c r="G5762">
        <v>0.389344692230224</v>
      </c>
      <c r="H5762">
        <v>0</v>
      </c>
      <c r="I5762">
        <v>0</v>
      </c>
      <c r="J5762">
        <v>30</v>
      </c>
    </row>
    <row r="5763" spans="1:10" x14ac:dyDescent="0.25">
      <c r="A5763" t="s">
        <v>25</v>
      </c>
      <c r="B5763" t="s">
        <v>21</v>
      </c>
      <c r="C5763" t="s">
        <v>12</v>
      </c>
      <c r="D5763" t="s">
        <v>15</v>
      </c>
      <c r="E5763">
        <v>0</v>
      </c>
      <c r="F5763">
        <v>0.75</v>
      </c>
      <c r="G5763">
        <v>0.44983172416687001</v>
      </c>
      <c r="H5763">
        <v>0</v>
      </c>
      <c r="I5763">
        <v>0</v>
      </c>
      <c r="J5763">
        <v>30</v>
      </c>
    </row>
    <row r="5764" spans="1:10" x14ac:dyDescent="0.25">
      <c r="A5764" t="s">
        <v>25</v>
      </c>
      <c r="B5764" t="s">
        <v>21</v>
      </c>
      <c r="C5764" t="s">
        <v>12</v>
      </c>
      <c r="D5764" t="s">
        <v>15</v>
      </c>
      <c r="E5764">
        <v>0</v>
      </c>
      <c r="F5764">
        <v>0.75</v>
      </c>
      <c r="G5764">
        <v>0.929848432540893</v>
      </c>
      <c r="H5764">
        <v>0</v>
      </c>
      <c r="I5764">
        <v>0</v>
      </c>
      <c r="J5764">
        <v>30</v>
      </c>
    </row>
    <row r="5765" spans="1:10" x14ac:dyDescent="0.25">
      <c r="A5765" t="s">
        <v>25</v>
      </c>
      <c r="B5765" t="s">
        <v>21</v>
      </c>
      <c r="C5765" t="s">
        <v>12</v>
      </c>
      <c r="D5765" t="s">
        <v>15</v>
      </c>
      <c r="E5765">
        <v>0</v>
      </c>
      <c r="F5765">
        <v>0.75</v>
      </c>
      <c r="G5765">
        <v>1.75132513046264</v>
      </c>
      <c r="H5765">
        <v>2</v>
      </c>
      <c r="I5765">
        <v>6</v>
      </c>
      <c r="J5765">
        <v>30</v>
      </c>
    </row>
    <row r="5766" spans="1:10" x14ac:dyDescent="0.25">
      <c r="A5766" t="s">
        <v>25</v>
      </c>
      <c r="B5766" t="s">
        <v>21</v>
      </c>
      <c r="C5766" t="s">
        <v>12</v>
      </c>
      <c r="D5766" t="s">
        <v>15</v>
      </c>
      <c r="E5766">
        <v>0.89315068493150596</v>
      </c>
      <c r="F5766">
        <v>0.90606880756164399</v>
      </c>
      <c r="G5766">
        <v>2.0933854579925502</v>
      </c>
      <c r="H5766">
        <v>1</v>
      </c>
      <c r="I5766">
        <v>1</v>
      </c>
      <c r="J5766">
        <v>30</v>
      </c>
    </row>
    <row r="5767" spans="1:10" x14ac:dyDescent="0.25">
      <c r="A5767" t="s">
        <v>25</v>
      </c>
      <c r="B5767" t="s">
        <v>21</v>
      </c>
      <c r="C5767" t="s">
        <v>12</v>
      </c>
      <c r="D5767" t="s">
        <v>15</v>
      </c>
      <c r="E5767">
        <v>0.89497716894977097</v>
      </c>
      <c r="F5767">
        <v>0.907474512645845</v>
      </c>
      <c r="G5767">
        <v>2.1218771934509202</v>
      </c>
      <c r="H5767">
        <v>3</v>
      </c>
      <c r="I5767">
        <v>3</v>
      </c>
      <c r="J5767">
        <v>30</v>
      </c>
    </row>
    <row r="5768" spans="1:10" x14ac:dyDescent="0.25">
      <c r="A5768" t="s">
        <v>25</v>
      </c>
      <c r="B5768" t="s">
        <v>21</v>
      </c>
      <c r="C5768" t="s">
        <v>12</v>
      </c>
      <c r="D5768" t="s">
        <v>15</v>
      </c>
      <c r="E5768">
        <v>0.88310502283104997</v>
      </c>
      <c r="F5768">
        <v>0.89779248157269398</v>
      </c>
      <c r="G5768">
        <v>2.2803773880004798</v>
      </c>
      <c r="H5768">
        <v>7</v>
      </c>
      <c r="I5768">
        <v>14</v>
      </c>
      <c r="J5768">
        <v>30</v>
      </c>
    </row>
    <row r="5769" spans="1:10" x14ac:dyDescent="0.25">
      <c r="A5769" t="s">
        <v>25</v>
      </c>
      <c r="B5769" t="s">
        <v>21</v>
      </c>
      <c r="C5769" t="s">
        <v>12</v>
      </c>
      <c r="D5769" t="s">
        <v>15</v>
      </c>
      <c r="E5769">
        <v>0.88949771689497703</v>
      </c>
      <c r="F5769">
        <v>0.90260696318100497</v>
      </c>
      <c r="G5769">
        <v>3.0525619983672998</v>
      </c>
      <c r="H5769">
        <v>6</v>
      </c>
      <c r="I5769">
        <v>14</v>
      </c>
      <c r="J5769">
        <v>30</v>
      </c>
    </row>
    <row r="5770" spans="1:10" x14ac:dyDescent="0.25">
      <c r="A5770" t="s">
        <v>25</v>
      </c>
      <c r="B5770" t="s">
        <v>21</v>
      </c>
      <c r="C5770" t="s">
        <v>12</v>
      </c>
      <c r="D5770" t="s">
        <v>15</v>
      </c>
      <c r="E5770">
        <v>0.89132420091324205</v>
      </c>
      <c r="F5770">
        <v>0.90438603561644004</v>
      </c>
      <c r="G5770">
        <v>3.2296974658965998</v>
      </c>
      <c r="H5770">
        <v>3</v>
      </c>
      <c r="I5770">
        <v>11</v>
      </c>
      <c r="J5770">
        <v>30</v>
      </c>
    </row>
    <row r="5771" spans="1:10" x14ac:dyDescent="0.25">
      <c r="A5771" t="s">
        <v>25</v>
      </c>
      <c r="B5771" t="s">
        <v>21</v>
      </c>
      <c r="C5771" t="s">
        <v>12</v>
      </c>
      <c r="D5771" t="s">
        <v>15</v>
      </c>
      <c r="E5771">
        <v>0.90502283105022796</v>
      </c>
      <c r="F5771">
        <v>0.91648319443287796</v>
      </c>
      <c r="G5771">
        <v>3.5130686759948699</v>
      </c>
      <c r="H5771">
        <v>8</v>
      </c>
      <c r="I5771">
        <v>16</v>
      </c>
      <c r="J5771">
        <v>30</v>
      </c>
    </row>
    <row r="5772" spans="1:10" x14ac:dyDescent="0.25">
      <c r="A5772" t="s">
        <v>25</v>
      </c>
      <c r="B5772" t="s">
        <v>21</v>
      </c>
      <c r="C5772" t="s">
        <v>12</v>
      </c>
      <c r="D5772" t="s">
        <v>15</v>
      </c>
      <c r="E5772">
        <v>0.89406392694063896</v>
      </c>
      <c r="F5772">
        <v>0.90703009906392495</v>
      </c>
      <c r="G5772">
        <v>3.68361473083496</v>
      </c>
      <c r="H5772">
        <v>17</v>
      </c>
      <c r="I5772">
        <v>31</v>
      </c>
      <c r="J5772">
        <v>30</v>
      </c>
    </row>
    <row r="5773" spans="1:10" x14ac:dyDescent="0.25">
      <c r="A5773" t="s">
        <v>25</v>
      </c>
      <c r="B5773" t="s">
        <v>21</v>
      </c>
      <c r="C5773" t="s">
        <v>12</v>
      </c>
      <c r="D5773" t="s">
        <v>15</v>
      </c>
      <c r="E5773">
        <v>0.89497716894977097</v>
      </c>
      <c r="F5773">
        <v>0.90904883267798897</v>
      </c>
      <c r="G5773">
        <v>3.9530794620513898</v>
      </c>
      <c r="H5773">
        <v>6</v>
      </c>
      <c r="I5773">
        <v>12</v>
      </c>
      <c r="J5773">
        <v>30</v>
      </c>
    </row>
    <row r="5774" spans="1:10" x14ac:dyDescent="0.25">
      <c r="A5774" t="s">
        <v>25</v>
      </c>
      <c r="B5774" t="s">
        <v>21</v>
      </c>
      <c r="C5774" t="s">
        <v>12</v>
      </c>
      <c r="D5774" t="s">
        <v>15</v>
      </c>
      <c r="E5774">
        <v>0.88219178082191696</v>
      </c>
      <c r="F5774">
        <v>0.90016582634082398</v>
      </c>
      <c r="G5774">
        <v>4.0046148300170898</v>
      </c>
      <c r="H5774">
        <v>13</v>
      </c>
      <c r="I5774">
        <v>35</v>
      </c>
      <c r="J5774">
        <v>30</v>
      </c>
    </row>
    <row r="5775" spans="1:10" x14ac:dyDescent="0.25">
      <c r="A5775" t="s">
        <v>25</v>
      </c>
      <c r="B5775" t="s">
        <v>21</v>
      </c>
      <c r="C5775" t="s">
        <v>12</v>
      </c>
      <c r="D5775" t="s">
        <v>15</v>
      </c>
      <c r="E5775">
        <v>0.886757990867579</v>
      </c>
      <c r="F5775">
        <v>0.90159814387141601</v>
      </c>
      <c r="G5775">
        <v>4.0432000160217196</v>
      </c>
      <c r="H5775">
        <v>6</v>
      </c>
      <c r="I5775">
        <v>14</v>
      </c>
      <c r="J5775">
        <v>30</v>
      </c>
    </row>
    <row r="5776" spans="1:10" x14ac:dyDescent="0.25">
      <c r="A5776" t="s">
        <v>25</v>
      </c>
      <c r="B5776" t="s">
        <v>21</v>
      </c>
      <c r="C5776" t="s">
        <v>12</v>
      </c>
      <c r="D5776" t="s">
        <v>15</v>
      </c>
      <c r="E5776">
        <v>0.89954337899543302</v>
      </c>
      <c r="F5776">
        <v>0.91014288582228398</v>
      </c>
      <c r="G5776">
        <v>4.60499811172485</v>
      </c>
      <c r="H5776">
        <v>9</v>
      </c>
      <c r="I5776">
        <v>20</v>
      </c>
      <c r="J5776">
        <v>30</v>
      </c>
    </row>
    <row r="5777" spans="1:10" x14ac:dyDescent="0.25">
      <c r="A5777" t="s">
        <v>25</v>
      </c>
      <c r="B5777" t="s">
        <v>21</v>
      </c>
      <c r="C5777" t="s">
        <v>12</v>
      </c>
      <c r="D5777" t="s">
        <v>15</v>
      </c>
      <c r="E5777">
        <v>0.89497716894977097</v>
      </c>
      <c r="F5777">
        <v>0.90752245785132502</v>
      </c>
      <c r="G5777">
        <v>4.7974369525909397</v>
      </c>
      <c r="H5777">
        <v>3</v>
      </c>
      <c r="I5777">
        <v>3</v>
      </c>
      <c r="J5777">
        <v>30</v>
      </c>
    </row>
    <row r="5778" spans="1:10" x14ac:dyDescent="0.25">
      <c r="A5778" t="s">
        <v>25</v>
      </c>
      <c r="B5778" t="s">
        <v>21</v>
      </c>
      <c r="C5778" t="s">
        <v>12</v>
      </c>
      <c r="D5778" t="s">
        <v>15</v>
      </c>
      <c r="E5778">
        <v>0.89132420091324205</v>
      </c>
      <c r="F5778">
        <v>0.90796791043853797</v>
      </c>
      <c r="G5778">
        <v>4.7441849708557102</v>
      </c>
      <c r="H5778">
        <v>10</v>
      </c>
      <c r="I5778">
        <v>25</v>
      </c>
      <c r="J5778">
        <v>30</v>
      </c>
    </row>
    <row r="5779" spans="1:10" x14ac:dyDescent="0.25">
      <c r="A5779" t="s">
        <v>25</v>
      </c>
      <c r="B5779" t="s">
        <v>21</v>
      </c>
      <c r="C5779" t="s">
        <v>12</v>
      </c>
      <c r="D5779" t="s">
        <v>15</v>
      </c>
      <c r="E5779">
        <v>0.88767123287671201</v>
      </c>
      <c r="F5779">
        <v>0.90297401466739602</v>
      </c>
      <c r="G5779">
        <v>5.3233087062835596</v>
      </c>
      <c r="H5779">
        <v>9</v>
      </c>
      <c r="I5779">
        <v>29</v>
      </c>
      <c r="J5779">
        <v>30</v>
      </c>
    </row>
    <row r="5780" spans="1:10" x14ac:dyDescent="0.25">
      <c r="A5780" t="s">
        <v>25</v>
      </c>
      <c r="B5780" t="s">
        <v>21</v>
      </c>
      <c r="C5780" t="s">
        <v>12</v>
      </c>
      <c r="D5780" t="s">
        <v>15</v>
      </c>
      <c r="E5780">
        <v>0.90228310502283104</v>
      </c>
      <c r="F5780">
        <v>0.91433718198629998</v>
      </c>
      <c r="G5780">
        <v>5.5741064548492396</v>
      </c>
      <c r="H5780">
        <v>6</v>
      </c>
      <c r="I5780">
        <v>13</v>
      </c>
      <c r="J5780">
        <v>30</v>
      </c>
    </row>
    <row r="5781" spans="1:10" x14ac:dyDescent="0.25">
      <c r="A5781" t="s">
        <v>25</v>
      </c>
      <c r="B5781" t="s">
        <v>21</v>
      </c>
      <c r="C5781" t="s">
        <v>12</v>
      </c>
      <c r="D5781" t="s">
        <v>15</v>
      </c>
      <c r="E5781">
        <v>0.89132420091324205</v>
      </c>
      <c r="F5781">
        <v>0.90716911019068602</v>
      </c>
      <c r="G5781">
        <v>5.5474069118499703</v>
      </c>
      <c r="H5781">
        <v>10</v>
      </c>
      <c r="I5781">
        <v>30</v>
      </c>
      <c r="J5781">
        <v>30</v>
      </c>
    </row>
    <row r="5782" spans="1:10" x14ac:dyDescent="0.25">
      <c r="A5782" t="s">
        <v>25</v>
      </c>
      <c r="B5782" t="s">
        <v>21</v>
      </c>
      <c r="C5782" t="s">
        <v>12</v>
      </c>
      <c r="D5782" t="s">
        <v>15</v>
      </c>
      <c r="E5782">
        <v>0.89406392694063896</v>
      </c>
      <c r="F5782">
        <v>0.90916526093735195</v>
      </c>
      <c r="G5782">
        <v>5.5981550216674796</v>
      </c>
      <c r="H5782">
        <v>12</v>
      </c>
      <c r="I5782">
        <v>25</v>
      </c>
      <c r="J5782">
        <v>30</v>
      </c>
    </row>
    <row r="5783" spans="1:10" x14ac:dyDescent="0.25">
      <c r="A5783" t="s">
        <v>25</v>
      </c>
      <c r="B5783" t="s">
        <v>21</v>
      </c>
      <c r="C5783" t="s">
        <v>12</v>
      </c>
      <c r="D5783" t="s">
        <v>15</v>
      </c>
      <c r="E5783">
        <v>0.88949771689497703</v>
      </c>
      <c r="F5783">
        <v>0.90345075899543303</v>
      </c>
      <c r="G5783">
        <v>5.68578600883483</v>
      </c>
      <c r="H5783">
        <v>11</v>
      </c>
      <c r="I5783">
        <v>24</v>
      </c>
      <c r="J5783">
        <v>30</v>
      </c>
    </row>
    <row r="5784" spans="1:10" x14ac:dyDescent="0.25">
      <c r="A5784" t="s">
        <v>25</v>
      </c>
      <c r="B5784" t="s">
        <v>21</v>
      </c>
      <c r="C5784" t="s">
        <v>12</v>
      </c>
      <c r="D5784" t="s">
        <v>15</v>
      </c>
      <c r="E5784">
        <v>0.89315068493150596</v>
      </c>
      <c r="F5784">
        <v>0.90798133117077595</v>
      </c>
      <c r="G5784">
        <v>6.1260316371917698</v>
      </c>
      <c r="H5784">
        <v>14</v>
      </c>
      <c r="I5784">
        <v>41</v>
      </c>
      <c r="J5784">
        <v>30</v>
      </c>
    </row>
    <row r="5785" spans="1:10" x14ac:dyDescent="0.25">
      <c r="A5785" t="s">
        <v>25</v>
      </c>
      <c r="B5785" t="s">
        <v>21</v>
      </c>
      <c r="C5785" t="s">
        <v>12</v>
      </c>
      <c r="D5785" t="s">
        <v>15</v>
      </c>
      <c r="E5785">
        <v>0.88219178082191696</v>
      </c>
      <c r="F5785">
        <v>0.89667372636228104</v>
      </c>
      <c r="G5785">
        <v>6.25746345520019</v>
      </c>
      <c r="H5785">
        <v>13</v>
      </c>
      <c r="I5785">
        <v>31</v>
      </c>
      <c r="J5785">
        <v>30</v>
      </c>
    </row>
    <row r="5786" spans="1:10" x14ac:dyDescent="0.25">
      <c r="A5786" t="s">
        <v>25</v>
      </c>
      <c r="B5786" t="s">
        <v>21</v>
      </c>
      <c r="C5786" t="s">
        <v>12</v>
      </c>
      <c r="D5786" t="s">
        <v>15</v>
      </c>
      <c r="E5786">
        <v>0.89406392694063896</v>
      </c>
      <c r="F5786">
        <v>0.90707873235707703</v>
      </c>
      <c r="G5786">
        <v>6.3631963729858398</v>
      </c>
      <c r="H5786">
        <v>14</v>
      </c>
      <c r="I5786">
        <v>42</v>
      </c>
      <c r="J5786">
        <v>30</v>
      </c>
    </row>
    <row r="5787" spans="1:10" x14ac:dyDescent="0.25">
      <c r="A5787" t="s">
        <v>25</v>
      </c>
      <c r="B5787" t="s">
        <v>21</v>
      </c>
      <c r="C5787" t="s">
        <v>12</v>
      </c>
      <c r="D5787" t="s">
        <v>15</v>
      </c>
      <c r="E5787">
        <v>0.88949771689497703</v>
      </c>
      <c r="F5787">
        <v>0.90455725803662101</v>
      </c>
      <c r="G5787">
        <v>6.6936776638030997</v>
      </c>
      <c r="H5787">
        <v>17</v>
      </c>
      <c r="I5787">
        <v>37</v>
      </c>
      <c r="J5787">
        <v>30</v>
      </c>
    </row>
    <row r="5788" spans="1:10" x14ac:dyDescent="0.25">
      <c r="A5788" t="s">
        <v>25</v>
      </c>
      <c r="B5788" t="s">
        <v>21</v>
      </c>
      <c r="C5788" t="s">
        <v>12</v>
      </c>
      <c r="D5788" t="s">
        <v>15</v>
      </c>
      <c r="E5788">
        <v>0.89406392694063896</v>
      </c>
      <c r="F5788">
        <v>0.90643166625022997</v>
      </c>
      <c r="G5788">
        <v>6.7625045776367099</v>
      </c>
      <c r="H5788">
        <v>16</v>
      </c>
      <c r="I5788">
        <v>35</v>
      </c>
      <c r="J5788">
        <v>30</v>
      </c>
    </row>
    <row r="5789" spans="1:10" x14ac:dyDescent="0.25">
      <c r="A5789" t="s">
        <v>25</v>
      </c>
      <c r="B5789" t="s">
        <v>21</v>
      </c>
      <c r="C5789" t="s">
        <v>12</v>
      </c>
      <c r="D5789" t="s">
        <v>15</v>
      </c>
      <c r="E5789">
        <v>0.89863013698630101</v>
      </c>
      <c r="F5789">
        <v>0.91208265057945004</v>
      </c>
      <c r="G5789">
        <v>7.0808944702148402</v>
      </c>
      <c r="H5789">
        <v>21</v>
      </c>
      <c r="I5789">
        <v>42</v>
      </c>
      <c r="J5789">
        <v>30</v>
      </c>
    </row>
    <row r="5790" spans="1:10" x14ac:dyDescent="0.25">
      <c r="A5790" t="s">
        <v>25</v>
      </c>
      <c r="B5790" t="s">
        <v>21</v>
      </c>
      <c r="C5790" t="s">
        <v>12</v>
      </c>
      <c r="D5790" t="s">
        <v>15</v>
      </c>
      <c r="E5790">
        <v>0.89406392694063896</v>
      </c>
      <c r="F5790">
        <v>0.90827097901114195</v>
      </c>
      <c r="G5790">
        <v>7.6042532920837402</v>
      </c>
      <c r="H5790">
        <v>24</v>
      </c>
      <c r="I5790">
        <v>54</v>
      </c>
      <c r="J5790">
        <v>30</v>
      </c>
    </row>
    <row r="5791" spans="1:10" x14ac:dyDescent="0.25">
      <c r="A5791" t="s">
        <v>25</v>
      </c>
      <c r="B5791" t="s">
        <v>21</v>
      </c>
      <c r="C5791" t="s">
        <v>12</v>
      </c>
      <c r="D5791" t="s">
        <v>15</v>
      </c>
      <c r="E5791">
        <v>0.89223744292237395</v>
      </c>
      <c r="F5791">
        <v>0.90820075370374498</v>
      </c>
      <c r="G5791">
        <v>7.9135797023773096</v>
      </c>
      <c r="H5791">
        <v>31</v>
      </c>
      <c r="I5791">
        <v>65</v>
      </c>
      <c r="J5791">
        <v>30</v>
      </c>
    </row>
    <row r="5792" spans="1:10" x14ac:dyDescent="0.25">
      <c r="A5792" t="s">
        <v>25</v>
      </c>
      <c r="B5792" t="s">
        <v>21</v>
      </c>
      <c r="C5792" t="s">
        <v>12</v>
      </c>
      <c r="D5792" t="s">
        <v>16</v>
      </c>
      <c r="E5792">
        <v>0</v>
      </c>
      <c r="F5792">
        <v>0.75</v>
      </c>
      <c r="G5792">
        <v>0.34266567230224598</v>
      </c>
      <c r="H5792">
        <v>0</v>
      </c>
      <c r="I5792">
        <v>0</v>
      </c>
      <c r="J5792">
        <v>30</v>
      </c>
    </row>
    <row r="5793" spans="1:10" x14ac:dyDescent="0.25">
      <c r="A5793" t="s">
        <v>25</v>
      </c>
      <c r="B5793" t="s">
        <v>21</v>
      </c>
      <c r="C5793" t="s">
        <v>12</v>
      </c>
      <c r="D5793" t="s">
        <v>16</v>
      </c>
      <c r="E5793">
        <v>0</v>
      </c>
      <c r="F5793">
        <v>0.75</v>
      </c>
      <c r="G5793">
        <v>0.348695278167724</v>
      </c>
      <c r="H5793">
        <v>0</v>
      </c>
      <c r="I5793">
        <v>0</v>
      </c>
      <c r="J5793">
        <v>30</v>
      </c>
    </row>
    <row r="5794" spans="1:10" x14ac:dyDescent="0.25">
      <c r="A5794" t="s">
        <v>25</v>
      </c>
      <c r="B5794" t="s">
        <v>21</v>
      </c>
      <c r="C5794" t="s">
        <v>12</v>
      </c>
      <c r="D5794" t="s">
        <v>16</v>
      </c>
      <c r="E5794">
        <v>0</v>
      </c>
      <c r="F5794">
        <v>0.75</v>
      </c>
      <c r="G5794">
        <v>0.387731313705444</v>
      </c>
      <c r="H5794">
        <v>0</v>
      </c>
      <c r="I5794">
        <v>0</v>
      </c>
      <c r="J5794">
        <v>30</v>
      </c>
    </row>
    <row r="5795" spans="1:10" x14ac:dyDescent="0.25">
      <c r="A5795" t="s">
        <v>25</v>
      </c>
      <c r="B5795" t="s">
        <v>21</v>
      </c>
      <c r="C5795" t="s">
        <v>12</v>
      </c>
      <c r="D5795" t="s">
        <v>16</v>
      </c>
      <c r="E5795">
        <v>0</v>
      </c>
      <c r="F5795">
        <v>0.75</v>
      </c>
      <c r="G5795">
        <v>0.39321970939636203</v>
      </c>
      <c r="H5795">
        <v>0</v>
      </c>
      <c r="I5795">
        <v>0</v>
      </c>
      <c r="J5795">
        <v>30</v>
      </c>
    </row>
    <row r="5796" spans="1:10" x14ac:dyDescent="0.25">
      <c r="A5796" t="s">
        <v>25</v>
      </c>
      <c r="B5796" t="s">
        <v>21</v>
      </c>
      <c r="C5796" t="s">
        <v>12</v>
      </c>
      <c r="D5796" t="s">
        <v>16</v>
      </c>
      <c r="E5796">
        <v>0</v>
      </c>
      <c r="F5796">
        <v>0.75</v>
      </c>
      <c r="G5796">
        <v>0.43195629119873002</v>
      </c>
      <c r="H5796">
        <v>0</v>
      </c>
      <c r="I5796">
        <v>0</v>
      </c>
      <c r="J5796">
        <v>30</v>
      </c>
    </row>
    <row r="5797" spans="1:10" x14ac:dyDescent="0.25">
      <c r="A5797" t="s">
        <v>25</v>
      </c>
      <c r="B5797" t="s">
        <v>21</v>
      </c>
      <c r="C5797" t="s">
        <v>12</v>
      </c>
      <c r="D5797" t="s">
        <v>16</v>
      </c>
      <c r="E5797">
        <v>0</v>
      </c>
      <c r="F5797">
        <v>0.75</v>
      </c>
      <c r="G5797">
        <v>0.41788601875305098</v>
      </c>
      <c r="H5797">
        <v>0</v>
      </c>
      <c r="I5797">
        <v>0</v>
      </c>
      <c r="J5797">
        <v>30</v>
      </c>
    </row>
    <row r="5798" spans="1:10" x14ac:dyDescent="0.25">
      <c r="A5798" t="s">
        <v>25</v>
      </c>
      <c r="B5798" t="s">
        <v>21</v>
      </c>
      <c r="C5798" t="s">
        <v>12</v>
      </c>
      <c r="D5798" t="s">
        <v>16</v>
      </c>
      <c r="E5798">
        <v>0</v>
      </c>
      <c r="F5798">
        <v>0.75</v>
      </c>
      <c r="G5798">
        <v>0.43289756774902299</v>
      </c>
      <c r="H5798">
        <v>0</v>
      </c>
      <c r="I5798">
        <v>0</v>
      </c>
      <c r="J5798">
        <v>30</v>
      </c>
    </row>
    <row r="5799" spans="1:10" x14ac:dyDescent="0.25">
      <c r="A5799" t="s">
        <v>25</v>
      </c>
      <c r="B5799" t="s">
        <v>21</v>
      </c>
      <c r="C5799" t="s">
        <v>12</v>
      </c>
      <c r="D5799" t="s">
        <v>16</v>
      </c>
      <c r="E5799">
        <v>0</v>
      </c>
      <c r="F5799">
        <v>0.75</v>
      </c>
      <c r="G5799">
        <v>0.41578555107116699</v>
      </c>
      <c r="H5799">
        <v>0</v>
      </c>
      <c r="I5799">
        <v>0</v>
      </c>
      <c r="J5799">
        <v>30</v>
      </c>
    </row>
    <row r="5800" spans="1:10" x14ac:dyDescent="0.25">
      <c r="A5800" t="s">
        <v>25</v>
      </c>
      <c r="B5800" t="s">
        <v>21</v>
      </c>
      <c r="C5800" t="s">
        <v>12</v>
      </c>
      <c r="D5800" t="s">
        <v>16</v>
      </c>
      <c r="E5800">
        <v>0</v>
      </c>
      <c r="F5800">
        <v>0.75</v>
      </c>
      <c r="G5800">
        <v>0.39972424507141102</v>
      </c>
      <c r="H5800">
        <v>0</v>
      </c>
      <c r="I5800">
        <v>0</v>
      </c>
      <c r="J5800">
        <v>30</v>
      </c>
    </row>
    <row r="5801" spans="1:10" x14ac:dyDescent="0.25">
      <c r="A5801" t="s">
        <v>25</v>
      </c>
      <c r="B5801" t="s">
        <v>21</v>
      </c>
      <c r="C5801" t="s">
        <v>12</v>
      </c>
      <c r="D5801" t="s">
        <v>16</v>
      </c>
      <c r="E5801">
        <v>0</v>
      </c>
      <c r="F5801">
        <v>0.75</v>
      </c>
      <c r="G5801">
        <v>0.45496630668640098</v>
      </c>
      <c r="H5801">
        <v>0</v>
      </c>
      <c r="I5801">
        <v>0</v>
      </c>
      <c r="J5801">
        <v>30</v>
      </c>
    </row>
    <row r="5802" spans="1:10" x14ac:dyDescent="0.25">
      <c r="A5802" t="s">
        <v>25</v>
      </c>
      <c r="B5802" t="s">
        <v>21</v>
      </c>
      <c r="C5802" t="s">
        <v>12</v>
      </c>
      <c r="D5802" t="s">
        <v>16</v>
      </c>
      <c r="E5802">
        <v>0</v>
      </c>
      <c r="F5802">
        <v>0.75</v>
      </c>
      <c r="G5802">
        <v>0.47764134407043402</v>
      </c>
      <c r="H5802">
        <v>0</v>
      </c>
      <c r="I5802">
        <v>0</v>
      </c>
      <c r="J5802">
        <v>30</v>
      </c>
    </row>
    <row r="5803" spans="1:10" x14ac:dyDescent="0.25">
      <c r="A5803" t="s">
        <v>25</v>
      </c>
      <c r="B5803" t="s">
        <v>21</v>
      </c>
      <c r="C5803" t="s">
        <v>12</v>
      </c>
      <c r="D5803" t="s">
        <v>16</v>
      </c>
      <c r="E5803">
        <v>0</v>
      </c>
      <c r="F5803">
        <v>0.75</v>
      </c>
      <c r="G5803">
        <v>0.46101212501525801</v>
      </c>
      <c r="H5803">
        <v>0</v>
      </c>
      <c r="I5803">
        <v>0</v>
      </c>
      <c r="J5803">
        <v>30</v>
      </c>
    </row>
    <row r="5804" spans="1:10" x14ac:dyDescent="0.25">
      <c r="A5804" t="s">
        <v>25</v>
      </c>
      <c r="B5804" t="s">
        <v>21</v>
      </c>
      <c r="C5804" t="s">
        <v>12</v>
      </c>
      <c r="D5804" t="s">
        <v>16</v>
      </c>
      <c r="E5804">
        <v>0</v>
      </c>
      <c r="F5804">
        <v>0.75</v>
      </c>
      <c r="G5804">
        <v>0.480610370635986</v>
      </c>
      <c r="H5804">
        <v>0</v>
      </c>
      <c r="I5804">
        <v>0</v>
      </c>
      <c r="J5804">
        <v>30</v>
      </c>
    </row>
    <row r="5805" spans="1:10" x14ac:dyDescent="0.25">
      <c r="A5805" t="s">
        <v>25</v>
      </c>
      <c r="B5805" t="s">
        <v>21</v>
      </c>
      <c r="C5805" t="s">
        <v>12</v>
      </c>
      <c r="D5805" t="s">
        <v>16</v>
      </c>
      <c r="E5805">
        <v>0</v>
      </c>
      <c r="F5805">
        <v>0.75</v>
      </c>
      <c r="G5805">
        <v>0.50169920921325595</v>
      </c>
      <c r="H5805">
        <v>0</v>
      </c>
      <c r="I5805">
        <v>0</v>
      </c>
      <c r="J5805">
        <v>30</v>
      </c>
    </row>
    <row r="5806" spans="1:10" x14ac:dyDescent="0.25">
      <c r="A5806" t="s">
        <v>25</v>
      </c>
      <c r="B5806" t="s">
        <v>21</v>
      </c>
      <c r="C5806" t="s">
        <v>12</v>
      </c>
      <c r="D5806" t="s">
        <v>16</v>
      </c>
      <c r="E5806">
        <v>0</v>
      </c>
      <c r="F5806">
        <v>0.75</v>
      </c>
      <c r="G5806">
        <v>0.51320266723632801</v>
      </c>
      <c r="H5806">
        <v>0</v>
      </c>
      <c r="I5806">
        <v>0</v>
      </c>
      <c r="J5806">
        <v>30</v>
      </c>
    </row>
    <row r="5807" spans="1:10" x14ac:dyDescent="0.25">
      <c r="A5807" t="s">
        <v>25</v>
      </c>
      <c r="B5807" t="s">
        <v>21</v>
      </c>
      <c r="C5807" t="s">
        <v>12</v>
      </c>
      <c r="D5807" t="s">
        <v>16</v>
      </c>
      <c r="E5807">
        <v>0</v>
      </c>
      <c r="F5807">
        <v>0.75</v>
      </c>
      <c r="G5807">
        <v>0.49461603164672802</v>
      </c>
      <c r="H5807">
        <v>0</v>
      </c>
      <c r="I5807">
        <v>0</v>
      </c>
      <c r="J5807">
        <v>30</v>
      </c>
    </row>
    <row r="5808" spans="1:10" x14ac:dyDescent="0.25">
      <c r="A5808" t="s">
        <v>25</v>
      </c>
      <c r="B5808" t="s">
        <v>21</v>
      </c>
      <c r="C5808" t="s">
        <v>12</v>
      </c>
      <c r="D5808" t="s">
        <v>16</v>
      </c>
      <c r="E5808">
        <v>0</v>
      </c>
      <c r="F5808">
        <v>0.75</v>
      </c>
      <c r="G5808">
        <v>0.498453378677368</v>
      </c>
      <c r="H5808">
        <v>0</v>
      </c>
      <c r="I5808">
        <v>0</v>
      </c>
      <c r="J5808">
        <v>30</v>
      </c>
    </row>
    <row r="5809" spans="1:10" x14ac:dyDescent="0.25">
      <c r="A5809" t="s">
        <v>25</v>
      </c>
      <c r="B5809" t="s">
        <v>21</v>
      </c>
      <c r="C5809" t="s">
        <v>12</v>
      </c>
      <c r="D5809" t="s">
        <v>16</v>
      </c>
      <c r="E5809">
        <v>0</v>
      </c>
      <c r="F5809">
        <v>0.75</v>
      </c>
      <c r="G5809">
        <v>0.46797156333923301</v>
      </c>
      <c r="H5809">
        <v>0</v>
      </c>
      <c r="I5809">
        <v>0</v>
      </c>
      <c r="J5809">
        <v>30</v>
      </c>
    </row>
    <row r="5810" spans="1:10" x14ac:dyDescent="0.25">
      <c r="A5810" t="s">
        <v>25</v>
      </c>
      <c r="B5810" t="s">
        <v>21</v>
      </c>
      <c r="C5810" t="s">
        <v>12</v>
      </c>
      <c r="D5810" t="s">
        <v>16</v>
      </c>
      <c r="E5810">
        <v>0</v>
      </c>
      <c r="F5810">
        <v>0.75</v>
      </c>
      <c r="G5810">
        <v>0.51618146896362305</v>
      </c>
      <c r="H5810">
        <v>0</v>
      </c>
      <c r="I5810">
        <v>0</v>
      </c>
      <c r="J5810">
        <v>30</v>
      </c>
    </row>
    <row r="5811" spans="1:10" x14ac:dyDescent="0.25">
      <c r="A5811" t="s">
        <v>25</v>
      </c>
      <c r="B5811" t="s">
        <v>21</v>
      </c>
      <c r="C5811" t="s">
        <v>12</v>
      </c>
      <c r="D5811" t="s">
        <v>16</v>
      </c>
      <c r="E5811">
        <v>0</v>
      </c>
      <c r="F5811">
        <v>0.75</v>
      </c>
      <c r="G5811">
        <v>0.49413800239562899</v>
      </c>
      <c r="H5811">
        <v>0</v>
      </c>
      <c r="I5811">
        <v>0</v>
      </c>
      <c r="J5811">
        <v>30</v>
      </c>
    </row>
    <row r="5812" spans="1:10" x14ac:dyDescent="0.25">
      <c r="A5812" t="s">
        <v>25</v>
      </c>
      <c r="B5812" t="s">
        <v>21</v>
      </c>
      <c r="C5812" t="s">
        <v>12</v>
      </c>
      <c r="D5812" t="s">
        <v>16</v>
      </c>
      <c r="E5812">
        <v>0</v>
      </c>
      <c r="F5812">
        <v>0.75</v>
      </c>
      <c r="G5812">
        <v>0.50364494323730402</v>
      </c>
      <c r="H5812">
        <v>0</v>
      </c>
      <c r="I5812">
        <v>0</v>
      </c>
      <c r="J5812">
        <v>30</v>
      </c>
    </row>
    <row r="5813" spans="1:10" x14ac:dyDescent="0.25">
      <c r="A5813" t="s">
        <v>25</v>
      </c>
      <c r="B5813" t="s">
        <v>21</v>
      </c>
      <c r="C5813" t="s">
        <v>12</v>
      </c>
      <c r="D5813" t="s">
        <v>16</v>
      </c>
      <c r="E5813">
        <v>0</v>
      </c>
      <c r="F5813">
        <v>0.75</v>
      </c>
      <c r="G5813">
        <v>0.52624630928039495</v>
      </c>
      <c r="H5813">
        <v>0</v>
      </c>
      <c r="I5813">
        <v>0</v>
      </c>
      <c r="J5813">
        <v>30</v>
      </c>
    </row>
    <row r="5814" spans="1:10" x14ac:dyDescent="0.25">
      <c r="A5814" t="s">
        <v>25</v>
      </c>
      <c r="B5814" t="s">
        <v>21</v>
      </c>
      <c r="C5814" t="s">
        <v>12</v>
      </c>
      <c r="D5814" t="s">
        <v>16</v>
      </c>
      <c r="E5814">
        <v>0</v>
      </c>
      <c r="F5814">
        <v>0.75</v>
      </c>
      <c r="G5814">
        <v>0.49303841590881298</v>
      </c>
      <c r="H5814">
        <v>0</v>
      </c>
      <c r="I5814">
        <v>0</v>
      </c>
      <c r="J5814">
        <v>30</v>
      </c>
    </row>
    <row r="5815" spans="1:10" x14ac:dyDescent="0.25">
      <c r="A5815" t="s">
        <v>25</v>
      </c>
      <c r="B5815" t="s">
        <v>21</v>
      </c>
      <c r="C5815" t="s">
        <v>12</v>
      </c>
      <c r="D5815" t="s">
        <v>16</v>
      </c>
      <c r="E5815">
        <v>0</v>
      </c>
      <c r="F5815">
        <v>0.75</v>
      </c>
      <c r="G5815">
        <v>0.524741411209106</v>
      </c>
      <c r="H5815">
        <v>0</v>
      </c>
      <c r="I5815">
        <v>0</v>
      </c>
      <c r="J5815">
        <v>30</v>
      </c>
    </row>
    <row r="5816" spans="1:10" x14ac:dyDescent="0.25">
      <c r="A5816" t="s">
        <v>25</v>
      </c>
      <c r="B5816" t="s">
        <v>21</v>
      </c>
      <c r="C5816" t="s">
        <v>12</v>
      </c>
      <c r="D5816" t="s">
        <v>16</v>
      </c>
      <c r="E5816">
        <v>0</v>
      </c>
      <c r="F5816">
        <v>0.75</v>
      </c>
      <c r="G5816">
        <v>0.48164105415344199</v>
      </c>
      <c r="H5816">
        <v>0</v>
      </c>
      <c r="I5816">
        <v>0</v>
      </c>
      <c r="J5816">
        <v>30</v>
      </c>
    </row>
    <row r="5817" spans="1:10" x14ac:dyDescent="0.25">
      <c r="A5817" t="s">
        <v>25</v>
      </c>
      <c r="B5817" t="s">
        <v>21</v>
      </c>
      <c r="C5817" t="s">
        <v>12</v>
      </c>
      <c r="D5817" t="s">
        <v>16</v>
      </c>
      <c r="E5817">
        <v>0</v>
      </c>
      <c r="F5817">
        <v>0.75</v>
      </c>
      <c r="G5817">
        <v>0.474473476409912</v>
      </c>
      <c r="H5817">
        <v>0</v>
      </c>
      <c r="I5817">
        <v>0</v>
      </c>
      <c r="J5817">
        <v>30</v>
      </c>
    </row>
    <row r="5818" spans="1:10" x14ac:dyDescent="0.25">
      <c r="A5818" t="s">
        <v>25</v>
      </c>
      <c r="B5818" t="s">
        <v>21</v>
      </c>
      <c r="C5818" t="s">
        <v>12</v>
      </c>
      <c r="D5818" t="s">
        <v>16</v>
      </c>
      <c r="E5818">
        <v>0</v>
      </c>
      <c r="F5818">
        <v>0.75</v>
      </c>
      <c r="G5818">
        <v>0.48102259635925199</v>
      </c>
      <c r="H5818">
        <v>0</v>
      </c>
      <c r="I5818">
        <v>0</v>
      </c>
      <c r="J5818">
        <v>30</v>
      </c>
    </row>
    <row r="5819" spans="1:10" x14ac:dyDescent="0.25">
      <c r="A5819" t="s">
        <v>25</v>
      </c>
      <c r="B5819" t="s">
        <v>21</v>
      </c>
      <c r="C5819" t="s">
        <v>12</v>
      </c>
      <c r="D5819" t="s">
        <v>16</v>
      </c>
      <c r="E5819">
        <v>0</v>
      </c>
      <c r="F5819">
        <v>0.75</v>
      </c>
      <c r="G5819">
        <v>0.49203801155090299</v>
      </c>
      <c r="H5819">
        <v>0</v>
      </c>
      <c r="I5819">
        <v>0</v>
      </c>
      <c r="J5819">
        <v>30</v>
      </c>
    </row>
    <row r="5820" spans="1:10" x14ac:dyDescent="0.25">
      <c r="A5820" t="s">
        <v>25</v>
      </c>
      <c r="B5820" t="s">
        <v>21</v>
      </c>
      <c r="C5820" t="s">
        <v>12</v>
      </c>
      <c r="D5820" t="s">
        <v>16</v>
      </c>
      <c r="E5820">
        <v>0</v>
      </c>
      <c r="F5820">
        <v>0.75</v>
      </c>
      <c r="G5820">
        <v>0.47845935821533198</v>
      </c>
      <c r="H5820">
        <v>0</v>
      </c>
      <c r="I5820">
        <v>0</v>
      </c>
      <c r="J5820">
        <v>30</v>
      </c>
    </row>
    <row r="5821" spans="1:10" x14ac:dyDescent="0.25">
      <c r="A5821" t="s">
        <v>25</v>
      </c>
      <c r="B5821" t="s">
        <v>21</v>
      </c>
      <c r="C5821" t="s">
        <v>12</v>
      </c>
      <c r="D5821" t="s">
        <v>16</v>
      </c>
      <c r="E5821">
        <v>0</v>
      </c>
      <c r="F5821">
        <v>0.75</v>
      </c>
      <c r="G5821">
        <v>0.47047448158264099</v>
      </c>
      <c r="H5821">
        <v>0</v>
      </c>
      <c r="I5821">
        <v>0</v>
      </c>
      <c r="J5821">
        <v>30</v>
      </c>
    </row>
    <row r="5822" spans="1:10" x14ac:dyDescent="0.25">
      <c r="A5822" t="s">
        <v>25</v>
      </c>
      <c r="B5822" t="s">
        <v>21</v>
      </c>
      <c r="C5822" t="s">
        <v>12</v>
      </c>
      <c r="D5822" t="s">
        <v>17</v>
      </c>
      <c r="E5822">
        <v>0.89132420091324205</v>
      </c>
      <c r="F5822">
        <v>0.90462864469433901</v>
      </c>
      <c r="G5822">
        <v>21.039780855178801</v>
      </c>
      <c r="H5822">
        <v>64</v>
      </c>
      <c r="I5822">
        <v>106</v>
      </c>
      <c r="J5822">
        <v>30</v>
      </c>
    </row>
    <row r="5823" spans="1:10" x14ac:dyDescent="0.25">
      <c r="A5823" t="s">
        <v>25</v>
      </c>
      <c r="B5823" t="s">
        <v>21</v>
      </c>
      <c r="C5823" t="s">
        <v>12</v>
      </c>
      <c r="D5823" t="s">
        <v>17</v>
      </c>
      <c r="E5823">
        <v>0.89954337899543302</v>
      </c>
      <c r="F5823">
        <v>0.91674868085278505</v>
      </c>
      <c r="G5823">
        <v>24.554598331451398</v>
      </c>
      <c r="H5823">
        <v>64</v>
      </c>
      <c r="I5823">
        <v>87</v>
      </c>
      <c r="J5823">
        <v>30</v>
      </c>
    </row>
    <row r="5824" spans="1:10" x14ac:dyDescent="0.25">
      <c r="A5824" t="s">
        <v>25</v>
      </c>
      <c r="B5824" t="s">
        <v>21</v>
      </c>
      <c r="C5824" t="s">
        <v>12</v>
      </c>
      <c r="D5824" t="s">
        <v>17</v>
      </c>
      <c r="E5824">
        <v>0.90045662100456603</v>
      </c>
      <c r="F5824">
        <v>0.92283940458392699</v>
      </c>
      <c r="G5824">
        <v>27.079818725585898</v>
      </c>
      <c r="H5824">
        <v>59</v>
      </c>
      <c r="I5824">
        <v>100</v>
      </c>
      <c r="J5824">
        <v>30</v>
      </c>
    </row>
    <row r="5825" spans="1:10" x14ac:dyDescent="0.25">
      <c r="A5825" t="s">
        <v>25</v>
      </c>
      <c r="B5825" t="s">
        <v>21</v>
      </c>
      <c r="C5825" t="s">
        <v>12</v>
      </c>
      <c r="D5825" t="s">
        <v>17</v>
      </c>
      <c r="E5825">
        <v>0.90502283105022796</v>
      </c>
      <c r="F5825">
        <v>0.93040031271561696</v>
      </c>
      <c r="G5825">
        <v>32.180935859680098</v>
      </c>
      <c r="H5825">
        <v>54</v>
      </c>
      <c r="I5825">
        <v>83</v>
      </c>
      <c r="J5825">
        <v>30</v>
      </c>
    </row>
    <row r="5826" spans="1:10" x14ac:dyDescent="0.25">
      <c r="A5826" t="s">
        <v>25</v>
      </c>
      <c r="B5826" t="s">
        <v>21</v>
      </c>
      <c r="C5826" t="s">
        <v>12</v>
      </c>
      <c r="D5826" t="s">
        <v>17</v>
      </c>
      <c r="E5826">
        <v>0.90228310502283104</v>
      </c>
      <c r="F5826">
        <v>0.92123174126401797</v>
      </c>
      <c r="G5826">
        <v>34.675133943557697</v>
      </c>
      <c r="H5826">
        <v>63</v>
      </c>
      <c r="I5826">
        <v>70</v>
      </c>
      <c r="J5826">
        <v>30</v>
      </c>
    </row>
    <row r="5827" spans="1:10" x14ac:dyDescent="0.25">
      <c r="A5827" t="s">
        <v>25</v>
      </c>
      <c r="B5827" t="s">
        <v>21</v>
      </c>
      <c r="C5827" t="s">
        <v>12</v>
      </c>
      <c r="D5827" t="s">
        <v>17</v>
      </c>
      <c r="E5827">
        <v>0.91598173515981696</v>
      </c>
      <c r="F5827">
        <v>0.94591987394840205</v>
      </c>
      <c r="G5827">
        <v>49.686990976333597</v>
      </c>
      <c r="H5827">
        <v>127</v>
      </c>
      <c r="I5827">
        <v>162</v>
      </c>
      <c r="J5827">
        <v>30</v>
      </c>
    </row>
    <row r="5828" spans="1:10" x14ac:dyDescent="0.25">
      <c r="A5828" t="s">
        <v>25</v>
      </c>
      <c r="B5828" t="s">
        <v>21</v>
      </c>
      <c r="C5828" t="s">
        <v>12</v>
      </c>
      <c r="D5828" t="s">
        <v>17</v>
      </c>
      <c r="E5828">
        <v>0.90684931506849298</v>
      </c>
      <c r="F5828">
        <v>0.94345878341744205</v>
      </c>
      <c r="G5828">
        <v>51.708395004272397</v>
      </c>
      <c r="H5828">
        <v>122</v>
      </c>
      <c r="I5828">
        <v>155</v>
      </c>
      <c r="J5828">
        <v>30</v>
      </c>
    </row>
    <row r="5829" spans="1:10" x14ac:dyDescent="0.25">
      <c r="A5829" t="s">
        <v>25</v>
      </c>
      <c r="B5829" t="s">
        <v>21</v>
      </c>
      <c r="C5829" t="s">
        <v>12</v>
      </c>
      <c r="D5829" t="s">
        <v>17</v>
      </c>
      <c r="E5829">
        <v>0.92237442922374402</v>
      </c>
      <c r="F5829">
        <v>0.94983097497935998</v>
      </c>
      <c r="G5829">
        <v>52.7353675365448</v>
      </c>
      <c r="H5829">
        <v>124</v>
      </c>
      <c r="I5829">
        <v>154</v>
      </c>
      <c r="J5829">
        <v>30</v>
      </c>
    </row>
    <row r="5830" spans="1:10" x14ac:dyDescent="0.25">
      <c r="A5830" t="s">
        <v>25</v>
      </c>
      <c r="B5830" t="s">
        <v>21</v>
      </c>
      <c r="C5830" t="s">
        <v>12</v>
      </c>
      <c r="D5830" t="s">
        <v>17</v>
      </c>
      <c r="E5830">
        <v>0.91324200913242004</v>
      </c>
      <c r="F5830">
        <v>0.94868351370840198</v>
      </c>
      <c r="G5830">
        <v>53.290635108947697</v>
      </c>
      <c r="H5830">
        <v>158</v>
      </c>
      <c r="I5830">
        <v>187</v>
      </c>
      <c r="J5830">
        <v>30</v>
      </c>
    </row>
    <row r="5831" spans="1:10" x14ac:dyDescent="0.25">
      <c r="A5831" t="s">
        <v>25</v>
      </c>
      <c r="B5831" t="s">
        <v>21</v>
      </c>
      <c r="C5831" t="s">
        <v>12</v>
      </c>
      <c r="D5831" t="s">
        <v>17</v>
      </c>
      <c r="E5831">
        <v>0.91963470319634699</v>
      </c>
      <c r="F5831">
        <v>0.94656089735406401</v>
      </c>
      <c r="G5831">
        <v>53.742864608764599</v>
      </c>
      <c r="H5831">
        <v>139</v>
      </c>
      <c r="I5831">
        <v>164</v>
      </c>
      <c r="J5831">
        <v>30</v>
      </c>
    </row>
    <row r="5832" spans="1:10" x14ac:dyDescent="0.25">
      <c r="A5832" t="s">
        <v>25</v>
      </c>
      <c r="B5832" t="s">
        <v>21</v>
      </c>
      <c r="C5832" t="s">
        <v>12</v>
      </c>
      <c r="D5832" t="s">
        <v>17</v>
      </c>
      <c r="E5832">
        <v>0.93789954337899495</v>
      </c>
      <c r="F5832">
        <v>0.95840869377013604</v>
      </c>
      <c r="G5832">
        <v>53.841117382049497</v>
      </c>
      <c r="H5832">
        <v>174</v>
      </c>
      <c r="I5832">
        <v>201</v>
      </c>
      <c r="J5832">
        <v>30</v>
      </c>
    </row>
    <row r="5833" spans="1:10" x14ac:dyDescent="0.25">
      <c r="A5833" t="s">
        <v>25</v>
      </c>
      <c r="B5833" t="s">
        <v>21</v>
      </c>
      <c r="C5833" t="s">
        <v>12</v>
      </c>
      <c r="D5833" t="s">
        <v>17</v>
      </c>
      <c r="E5833">
        <v>0.90502283105022796</v>
      </c>
      <c r="F5833">
        <v>0.94131588806812705</v>
      </c>
      <c r="G5833">
        <v>56.106353521347003</v>
      </c>
      <c r="H5833">
        <v>134</v>
      </c>
      <c r="I5833">
        <v>163</v>
      </c>
      <c r="J5833">
        <v>30</v>
      </c>
    </row>
    <row r="5834" spans="1:10" x14ac:dyDescent="0.25">
      <c r="A5834" t="s">
        <v>25</v>
      </c>
      <c r="B5834" t="s">
        <v>21</v>
      </c>
      <c r="C5834" t="s">
        <v>12</v>
      </c>
      <c r="D5834" t="s">
        <v>17</v>
      </c>
      <c r="E5834">
        <v>0.94429223744292201</v>
      </c>
      <c r="F5834">
        <v>0.95984177805497695</v>
      </c>
      <c r="G5834">
        <v>56.176571846008301</v>
      </c>
      <c r="H5834">
        <v>174</v>
      </c>
      <c r="I5834">
        <v>215</v>
      </c>
      <c r="J5834">
        <v>30</v>
      </c>
    </row>
    <row r="5835" spans="1:10" x14ac:dyDescent="0.25">
      <c r="A5835" t="s">
        <v>25</v>
      </c>
      <c r="B5835" t="s">
        <v>21</v>
      </c>
      <c r="C5835" t="s">
        <v>12</v>
      </c>
      <c r="D5835" t="s">
        <v>17</v>
      </c>
      <c r="E5835">
        <v>0.92876712328767097</v>
      </c>
      <c r="F5835">
        <v>0.95642945870538698</v>
      </c>
      <c r="G5835">
        <v>57.739181518554602</v>
      </c>
      <c r="H5835">
        <v>158</v>
      </c>
      <c r="I5835">
        <v>208</v>
      </c>
      <c r="J5835">
        <v>30</v>
      </c>
    </row>
    <row r="5836" spans="1:10" x14ac:dyDescent="0.25">
      <c r="A5836" t="s">
        <v>25</v>
      </c>
      <c r="B5836" t="s">
        <v>21</v>
      </c>
      <c r="C5836" t="s">
        <v>12</v>
      </c>
      <c r="D5836" t="s">
        <v>17</v>
      </c>
      <c r="E5836">
        <v>0.91963470319634699</v>
      </c>
      <c r="F5836">
        <v>0.94258827744566298</v>
      </c>
      <c r="G5836">
        <v>58.090790987014699</v>
      </c>
      <c r="H5836">
        <v>168</v>
      </c>
      <c r="I5836">
        <v>198</v>
      </c>
      <c r="J5836">
        <v>30</v>
      </c>
    </row>
    <row r="5837" spans="1:10" x14ac:dyDescent="0.25">
      <c r="A5837" t="s">
        <v>25</v>
      </c>
      <c r="B5837" t="s">
        <v>21</v>
      </c>
      <c r="C5837" t="s">
        <v>12</v>
      </c>
      <c r="D5837" t="s">
        <v>17</v>
      </c>
      <c r="E5837">
        <v>0.93242009132420001</v>
      </c>
      <c r="F5837">
        <v>0.96004885924529604</v>
      </c>
      <c r="G5837">
        <v>59.332305669784503</v>
      </c>
      <c r="H5837">
        <v>157</v>
      </c>
      <c r="I5837">
        <v>203</v>
      </c>
      <c r="J5837">
        <v>30</v>
      </c>
    </row>
    <row r="5838" spans="1:10" x14ac:dyDescent="0.25">
      <c r="A5838" t="s">
        <v>25</v>
      </c>
      <c r="B5838" t="s">
        <v>21</v>
      </c>
      <c r="C5838" t="s">
        <v>12</v>
      </c>
      <c r="D5838" t="s">
        <v>17</v>
      </c>
      <c r="E5838">
        <v>0.91780821917808197</v>
      </c>
      <c r="F5838">
        <v>0.95749613582995297</v>
      </c>
      <c r="G5838">
        <v>60.378210544586103</v>
      </c>
      <c r="H5838">
        <v>125</v>
      </c>
      <c r="I5838">
        <v>157</v>
      </c>
      <c r="J5838">
        <v>30</v>
      </c>
    </row>
    <row r="5839" spans="1:10" x14ac:dyDescent="0.25">
      <c r="A5839" t="s">
        <v>25</v>
      </c>
      <c r="B5839" t="s">
        <v>21</v>
      </c>
      <c r="C5839" t="s">
        <v>12</v>
      </c>
      <c r="D5839" t="s">
        <v>17</v>
      </c>
      <c r="E5839">
        <v>0.920547945205479</v>
      </c>
      <c r="F5839">
        <v>0.95447627118593503</v>
      </c>
      <c r="G5839">
        <v>61.778766155242899</v>
      </c>
      <c r="H5839">
        <v>153</v>
      </c>
      <c r="I5839">
        <v>187</v>
      </c>
      <c r="J5839">
        <v>30</v>
      </c>
    </row>
    <row r="5840" spans="1:10" x14ac:dyDescent="0.25">
      <c r="A5840" t="s">
        <v>25</v>
      </c>
      <c r="B5840" t="s">
        <v>21</v>
      </c>
      <c r="C5840" t="s">
        <v>12</v>
      </c>
      <c r="D5840" t="s">
        <v>17</v>
      </c>
      <c r="E5840">
        <v>0.92876712328767097</v>
      </c>
      <c r="F5840">
        <v>0.95607678129570695</v>
      </c>
      <c r="G5840">
        <v>62.204267740249598</v>
      </c>
      <c r="H5840">
        <v>176</v>
      </c>
      <c r="I5840">
        <v>194</v>
      </c>
      <c r="J5840">
        <v>30</v>
      </c>
    </row>
    <row r="5841" spans="1:10" x14ac:dyDescent="0.25">
      <c r="A5841" t="s">
        <v>25</v>
      </c>
      <c r="B5841" t="s">
        <v>21</v>
      </c>
      <c r="C5841" t="s">
        <v>12</v>
      </c>
      <c r="D5841" t="s">
        <v>17</v>
      </c>
      <c r="E5841">
        <v>0.93242009132420001</v>
      </c>
      <c r="F5841">
        <v>0.95205400705324095</v>
      </c>
      <c r="G5841">
        <v>62.579649448394697</v>
      </c>
      <c r="H5841">
        <v>184</v>
      </c>
      <c r="I5841">
        <v>218</v>
      </c>
      <c r="J5841">
        <v>30</v>
      </c>
    </row>
    <row r="5842" spans="1:10" x14ac:dyDescent="0.25">
      <c r="A5842" t="s">
        <v>25</v>
      </c>
      <c r="B5842" t="s">
        <v>21</v>
      </c>
      <c r="C5842" t="s">
        <v>12</v>
      </c>
      <c r="D5842" t="s">
        <v>17</v>
      </c>
      <c r="E5842">
        <v>0.92511415525114105</v>
      </c>
      <c r="F5842">
        <v>0.96355513730940601</v>
      </c>
      <c r="G5842">
        <v>63.316281318664501</v>
      </c>
      <c r="H5842">
        <v>194</v>
      </c>
      <c r="I5842">
        <v>240</v>
      </c>
      <c r="J5842">
        <v>30</v>
      </c>
    </row>
    <row r="5843" spans="1:10" x14ac:dyDescent="0.25">
      <c r="A5843" t="s">
        <v>25</v>
      </c>
      <c r="B5843" t="s">
        <v>21</v>
      </c>
      <c r="C5843" t="s">
        <v>12</v>
      </c>
      <c r="D5843" t="s">
        <v>17</v>
      </c>
      <c r="E5843">
        <v>0.91141552511415502</v>
      </c>
      <c r="F5843">
        <v>0.95848408103068405</v>
      </c>
      <c r="G5843">
        <v>64.467699766159001</v>
      </c>
      <c r="H5843">
        <v>161</v>
      </c>
      <c r="I5843">
        <v>193</v>
      </c>
      <c r="J5843">
        <v>30</v>
      </c>
    </row>
    <row r="5844" spans="1:10" x14ac:dyDescent="0.25">
      <c r="A5844" t="s">
        <v>25</v>
      </c>
      <c r="B5844" t="s">
        <v>21</v>
      </c>
      <c r="C5844" t="s">
        <v>12</v>
      </c>
      <c r="D5844" t="s">
        <v>17</v>
      </c>
      <c r="E5844">
        <v>0.94063926940639198</v>
      </c>
      <c r="F5844">
        <v>0.95118430687589095</v>
      </c>
      <c r="G5844">
        <v>65.343392372131305</v>
      </c>
      <c r="H5844">
        <v>206</v>
      </c>
      <c r="I5844">
        <v>255</v>
      </c>
      <c r="J5844">
        <v>30</v>
      </c>
    </row>
    <row r="5845" spans="1:10" x14ac:dyDescent="0.25">
      <c r="A5845" t="s">
        <v>25</v>
      </c>
      <c r="B5845" t="s">
        <v>21</v>
      </c>
      <c r="C5845" t="s">
        <v>12</v>
      </c>
      <c r="D5845" t="s">
        <v>17</v>
      </c>
      <c r="E5845">
        <v>0.92694063926940595</v>
      </c>
      <c r="F5845">
        <v>0.96037347747351498</v>
      </c>
      <c r="G5845">
        <v>65.690073966979895</v>
      </c>
      <c r="H5845">
        <v>191</v>
      </c>
      <c r="I5845">
        <v>232</v>
      </c>
      <c r="J5845">
        <v>30</v>
      </c>
    </row>
    <row r="5846" spans="1:10" x14ac:dyDescent="0.25">
      <c r="A5846" t="s">
        <v>25</v>
      </c>
      <c r="B5846" t="s">
        <v>21</v>
      </c>
      <c r="C5846" t="s">
        <v>12</v>
      </c>
      <c r="D5846" t="s">
        <v>17</v>
      </c>
      <c r="E5846">
        <v>0.93059360730593599</v>
      </c>
      <c r="F5846">
        <v>0.95531949967744301</v>
      </c>
      <c r="G5846">
        <v>65.904015541076603</v>
      </c>
      <c r="H5846">
        <v>194</v>
      </c>
      <c r="I5846">
        <v>238</v>
      </c>
      <c r="J5846">
        <v>30</v>
      </c>
    </row>
    <row r="5847" spans="1:10" x14ac:dyDescent="0.25">
      <c r="A5847" t="s">
        <v>25</v>
      </c>
      <c r="B5847" t="s">
        <v>21</v>
      </c>
      <c r="C5847" t="s">
        <v>12</v>
      </c>
      <c r="D5847" t="s">
        <v>17</v>
      </c>
      <c r="E5847">
        <v>0.93424657534246502</v>
      </c>
      <c r="F5847">
        <v>0.96169125000200895</v>
      </c>
      <c r="G5847">
        <v>65.950630903244004</v>
      </c>
      <c r="H5847">
        <v>221</v>
      </c>
      <c r="I5847">
        <v>250</v>
      </c>
      <c r="J5847">
        <v>30</v>
      </c>
    </row>
    <row r="5848" spans="1:10" x14ac:dyDescent="0.25">
      <c r="A5848" t="s">
        <v>25</v>
      </c>
      <c r="B5848" t="s">
        <v>21</v>
      </c>
      <c r="C5848" t="s">
        <v>12</v>
      </c>
      <c r="D5848" t="s">
        <v>17</v>
      </c>
      <c r="E5848">
        <v>0.93424657534246502</v>
      </c>
      <c r="F5848">
        <v>0.961592929068948</v>
      </c>
      <c r="G5848">
        <v>66.764299154281602</v>
      </c>
      <c r="H5848">
        <v>190</v>
      </c>
      <c r="I5848">
        <v>229</v>
      </c>
      <c r="J5848">
        <v>30</v>
      </c>
    </row>
    <row r="5849" spans="1:10" x14ac:dyDescent="0.25">
      <c r="A5849" t="s">
        <v>25</v>
      </c>
      <c r="B5849" t="s">
        <v>21</v>
      </c>
      <c r="C5849" t="s">
        <v>12</v>
      </c>
      <c r="D5849" t="s">
        <v>17</v>
      </c>
      <c r="E5849">
        <v>0.91963470319634699</v>
      </c>
      <c r="F5849">
        <v>0.96186330231360695</v>
      </c>
      <c r="G5849">
        <v>68.359704256057697</v>
      </c>
      <c r="H5849">
        <v>204</v>
      </c>
      <c r="I5849">
        <v>259</v>
      </c>
      <c r="J5849">
        <v>30</v>
      </c>
    </row>
    <row r="5850" spans="1:10" x14ac:dyDescent="0.25">
      <c r="A5850" t="s">
        <v>25</v>
      </c>
      <c r="B5850" t="s">
        <v>21</v>
      </c>
      <c r="C5850" t="s">
        <v>12</v>
      </c>
      <c r="D5850" t="s">
        <v>17</v>
      </c>
      <c r="E5850">
        <v>0.93881278538812696</v>
      </c>
      <c r="F5850">
        <v>0.96673681863451999</v>
      </c>
      <c r="G5850">
        <v>69.1173868179321</v>
      </c>
      <c r="H5850">
        <v>202</v>
      </c>
      <c r="I5850">
        <v>261</v>
      </c>
      <c r="J5850">
        <v>30</v>
      </c>
    </row>
    <row r="5851" spans="1:10" x14ac:dyDescent="0.25">
      <c r="A5851" t="s">
        <v>25</v>
      </c>
      <c r="B5851" t="s">
        <v>21</v>
      </c>
      <c r="C5851" t="s">
        <v>12</v>
      </c>
      <c r="D5851" t="s">
        <v>17</v>
      </c>
      <c r="E5851">
        <v>0.91050228310502201</v>
      </c>
      <c r="F5851">
        <v>0.95965779410757901</v>
      </c>
      <c r="G5851">
        <v>69.410463333129798</v>
      </c>
      <c r="H5851">
        <v>179</v>
      </c>
      <c r="I5851">
        <v>220</v>
      </c>
      <c r="J5851">
        <v>30</v>
      </c>
    </row>
    <row r="5852" spans="1:10" x14ac:dyDescent="0.25">
      <c r="A5852" t="s">
        <v>25</v>
      </c>
      <c r="B5852" t="s">
        <v>21</v>
      </c>
      <c r="C5852" t="s">
        <v>18</v>
      </c>
      <c r="D5852" t="s">
        <v>13</v>
      </c>
      <c r="E5852">
        <v>0.93333333333333302</v>
      </c>
      <c r="F5852">
        <v>0.93855302775817395</v>
      </c>
      <c r="G5852">
        <v>19.454441547393799</v>
      </c>
      <c r="H5852">
        <v>6</v>
      </c>
      <c r="I5852">
        <v>8</v>
      </c>
      <c r="J5852">
        <v>30</v>
      </c>
    </row>
    <row r="5853" spans="1:10" x14ac:dyDescent="0.25">
      <c r="A5853" t="s">
        <v>25</v>
      </c>
      <c r="B5853" t="s">
        <v>21</v>
      </c>
      <c r="C5853" t="s">
        <v>18</v>
      </c>
      <c r="D5853" t="s">
        <v>13</v>
      </c>
      <c r="E5853">
        <v>0.94520547945205402</v>
      </c>
      <c r="F5853">
        <v>0.95050676441534199</v>
      </c>
      <c r="G5853">
        <v>20.209571361541698</v>
      </c>
      <c r="H5853">
        <v>21</v>
      </c>
      <c r="I5853">
        <v>26</v>
      </c>
      <c r="J5853">
        <v>30</v>
      </c>
    </row>
    <row r="5854" spans="1:10" x14ac:dyDescent="0.25">
      <c r="A5854" t="s">
        <v>25</v>
      </c>
      <c r="B5854" t="s">
        <v>21</v>
      </c>
      <c r="C5854" t="s">
        <v>18</v>
      </c>
      <c r="D5854" t="s">
        <v>13</v>
      </c>
      <c r="E5854">
        <v>0.94246575342465699</v>
      </c>
      <c r="F5854">
        <v>0.94632293535095902</v>
      </c>
      <c r="G5854">
        <v>23.078021526336599</v>
      </c>
      <c r="H5854">
        <v>19</v>
      </c>
      <c r="I5854">
        <v>29</v>
      </c>
      <c r="J5854">
        <v>30</v>
      </c>
    </row>
    <row r="5855" spans="1:10" x14ac:dyDescent="0.25">
      <c r="A5855" t="s">
        <v>25</v>
      </c>
      <c r="B5855" t="s">
        <v>21</v>
      </c>
      <c r="C5855" t="s">
        <v>18</v>
      </c>
      <c r="D5855" t="s">
        <v>13</v>
      </c>
      <c r="E5855">
        <v>0.96255707762556997</v>
      </c>
      <c r="F5855">
        <v>0.96536891959871995</v>
      </c>
      <c r="G5855">
        <v>23.833504199981601</v>
      </c>
      <c r="H5855">
        <v>19</v>
      </c>
      <c r="I5855">
        <v>25</v>
      </c>
      <c r="J5855">
        <v>30</v>
      </c>
    </row>
    <row r="5856" spans="1:10" x14ac:dyDescent="0.25">
      <c r="A5856" t="s">
        <v>25</v>
      </c>
      <c r="B5856" t="s">
        <v>21</v>
      </c>
      <c r="C5856" t="s">
        <v>18</v>
      </c>
      <c r="D5856" t="s">
        <v>13</v>
      </c>
      <c r="E5856">
        <v>0.954337899543379</v>
      </c>
      <c r="F5856">
        <v>0.95870670598465701</v>
      </c>
      <c r="G5856">
        <v>25.128468990325899</v>
      </c>
      <c r="H5856">
        <v>21</v>
      </c>
      <c r="I5856">
        <v>27</v>
      </c>
      <c r="J5856">
        <v>30</v>
      </c>
    </row>
    <row r="5857" spans="1:10" x14ac:dyDescent="0.25">
      <c r="A5857" t="s">
        <v>25</v>
      </c>
      <c r="B5857" t="s">
        <v>21</v>
      </c>
      <c r="C5857" t="s">
        <v>18</v>
      </c>
      <c r="D5857" t="s">
        <v>13</v>
      </c>
      <c r="E5857">
        <v>0.96073059360730595</v>
      </c>
      <c r="F5857">
        <v>0.96434423542721404</v>
      </c>
      <c r="G5857">
        <v>26.0466482639312</v>
      </c>
      <c r="H5857">
        <v>22</v>
      </c>
      <c r="I5857">
        <v>31</v>
      </c>
      <c r="J5857">
        <v>30</v>
      </c>
    </row>
    <row r="5858" spans="1:10" x14ac:dyDescent="0.25">
      <c r="A5858" t="s">
        <v>25</v>
      </c>
      <c r="B5858" t="s">
        <v>21</v>
      </c>
      <c r="C5858" t="s">
        <v>18</v>
      </c>
      <c r="D5858" t="s">
        <v>13</v>
      </c>
      <c r="E5858">
        <v>0.95890410958904104</v>
      </c>
      <c r="F5858">
        <v>0.96308981023835505</v>
      </c>
      <c r="G5858">
        <v>26.230585336685099</v>
      </c>
      <c r="H5858">
        <v>15</v>
      </c>
      <c r="I5858">
        <v>19</v>
      </c>
      <c r="J5858">
        <v>30</v>
      </c>
    </row>
    <row r="5859" spans="1:10" x14ac:dyDescent="0.25">
      <c r="A5859" t="s">
        <v>25</v>
      </c>
      <c r="B5859" t="s">
        <v>21</v>
      </c>
      <c r="C5859" t="s">
        <v>18</v>
      </c>
      <c r="D5859" t="s">
        <v>13</v>
      </c>
      <c r="E5859">
        <v>0.95616438356164302</v>
      </c>
      <c r="F5859">
        <v>0.96042019820940605</v>
      </c>
      <c r="G5859">
        <v>26.6713593006134</v>
      </c>
      <c r="H5859">
        <v>27</v>
      </c>
      <c r="I5859">
        <v>40</v>
      </c>
      <c r="J5859">
        <v>30</v>
      </c>
    </row>
    <row r="5860" spans="1:10" x14ac:dyDescent="0.25">
      <c r="A5860" t="s">
        <v>25</v>
      </c>
      <c r="B5860" t="s">
        <v>21</v>
      </c>
      <c r="C5860" t="s">
        <v>18</v>
      </c>
      <c r="D5860" t="s">
        <v>13</v>
      </c>
      <c r="E5860">
        <v>0.94520547945205402</v>
      </c>
      <c r="F5860">
        <v>0.94984781304337795</v>
      </c>
      <c r="G5860">
        <v>29.616268157958899</v>
      </c>
      <c r="H5860">
        <v>20</v>
      </c>
      <c r="I5860">
        <v>31</v>
      </c>
      <c r="J5860">
        <v>30</v>
      </c>
    </row>
    <row r="5861" spans="1:10" x14ac:dyDescent="0.25">
      <c r="A5861" t="s">
        <v>25</v>
      </c>
      <c r="B5861" t="s">
        <v>21</v>
      </c>
      <c r="C5861" t="s">
        <v>18</v>
      </c>
      <c r="D5861" t="s">
        <v>13</v>
      </c>
      <c r="E5861">
        <v>0.95799086757990803</v>
      </c>
      <c r="F5861">
        <v>0.962055732720273</v>
      </c>
      <c r="G5861">
        <v>30.489212274551299</v>
      </c>
      <c r="H5861">
        <v>23</v>
      </c>
      <c r="I5861">
        <v>30</v>
      </c>
      <c r="J5861">
        <v>30</v>
      </c>
    </row>
    <row r="5862" spans="1:10" x14ac:dyDescent="0.25">
      <c r="A5862" t="s">
        <v>25</v>
      </c>
      <c r="B5862" t="s">
        <v>21</v>
      </c>
      <c r="C5862" t="s">
        <v>18</v>
      </c>
      <c r="D5862" t="s">
        <v>13</v>
      </c>
      <c r="E5862">
        <v>0.95616438356164302</v>
      </c>
      <c r="F5862">
        <v>0.95873285021406396</v>
      </c>
      <c r="G5862">
        <v>30.6044986248016</v>
      </c>
      <c r="H5862">
        <v>19</v>
      </c>
      <c r="I5862">
        <v>27</v>
      </c>
      <c r="J5862">
        <v>30</v>
      </c>
    </row>
    <row r="5863" spans="1:10" x14ac:dyDescent="0.25">
      <c r="A5863" t="s">
        <v>25</v>
      </c>
      <c r="B5863" t="s">
        <v>21</v>
      </c>
      <c r="C5863" t="s">
        <v>18</v>
      </c>
      <c r="D5863" t="s">
        <v>13</v>
      </c>
      <c r="E5863">
        <v>0.94611872146118703</v>
      </c>
      <c r="F5863">
        <v>0.95116983645187203</v>
      </c>
      <c r="G5863">
        <v>31.373917818069401</v>
      </c>
      <c r="H5863">
        <v>15</v>
      </c>
      <c r="I5863">
        <v>20</v>
      </c>
      <c r="J5863">
        <v>30</v>
      </c>
    </row>
    <row r="5864" spans="1:10" x14ac:dyDescent="0.25">
      <c r="A5864" t="s">
        <v>25</v>
      </c>
      <c r="B5864" t="s">
        <v>21</v>
      </c>
      <c r="C5864" t="s">
        <v>18</v>
      </c>
      <c r="D5864" t="s">
        <v>13</v>
      </c>
      <c r="E5864">
        <v>0.96073059360730595</v>
      </c>
      <c r="F5864">
        <v>0.96425397206438401</v>
      </c>
      <c r="G5864">
        <v>32.175924301147397</v>
      </c>
      <c r="H5864">
        <v>23</v>
      </c>
      <c r="I5864">
        <v>31</v>
      </c>
      <c r="J5864">
        <v>30</v>
      </c>
    </row>
    <row r="5865" spans="1:10" x14ac:dyDescent="0.25">
      <c r="A5865" t="s">
        <v>25</v>
      </c>
      <c r="B5865" t="s">
        <v>21</v>
      </c>
      <c r="C5865" t="s">
        <v>18</v>
      </c>
      <c r="D5865" t="s">
        <v>13</v>
      </c>
      <c r="E5865">
        <v>0.96255707762556997</v>
      </c>
      <c r="F5865">
        <v>0.966861353452237</v>
      </c>
      <c r="G5865">
        <v>32.474787712097097</v>
      </c>
      <c r="H5865">
        <v>20</v>
      </c>
      <c r="I5865">
        <v>25</v>
      </c>
      <c r="J5865">
        <v>30</v>
      </c>
    </row>
    <row r="5866" spans="1:10" x14ac:dyDescent="0.25">
      <c r="A5866" t="s">
        <v>25</v>
      </c>
      <c r="B5866" t="s">
        <v>21</v>
      </c>
      <c r="C5866" t="s">
        <v>18</v>
      </c>
      <c r="D5866" t="s">
        <v>13</v>
      </c>
      <c r="E5866">
        <v>0.96438356164383499</v>
      </c>
      <c r="F5866">
        <v>0.96631616180410895</v>
      </c>
      <c r="G5866">
        <v>32.7675426006317</v>
      </c>
      <c r="H5866">
        <v>18</v>
      </c>
      <c r="I5866">
        <v>25</v>
      </c>
      <c r="J5866">
        <v>30</v>
      </c>
    </row>
    <row r="5867" spans="1:10" x14ac:dyDescent="0.25">
      <c r="A5867" t="s">
        <v>25</v>
      </c>
      <c r="B5867" t="s">
        <v>21</v>
      </c>
      <c r="C5867" t="s">
        <v>18</v>
      </c>
      <c r="D5867" t="s">
        <v>13</v>
      </c>
      <c r="E5867">
        <v>0.95890410958904104</v>
      </c>
      <c r="F5867">
        <v>0.96317790066657505</v>
      </c>
      <c r="G5867">
        <v>33.190034866333001</v>
      </c>
      <c r="H5867">
        <v>18</v>
      </c>
      <c r="I5867">
        <v>25</v>
      </c>
      <c r="J5867">
        <v>30</v>
      </c>
    </row>
    <row r="5868" spans="1:10" x14ac:dyDescent="0.25">
      <c r="A5868" t="s">
        <v>25</v>
      </c>
      <c r="B5868" t="s">
        <v>21</v>
      </c>
      <c r="C5868" t="s">
        <v>18</v>
      </c>
      <c r="D5868" t="s">
        <v>13</v>
      </c>
      <c r="E5868">
        <v>0.95890410958904104</v>
      </c>
      <c r="F5868">
        <v>0.96322479365497704</v>
      </c>
      <c r="G5868">
        <v>33.542385816574097</v>
      </c>
      <c r="H5868">
        <v>24</v>
      </c>
      <c r="I5868">
        <v>31</v>
      </c>
      <c r="J5868">
        <v>30</v>
      </c>
    </row>
    <row r="5869" spans="1:10" x14ac:dyDescent="0.25">
      <c r="A5869" t="s">
        <v>25</v>
      </c>
      <c r="B5869" t="s">
        <v>21</v>
      </c>
      <c r="C5869" t="s">
        <v>18</v>
      </c>
      <c r="D5869" t="s">
        <v>13</v>
      </c>
      <c r="E5869">
        <v>0.95616438356164302</v>
      </c>
      <c r="F5869">
        <v>0.95925336033835495</v>
      </c>
      <c r="G5869">
        <v>33.702828884124699</v>
      </c>
      <c r="H5869">
        <v>21</v>
      </c>
      <c r="I5869">
        <v>29</v>
      </c>
      <c r="J5869">
        <v>30</v>
      </c>
    </row>
    <row r="5870" spans="1:10" x14ac:dyDescent="0.25">
      <c r="A5870" t="s">
        <v>25</v>
      </c>
      <c r="B5870" t="s">
        <v>21</v>
      </c>
      <c r="C5870" t="s">
        <v>18</v>
      </c>
      <c r="D5870" t="s">
        <v>13</v>
      </c>
      <c r="E5870">
        <v>0.95525114155251101</v>
      </c>
      <c r="F5870">
        <v>0.95883983793926797</v>
      </c>
      <c r="G5870">
        <v>34.444755315780597</v>
      </c>
      <c r="H5870">
        <v>18</v>
      </c>
      <c r="I5870">
        <v>35</v>
      </c>
      <c r="J5870">
        <v>30</v>
      </c>
    </row>
    <row r="5871" spans="1:10" x14ac:dyDescent="0.25">
      <c r="A5871" t="s">
        <v>25</v>
      </c>
      <c r="B5871" t="s">
        <v>21</v>
      </c>
      <c r="C5871" t="s">
        <v>18</v>
      </c>
      <c r="D5871" t="s">
        <v>13</v>
      </c>
      <c r="E5871">
        <v>0.96438356164383499</v>
      </c>
      <c r="F5871">
        <v>0.96725708252648401</v>
      </c>
      <c r="G5871">
        <v>34.622499942779498</v>
      </c>
      <c r="H5871">
        <v>24</v>
      </c>
      <c r="I5871">
        <v>33</v>
      </c>
      <c r="J5871">
        <v>30</v>
      </c>
    </row>
    <row r="5872" spans="1:10" x14ac:dyDescent="0.25">
      <c r="A5872" t="s">
        <v>25</v>
      </c>
      <c r="B5872" t="s">
        <v>21</v>
      </c>
      <c r="C5872" t="s">
        <v>18</v>
      </c>
      <c r="D5872" t="s">
        <v>13</v>
      </c>
      <c r="E5872">
        <v>0.95342465753424599</v>
      </c>
      <c r="F5872">
        <v>0.95760680592958802</v>
      </c>
      <c r="G5872">
        <v>34.862743616104098</v>
      </c>
      <c r="H5872">
        <v>20</v>
      </c>
      <c r="I5872">
        <v>27</v>
      </c>
      <c r="J5872">
        <v>30</v>
      </c>
    </row>
    <row r="5873" spans="1:10" x14ac:dyDescent="0.25">
      <c r="A5873" t="s">
        <v>25</v>
      </c>
      <c r="B5873" t="s">
        <v>21</v>
      </c>
      <c r="C5873" t="s">
        <v>18</v>
      </c>
      <c r="D5873" t="s">
        <v>13</v>
      </c>
      <c r="E5873">
        <v>0.94611872146118703</v>
      </c>
      <c r="F5873">
        <v>0.95041565172968101</v>
      </c>
      <c r="G5873">
        <v>34.932854413986199</v>
      </c>
      <c r="H5873">
        <v>19</v>
      </c>
      <c r="I5873">
        <v>26</v>
      </c>
      <c r="J5873">
        <v>30</v>
      </c>
    </row>
    <row r="5874" spans="1:10" x14ac:dyDescent="0.25">
      <c r="A5874" t="s">
        <v>25</v>
      </c>
      <c r="B5874" t="s">
        <v>21</v>
      </c>
      <c r="C5874" t="s">
        <v>18</v>
      </c>
      <c r="D5874" t="s">
        <v>13</v>
      </c>
      <c r="E5874">
        <v>0.95616438356164302</v>
      </c>
      <c r="F5874">
        <v>0.96176057117232805</v>
      </c>
      <c r="G5874">
        <v>35.094374179840003</v>
      </c>
      <c r="H5874">
        <v>22</v>
      </c>
      <c r="I5874">
        <v>28</v>
      </c>
      <c r="J5874">
        <v>30</v>
      </c>
    </row>
    <row r="5875" spans="1:10" x14ac:dyDescent="0.25">
      <c r="A5875" t="s">
        <v>25</v>
      </c>
      <c r="B5875" t="s">
        <v>21</v>
      </c>
      <c r="C5875" t="s">
        <v>18</v>
      </c>
      <c r="D5875" t="s">
        <v>13</v>
      </c>
      <c r="E5875">
        <v>0.95068493150684896</v>
      </c>
      <c r="F5875">
        <v>0.95699797806757902</v>
      </c>
      <c r="G5875">
        <v>35.306794881820601</v>
      </c>
      <c r="H5875">
        <v>27</v>
      </c>
      <c r="I5875">
        <v>35</v>
      </c>
      <c r="J5875">
        <v>30</v>
      </c>
    </row>
    <row r="5876" spans="1:10" x14ac:dyDescent="0.25">
      <c r="A5876" t="s">
        <v>25</v>
      </c>
      <c r="B5876" t="s">
        <v>21</v>
      </c>
      <c r="C5876" t="s">
        <v>18</v>
      </c>
      <c r="D5876" t="s">
        <v>13</v>
      </c>
      <c r="E5876">
        <v>0.94885844748858394</v>
      </c>
      <c r="F5876">
        <v>0.95123038303077501</v>
      </c>
      <c r="G5876">
        <v>35.311332702636697</v>
      </c>
      <c r="H5876">
        <v>18</v>
      </c>
      <c r="I5876">
        <v>24</v>
      </c>
      <c r="J5876">
        <v>30</v>
      </c>
    </row>
    <row r="5877" spans="1:10" x14ac:dyDescent="0.25">
      <c r="A5877" t="s">
        <v>25</v>
      </c>
      <c r="B5877" t="s">
        <v>21</v>
      </c>
      <c r="C5877" t="s">
        <v>18</v>
      </c>
      <c r="D5877" t="s">
        <v>13</v>
      </c>
      <c r="E5877">
        <v>0.96073059360730595</v>
      </c>
      <c r="F5877">
        <v>0.96378708251433698</v>
      </c>
      <c r="G5877">
        <v>35.480405807495103</v>
      </c>
      <c r="H5877">
        <v>19</v>
      </c>
      <c r="I5877">
        <v>21</v>
      </c>
      <c r="J5877">
        <v>30</v>
      </c>
    </row>
    <row r="5878" spans="1:10" x14ac:dyDescent="0.25">
      <c r="A5878" t="s">
        <v>25</v>
      </c>
      <c r="B5878" t="s">
        <v>21</v>
      </c>
      <c r="C5878" t="s">
        <v>18</v>
      </c>
      <c r="D5878" t="s">
        <v>13</v>
      </c>
      <c r="E5878">
        <v>0.96073059360730595</v>
      </c>
      <c r="F5878">
        <v>0.96518249438703096</v>
      </c>
      <c r="G5878">
        <v>35.587620973587001</v>
      </c>
      <c r="H5878">
        <v>28</v>
      </c>
      <c r="I5878">
        <v>38</v>
      </c>
      <c r="J5878">
        <v>30</v>
      </c>
    </row>
    <row r="5879" spans="1:10" x14ac:dyDescent="0.25">
      <c r="A5879" t="s">
        <v>25</v>
      </c>
      <c r="B5879" t="s">
        <v>21</v>
      </c>
      <c r="C5879" t="s">
        <v>18</v>
      </c>
      <c r="D5879" t="s">
        <v>13</v>
      </c>
      <c r="E5879">
        <v>0.96712328767123201</v>
      </c>
      <c r="F5879">
        <v>0.96964783066264704</v>
      </c>
      <c r="G5879">
        <v>35.901391744613598</v>
      </c>
      <c r="H5879">
        <v>21</v>
      </c>
      <c r="I5879">
        <v>39</v>
      </c>
      <c r="J5879">
        <v>30</v>
      </c>
    </row>
    <row r="5880" spans="1:10" x14ac:dyDescent="0.25">
      <c r="A5880" t="s">
        <v>25</v>
      </c>
      <c r="B5880" t="s">
        <v>21</v>
      </c>
      <c r="C5880" t="s">
        <v>18</v>
      </c>
      <c r="D5880" t="s">
        <v>13</v>
      </c>
      <c r="E5880">
        <v>0.96347031963470298</v>
      </c>
      <c r="F5880">
        <v>0.96735678209652898</v>
      </c>
      <c r="G5880">
        <v>36.021880388259802</v>
      </c>
      <c r="H5880">
        <v>27</v>
      </c>
      <c r="I5880">
        <v>37</v>
      </c>
      <c r="J5880">
        <v>30</v>
      </c>
    </row>
    <row r="5881" spans="1:10" x14ac:dyDescent="0.25">
      <c r="A5881" t="s">
        <v>25</v>
      </c>
      <c r="B5881" t="s">
        <v>21</v>
      </c>
      <c r="C5881" t="s">
        <v>18</v>
      </c>
      <c r="D5881" t="s">
        <v>13</v>
      </c>
      <c r="E5881">
        <v>0.95525114155251101</v>
      </c>
      <c r="F5881">
        <v>0.95949380784675697</v>
      </c>
      <c r="G5881">
        <v>36.058835983276303</v>
      </c>
      <c r="H5881">
        <v>15</v>
      </c>
      <c r="I5881">
        <v>20</v>
      </c>
      <c r="J5881">
        <v>30</v>
      </c>
    </row>
    <row r="5882" spans="1:10" x14ac:dyDescent="0.25">
      <c r="A5882" t="s">
        <v>25</v>
      </c>
      <c r="B5882" t="s">
        <v>21</v>
      </c>
      <c r="C5882" t="s">
        <v>18</v>
      </c>
      <c r="D5882" t="s">
        <v>14</v>
      </c>
      <c r="E5882">
        <v>0.90319634703196305</v>
      </c>
      <c r="F5882">
        <v>0.91985024433935902</v>
      </c>
      <c r="G5882">
        <v>20.8997642993927</v>
      </c>
      <c r="H5882">
        <v>1</v>
      </c>
      <c r="I5882">
        <v>1</v>
      </c>
      <c r="J5882">
        <v>30</v>
      </c>
    </row>
    <row r="5883" spans="1:10" x14ac:dyDescent="0.25">
      <c r="A5883" t="s">
        <v>25</v>
      </c>
      <c r="B5883" t="s">
        <v>21</v>
      </c>
      <c r="C5883" t="s">
        <v>18</v>
      </c>
      <c r="D5883" t="s">
        <v>14</v>
      </c>
      <c r="E5883">
        <v>0.87853881278538803</v>
      </c>
      <c r="F5883">
        <v>0.90015769424657499</v>
      </c>
      <c r="G5883">
        <v>22.225620746612499</v>
      </c>
      <c r="H5883">
        <v>1</v>
      </c>
      <c r="I5883">
        <v>1</v>
      </c>
      <c r="J5883">
        <v>30</v>
      </c>
    </row>
    <row r="5884" spans="1:10" x14ac:dyDescent="0.25">
      <c r="A5884" t="s">
        <v>25</v>
      </c>
      <c r="B5884" t="s">
        <v>21</v>
      </c>
      <c r="C5884" t="s">
        <v>18</v>
      </c>
      <c r="D5884" t="s">
        <v>14</v>
      </c>
      <c r="E5884">
        <v>0.90776255707762499</v>
      </c>
      <c r="F5884">
        <v>0.91936470105926704</v>
      </c>
      <c r="G5884">
        <v>22.475110054016099</v>
      </c>
      <c r="H5884">
        <v>1</v>
      </c>
      <c r="I5884">
        <v>1</v>
      </c>
      <c r="J5884">
        <v>30</v>
      </c>
    </row>
    <row r="5885" spans="1:10" x14ac:dyDescent="0.25">
      <c r="A5885" t="s">
        <v>25</v>
      </c>
      <c r="B5885" t="s">
        <v>21</v>
      </c>
      <c r="C5885" t="s">
        <v>18</v>
      </c>
      <c r="D5885" t="s">
        <v>14</v>
      </c>
      <c r="E5885">
        <v>0.90319634703196305</v>
      </c>
      <c r="F5885">
        <v>0.91252512949223596</v>
      </c>
      <c r="G5885">
        <v>23.901281118392902</v>
      </c>
      <c r="H5885">
        <v>2</v>
      </c>
      <c r="I5885">
        <v>2</v>
      </c>
      <c r="J5885">
        <v>30</v>
      </c>
    </row>
    <row r="5886" spans="1:10" x14ac:dyDescent="0.25">
      <c r="A5886" t="s">
        <v>25</v>
      </c>
      <c r="B5886" t="s">
        <v>21</v>
      </c>
      <c r="C5886" t="s">
        <v>18</v>
      </c>
      <c r="D5886" t="s">
        <v>14</v>
      </c>
      <c r="E5886">
        <v>0.91232876712328703</v>
      </c>
      <c r="F5886">
        <v>0.91990263887506996</v>
      </c>
      <c r="G5886">
        <v>23.954028367996202</v>
      </c>
      <c r="H5886">
        <v>2</v>
      </c>
      <c r="I5886">
        <v>2</v>
      </c>
      <c r="J5886">
        <v>30</v>
      </c>
    </row>
    <row r="5887" spans="1:10" x14ac:dyDescent="0.25">
      <c r="A5887" t="s">
        <v>25</v>
      </c>
      <c r="B5887" t="s">
        <v>21</v>
      </c>
      <c r="C5887" t="s">
        <v>18</v>
      </c>
      <c r="D5887" t="s">
        <v>14</v>
      </c>
      <c r="E5887">
        <v>0.90776255707762499</v>
      </c>
      <c r="F5887">
        <v>0.91674772208547906</v>
      </c>
      <c r="G5887">
        <v>24.758522748947101</v>
      </c>
      <c r="H5887">
        <v>3</v>
      </c>
      <c r="I5887">
        <v>3</v>
      </c>
      <c r="J5887">
        <v>30</v>
      </c>
    </row>
    <row r="5888" spans="1:10" x14ac:dyDescent="0.25">
      <c r="A5888" t="s">
        <v>25</v>
      </c>
      <c r="B5888" t="s">
        <v>21</v>
      </c>
      <c r="C5888" t="s">
        <v>18</v>
      </c>
      <c r="D5888" t="s">
        <v>14</v>
      </c>
      <c r="E5888">
        <v>0.897716894977169</v>
      </c>
      <c r="F5888">
        <v>0.91332316557397297</v>
      </c>
      <c r="G5888">
        <v>24.735625028610201</v>
      </c>
      <c r="H5888">
        <v>1</v>
      </c>
      <c r="I5888">
        <v>1</v>
      </c>
      <c r="J5888">
        <v>30</v>
      </c>
    </row>
    <row r="5889" spans="1:10" x14ac:dyDescent="0.25">
      <c r="A5889" t="s">
        <v>25</v>
      </c>
      <c r="B5889" t="s">
        <v>21</v>
      </c>
      <c r="C5889" t="s">
        <v>18</v>
      </c>
      <c r="D5889" t="s">
        <v>14</v>
      </c>
      <c r="E5889">
        <v>0.89863013698630101</v>
      </c>
      <c r="F5889">
        <v>0.908843942238172</v>
      </c>
      <c r="G5889">
        <v>24.801895380020099</v>
      </c>
      <c r="H5889">
        <v>3</v>
      </c>
      <c r="I5889">
        <v>3</v>
      </c>
      <c r="J5889">
        <v>30</v>
      </c>
    </row>
    <row r="5890" spans="1:10" x14ac:dyDescent="0.25">
      <c r="A5890" t="s">
        <v>25</v>
      </c>
      <c r="B5890" t="s">
        <v>21</v>
      </c>
      <c r="C5890" t="s">
        <v>18</v>
      </c>
      <c r="D5890" t="s">
        <v>14</v>
      </c>
      <c r="E5890">
        <v>0.89589041095890398</v>
      </c>
      <c r="F5890">
        <v>0.91183939454931695</v>
      </c>
      <c r="G5890">
        <v>24.860607862472499</v>
      </c>
      <c r="H5890">
        <v>1</v>
      </c>
      <c r="I5890">
        <v>1</v>
      </c>
      <c r="J5890">
        <v>30</v>
      </c>
    </row>
    <row r="5891" spans="1:10" x14ac:dyDescent="0.25">
      <c r="A5891" t="s">
        <v>25</v>
      </c>
      <c r="B5891" t="s">
        <v>21</v>
      </c>
      <c r="C5891" t="s">
        <v>18</v>
      </c>
      <c r="D5891" t="s">
        <v>14</v>
      </c>
      <c r="E5891">
        <v>0.90776255707762499</v>
      </c>
      <c r="F5891">
        <v>0.91626518963616299</v>
      </c>
      <c r="G5891">
        <v>25.515806913375801</v>
      </c>
      <c r="H5891">
        <v>2</v>
      </c>
      <c r="I5891">
        <v>2</v>
      </c>
      <c r="J5891">
        <v>30</v>
      </c>
    </row>
    <row r="5892" spans="1:10" x14ac:dyDescent="0.25">
      <c r="A5892" t="s">
        <v>25</v>
      </c>
      <c r="B5892" t="s">
        <v>21</v>
      </c>
      <c r="C5892" t="s">
        <v>18</v>
      </c>
      <c r="D5892" t="s">
        <v>14</v>
      </c>
      <c r="E5892">
        <v>0.92328767123287603</v>
      </c>
      <c r="F5892">
        <v>0.92857601973251103</v>
      </c>
      <c r="G5892">
        <v>25.5494368076324</v>
      </c>
      <c r="H5892">
        <v>2</v>
      </c>
      <c r="I5892">
        <v>2</v>
      </c>
      <c r="J5892">
        <v>30</v>
      </c>
    </row>
    <row r="5893" spans="1:10" x14ac:dyDescent="0.25">
      <c r="A5893" t="s">
        <v>25</v>
      </c>
      <c r="B5893" t="s">
        <v>21</v>
      </c>
      <c r="C5893" t="s">
        <v>18</v>
      </c>
      <c r="D5893" t="s">
        <v>14</v>
      </c>
      <c r="E5893">
        <v>0.91506849315068495</v>
      </c>
      <c r="F5893">
        <v>0.92210393955068504</v>
      </c>
      <c r="G5893">
        <v>26.417375326156598</v>
      </c>
      <c r="H5893">
        <v>2</v>
      </c>
      <c r="I5893">
        <v>2</v>
      </c>
      <c r="J5893">
        <v>30</v>
      </c>
    </row>
    <row r="5894" spans="1:10" x14ac:dyDescent="0.25">
      <c r="A5894" t="s">
        <v>25</v>
      </c>
      <c r="B5894" t="s">
        <v>21</v>
      </c>
      <c r="C5894" t="s">
        <v>18</v>
      </c>
      <c r="D5894" t="s">
        <v>14</v>
      </c>
      <c r="E5894">
        <v>0.90045662100456603</v>
      </c>
      <c r="F5894">
        <v>0.91659609419516097</v>
      </c>
      <c r="G5894">
        <v>26.488573074340799</v>
      </c>
      <c r="H5894">
        <v>1</v>
      </c>
      <c r="I5894">
        <v>1</v>
      </c>
      <c r="J5894">
        <v>30</v>
      </c>
    </row>
    <row r="5895" spans="1:10" x14ac:dyDescent="0.25">
      <c r="A5895" t="s">
        <v>25</v>
      </c>
      <c r="B5895" t="s">
        <v>21</v>
      </c>
      <c r="C5895" t="s">
        <v>18</v>
      </c>
      <c r="D5895" t="s">
        <v>14</v>
      </c>
      <c r="E5895">
        <v>0.91232876712328703</v>
      </c>
      <c r="F5895">
        <v>0.91990263887506996</v>
      </c>
      <c r="G5895">
        <v>26.536223649978599</v>
      </c>
      <c r="H5895">
        <v>2</v>
      </c>
      <c r="I5895">
        <v>2</v>
      </c>
      <c r="J5895">
        <v>30</v>
      </c>
    </row>
    <row r="5896" spans="1:10" x14ac:dyDescent="0.25">
      <c r="A5896" t="s">
        <v>25</v>
      </c>
      <c r="B5896" t="s">
        <v>21</v>
      </c>
      <c r="C5896" t="s">
        <v>18</v>
      </c>
      <c r="D5896" t="s">
        <v>14</v>
      </c>
      <c r="E5896">
        <v>0.90958904109589001</v>
      </c>
      <c r="F5896">
        <v>0.91765645253671002</v>
      </c>
      <c r="G5896">
        <v>26.7965006828308</v>
      </c>
      <c r="H5896">
        <v>2</v>
      </c>
      <c r="I5896">
        <v>2</v>
      </c>
      <c r="J5896">
        <v>30</v>
      </c>
    </row>
    <row r="5897" spans="1:10" x14ac:dyDescent="0.25">
      <c r="A5897" t="s">
        <v>25</v>
      </c>
      <c r="B5897" t="s">
        <v>21</v>
      </c>
      <c r="C5897" t="s">
        <v>18</v>
      </c>
      <c r="D5897" t="s">
        <v>14</v>
      </c>
      <c r="E5897">
        <v>0.89497716894977097</v>
      </c>
      <c r="F5897">
        <v>0.90563740498995404</v>
      </c>
      <c r="G5897">
        <v>26.811116456985399</v>
      </c>
      <c r="H5897">
        <v>2</v>
      </c>
      <c r="I5897">
        <v>2</v>
      </c>
      <c r="J5897">
        <v>30</v>
      </c>
    </row>
    <row r="5898" spans="1:10" x14ac:dyDescent="0.25">
      <c r="A5898" t="s">
        <v>25</v>
      </c>
      <c r="B5898" t="s">
        <v>21</v>
      </c>
      <c r="C5898" t="s">
        <v>18</v>
      </c>
      <c r="D5898" t="s">
        <v>14</v>
      </c>
      <c r="E5898">
        <v>0.88401826484018198</v>
      </c>
      <c r="F5898">
        <v>0.90317437506045495</v>
      </c>
      <c r="G5898">
        <v>26.886928319930998</v>
      </c>
      <c r="H5898">
        <v>1</v>
      </c>
      <c r="I5898">
        <v>1</v>
      </c>
      <c r="J5898">
        <v>30</v>
      </c>
    </row>
    <row r="5899" spans="1:10" x14ac:dyDescent="0.25">
      <c r="A5899" t="s">
        <v>25</v>
      </c>
      <c r="B5899" t="s">
        <v>21</v>
      </c>
      <c r="C5899" t="s">
        <v>18</v>
      </c>
      <c r="D5899" t="s">
        <v>14</v>
      </c>
      <c r="E5899">
        <v>0.908675799086758</v>
      </c>
      <c r="F5899">
        <v>0.92316574227625603</v>
      </c>
      <c r="G5899">
        <v>26.9957418441772</v>
      </c>
      <c r="H5899">
        <v>1</v>
      </c>
      <c r="I5899">
        <v>1</v>
      </c>
      <c r="J5899">
        <v>30</v>
      </c>
    </row>
    <row r="5900" spans="1:10" x14ac:dyDescent="0.25">
      <c r="A5900" t="s">
        <v>25</v>
      </c>
      <c r="B5900" t="s">
        <v>21</v>
      </c>
      <c r="C5900" t="s">
        <v>18</v>
      </c>
      <c r="D5900" t="s">
        <v>14</v>
      </c>
      <c r="E5900">
        <v>0.91050228310502201</v>
      </c>
      <c r="F5900">
        <v>0.92207376161899401</v>
      </c>
      <c r="G5900">
        <v>27.217472553253099</v>
      </c>
      <c r="H5900">
        <v>1</v>
      </c>
      <c r="I5900">
        <v>1</v>
      </c>
      <c r="J5900">
        <v>30</v>
      </c>
    </row>
    <row r="5901" spans="1:10" x14ac:dyDescent="0.25">
      <c r="A5901" t="s">
        <v>25</v>
      </c>
      <c r="B5901" t="s">
        <v>21</v>
      </c>
      <c r="C5901" t="s">
        <v>18</v>
      </c>
      <c r="D5901" t="s">
        <v>14</v>
      </c>
      <c r="E5901">
        <v>0.89497716894977097</v>
      </c>
      <c r="F5901">
        <v>0.90899648349187201</v>
      </c>
      <c r="G5901">
        <v>27.581383466720499</v>
      </c>
      <c r="H5901">
        <v>1</v>
      </c>
      <c r="I5901">
        <v>1</v>
      </c>
      <c r="J5901">
        <v>30</v>
      </c>
    </row>
    <row r="5902" spans="1:10" x14ac:dyDescent="0.25">
      <c r="A5902" t="s">
        <v>25</v>
      </c>
      <c r="B5902" t="s">
        <v>21</v>
      </c>
      <c r="C5902" t="s">
        <v>18</v>
      </c>
      <c r="D5902" t="s">
        <v>14</v>
      </c>
      <c r="E5902">
        <v>0.90776255707762499</v>
      </c>
      <c r="F5902">
        <v>0.91991470227872296</v>
      </c>
      <c r="G5902">
        <v>27.624224901199302</v>
      </c>
      <c r="H5902">
        <v>1</v>
      </c>
      <c r="I5902">
        <v>1</v>
      </c>
      <c r="J5902">
        <v>30</v>
      </c>
    </row>
    <row r="5903" spans="1:10" x14ac:dyDescent="0.25">
      <c r="A5903" t="s">
        <v>25</v>
      </c>
      <c r="B5903" t="s">
        <v>21</v>
      </c>
      <c r="C5903" t="s">
        <v>18</v>
      </c>
      <c r="D5903" t="s">
        <v>14</v>
      </c>
      <c r="E5903">
        <v>0.90228310502283104</v>
      </c>
      <c r="F5903">
        <v>0.91859521085589202</v>
      </c>
      <c r="G5903">
        <v>27.682802200317301</v>
      </c>
      <c r="H5903">
        <v>1</v>
      </c>
      <c r="I5903">
        <v>1</v>
      </c>
      <c r="J5903">
        <v>30</v>
      </c>
    </row>
    <row r="5904" spans="1:10" x14ac:dyDescent="0.25">
      <c r="A5904" t="s">
        <v>25</v>
      </c>
      <c r="B5904" t="s">
        <v>21</v>
      </c>
      <c r="C5904" t="s">
        <v>18</v>
      </c>
      <c r="D5904" t="s">
        <v>14</v>
      </c>
      <c r="E5904">
        <v>0.90684931506849298</v>
      </c>
      <c r="F5904">
        <v>0.91554216748648498</v>
      </c>
      <c r="G5904">
        <v>27.738535165786701</v>
      </c>
      <c r="H5904">
        <v>2</v>
      </c>
      <c r="I5904">
        <v>2</v>
      </c>
      <c r="J5904">
        <v>30</v>
      </c>
    </row>
    <row r="5905" spans="1:10" x14ac:dyDescent="0.25">
      <c r="A5905" t="s">
        <v>25</v>
      </c>
      <c r="B5905" t="s">
        <v>21</v>
      </c>
      <c r="C5905" t="s">
        <v>18</v>
      </c>
      <c r="D5905" t="s">
        <v>14</v>
      </c>
      <c r="E5905">
        <v>0.90410958904109495</v>
      </c>
      <c r="F5905">
        <v>0.91330232626346897</v>
      </c>
      <c r="G5905">
        <v>27.754095315933199</v>
      </c>
      <c r="H5905">
        <v>2</v>
      </c>
      <c r="I5905">
        <v>2</v>
      </c>
      <c r="J5905">
        <v>30</v>
      </c>
    </row>
    <row r="5906" spans="1:10" x14ac:dyDescent="0.25">
      <c r="A5906" t="s">
        <v>25</v>
      </c>
      <c r="B5906" t="s">
        <v>21</v>
      </c>
      <c r="C5906" t="s">
        <v>18</v>
      </c>
      <c r="D5906" t="s">
        <v>14</v>
      </c>
      <c r="E5906">
        <v>0.908675799086758</v>
      </c>
      <c r="F5906">
        <v>0.916963797171234</v>
      </c>
      <c r="G5906">
        <v>27.860371351242001</v>
      </c>
      <c r="H5906">
        <v>2</v>
      </c>
      <c r="I5906">
        <v>2</v>
      </c>
      <c r="J5906">
        <v>30</v>
      </c>
    </row>
    <row r="5907" spans="1:10" x14ac:dyDescent="0.25">
      <c r="A5907" t="s">
        <v>25</v>
      </c>
      <c r="B5907" t="s">
        <v>21</v>
      </c>
      <c r="C5907" t="s">
        <v>18</v>
      </c>
      <c r="D5907" t="s">
        <v>14</v>
      </c>
      <c r="E5907">
        <v>0.89223744292237395</v>
      </c>
      <c r="F5907">
        <v>0.91043466854045496</v>
      </c>
      <c r="G5907">
        <v>27.855817079544</v>
      </c>
      <c r="H5907">
        <v>1</v>
      </c>
      <c r="I5907">
        <v>1</v>
      </c>
      <c r="J5907">
        <v>30</v>
      </c>
    </row>
    <row r="5908" spans="1:10" x14ac:dyDescent="0.25">
      <c r="A5908" t="s">
        <v>25</v>
      </c>
      <c r="B5908" t="s">
        <v>21</v>
      </c>
      <c r="C5908" t="s">
        <v>18</v>
      </c>
      <c r="D5908" t="s">
        <v>14</v>
      </c>
      <c r="E5908">
        <v>0.91050228310502201</v>
      </c>
      <c r="F5908">
        <v>0.91848480399132304</v>
      </c>
      <c r="G5908">
        <v>27.9059078693389</v>
      </c>
      <c r="H5908">
        <v>2</v>
      </c>
      <c r="I5908">
        <v>2</v>
      </c>
      <c r="J5908">
        <v>30</v>
      </c>
    </row>
    <row r="5909" spans="1:10" x14ac:dyDescent="0.25">
      <c r="A5909" t="s">
        <v>25</v>
      </c>
      <c r="B5909" t="s">
        <v>21</v>
      </c>
      <c r="C5909" t="s">
        <v>18</v>
      </c>
      <c r="D5909" t="s">
        <v>14</v>
      </c>
      <c r="E5909">
        <v>0.90228310502283104</v>
      </c>
      <c r="F5909">
        <v>0.91701605534794395</v>
      </c>
      <c r="G5909">
        <v>27.918929576873701</v>
      </c>
      <c r="H5909">
        <v>1</v>
      </c>
      <c r="I5909">
        <v>1</v>
      </c>
      <c r="J5909">
        <v>30</v>
      </c>
    </row>
    <row r="5910" spans="1:10" x14ac:dyDescent="0.25">
      <c r="A5910" t="s">
        <v>25</v>
      </c>
      <c r="B5910" t="s">
        <v>21</v>
      </c>
      <c r="C5910" t="s">
        <v>18</v>
      </c>
      <c r="D5910" t="s">
        <v>14</v>
      </c>
      <c r="E5910">
        <v>0.90410958904109495</v>
      </c>
      <c r="F5910">
        <v>0.91900094584438197</v>
      </c>
      <c r="G5910">
        <v>27.965080976486199</v>
      </c>
      <c r="H5910">
        <v>1</v>
      </c>
      <c r="I5910">
        <v>1</v>
      </c>
      <c r="J5910">
        <v>30</v>
      </c>
    </row>
    <row r="5911" spans="1:10" x14ac:dyDescent="0.25">
      <c r="A5911" t="s">
        <v>25</v>
      </c>
      <c r="B5911" t="s">
        <v>21</v>
      </c>
      <c r="C5911" t="s">
        <v>18</v>
      </c>
      <c r="D5911" t="s">
        <v>14</v>
      </c>
      <c r="E5911">
        <v>0.90502283105022796</v>
      </c>
      <c r="F5911">
        <v>0.91972951932822</v>
      </c>
      <c r="G5911">
        <v>27.988129615783599</v>
      </c>
      <c r="H5911">
        <v>1</v>
      </c>
      <c r="I5911">
        <v>1</v>
      </c>
      <c r="J5911">
        <v>30</v>
      </c>
    </row>
    <row r="5912" spans="1:10" x14ac:dyDescent="0.25">
      <c r="A5912" t="s">
        <v>25</v>
      </c>
      <c r="B5912" t="s">
        <v>21</v>
      </c>
      <c r="C5912" t="s">
        <v>18</v>
      </c>
      <c r="D5912" t="s">
        <v>15</v>
      </c>
      <c r="E5912">
        <v>0</v>
      </c>
      <c r="F5912">
        <v>0.75</v>
      </c>
      <c r="G5912">
        <v>0.60871100425720204</v>
      </c>
      <c r="H5912">
        <v>0</v>
      </c>
      <c r="I5912">
        <v>0</v>
      </c>
      <c r="J5912">
        <v>30</v>
      </c>
    </row>
    <row r="5913" spans="1:10" x14ac:dyDescent="0.25">
      <c r="A5913" t="s">
        <v>25</v>
      </c>
      <c r="B5913" t="s">
        <v>21</v>
      </c>
      <c r="C5913" t="s">
        <v>18</v>
      </c>
      <c r="D5913" t="s">
        <v>15</v>
      </c>
      <c r="E5913">
        <v>0.91050228310502201</v>
      </c>
      <c r="F5913">
        <v>0.91868000238557102</v>
      </c>
      <c r="G5913">
        <v>0.84172964096069303</v>
      </c>
      <c r="H5913">
        <v>3</v>
      </c>
      <c r="I5913">
        <v>3</v>
      </c>
      <c r="J5913">
        <v>30</v>
      </c>
    </row>
    <row r="5914" spans="1:10" x14ac:dyDescent="0.25">
      <c r="A5914" t="s">
        <v>25</v>
      </c>
      <c r="B5914" t="s">
        <v>21</v>
      </c>
      <c r="C5914" t="s">
        <v>18</v>
      </c>
      <c r="D5914" t="s">
        <v>15</v>
      </c>
      <c r="E5914">
        <v>0.89315068493150596</v>
      </c>
      <c r="F5914">
        <v>0.90469373298520295</v>
      </c>
      <c r="G5914">
        <v>0.96060657501220703</v>
      </c>
      <c r="H5914">
        <v>5</v>
      </c>
      <c r="I5914">
        <v>6</v>
      </c>
      <c r="J5914">
        <v>30</v>
      </c>
    </row>
    <row r="5915" spans="1:10" x14ac:dyDescent="0.25">
      <c r="A5915" t="s">
        <v>25</v>
      </c>
      <c r="B5915" t="s">
        <v>21</v>
      </c>
      <c r="C5915" t="s">
        <v>18</v>
      </c>
      <c r="D5915" t="s">
        <v>15</v>
      </c>
      <c r="E5915">
        <v>0</v>
      </c>
      <c r="F5915">
        <v>0.75</v>
      </c>
      <c r="G5915">
        <v>0.99062609672546298</v>
      </c>
      <c r="H5915">
        <v>1</v>
      </c>
      <c r="I5915">
        <v>3</v>
      </c>
      <c r="J5915">
        <v>30</v>
      </c>
    </row>
    <row r="5916" spans="1:10" x14ac:dyDescent="0.25">
      <c r="A5916" t="s">
        <v>25</v>
      </c>
      <c r="B5916" t="s">
        <v>21</v>
      </c>
      <c r="C5916" t="s">
        <v>18</v>
      </c>
      <c r="D5916" t="s">
        <v>15</v>
      </c>
      <c r="E5916">
        <v>0.89223744292237395</v>
      </c>
      <c r="F5916">
        <v>0.90407632353150802</v>
      </c>
      <c r="G5916">
        <v>1.31823301315307</v>
      </c>
      <c r="H5916">
        <v>3</v>
      </c>
      <c r="I5916">
        <v>12</v>
      </c>
      <c r="J5916">
        <v>30</v>
      </c>
    </row>
    <row r="5917" spans="1:10" x14ac:dyDescent="0.25">
      <c r="A5917" t="s">
        <v>25</v>
      </c>
      <c r="B5917" t="s">
        <v>21</v>
      </c>
      <c r="C5917" t="s">
        <v>18</v>
      </c>
      <c r="D5917" t="s">
        <v>15</v>
      </c>
      <c r="E5917">
        <v>0.91415525114155205</v>
      </c>
      <c r="F5917">
        <v>0.92212845532346899</v>
      </c>
      <c r="G5917">
        <v>1.8077428340911801</v>
      </c>
      <c r="H5917">
        <v>5</v>
      </c>
      <c r="I5917">
        <v>11</v>
      </c>
      <c r="J5917">
        <v>30</v>
      </c>
    </row>
    <row r="5918" spans="1:10" x14ac:dyDescent="0.25">
      <c r="A5918" t="s">
        <v>25</v>
      </c>
      <c r="B5918" t="s">
        <v>21</v>
      </c>
      <c r="C5918" t="s">
        <v>18</v>
      </c>
      <c r="D5918" t="s">
        <v>15</v>
      </c>
      <c r="E5918">
        <v>0.91050228310502201</v>
      </c>
      <c r="F5918">
        <v>0.91775981896913195</v>
      </c>
      <c r="G5918">
        <v>2.7868392467498699</v>
      </c>
      <c r="H5918">
        <v>13</v>
      </c>
      <c r="I5918">
        <v>22</v>
      </c>
      <c r="J5918">
        <v>30</v>
      </c>
    </row>
    <row r="5919" spans="1:10" x14ac:dyDescent="0.25">
      <c r="A5919" t="s">
        <v>25</v>
      </c>
      <c r="B5919" t="s">
        <v>21</v>
      </c>
      <c r="C5919" t="s">
        <v>18</v>
      </c>
      <c r="D5919" t="s">
        <v>15</v>
      </c>
      <c r="E5919">
        <v>0.90045662100456603</v>
      </c>
      <c r="F5919">
        <v>0.91170063864155404</v>
      </c>
      <c r="G5919">
        <v>2.9366106986999498</v>
      </c>
      <c r="H5919">
        <v>5</v>
      </c>
      <c r="I5919">
        <v>20</v>
      </c>
      <c r="J5919">
        <v>30</v>
      </c>
    </row>
    <row r="5920" spans="1:10" x14ac:dyDescent="0.25">
      <c r="A5920" t="s">
        <v>25</v>
      </c>
      <c r="B5920" t="s">
        <v>21</v>
      </c>
      <c r="C5920" t="s">
        <v>18</v>
      </c>
      <c r="D5920" t="s">
        <v>15</v>
      </c>
      <c r="E5920">
        <v>0.89406392694063896</v>
      </c>
      <c r="F5920">
        <v>0.90551604077004599</v>
      </c>
      <c r="G5920">
        <v>3.1617662906646702</v>
      </c>
      <c r="H5920">
        <v>7</v>
      </c>
      <c r="I5920">
        <v>15</v>
      </c>
      <c r="J5920">
        <v>30</v>
      </c>
    </row>
    <row r="5921" spans="1:10" x14ac:dyDescent="0.25">
      <c r="A5921" t="s">
        <v>25</v>
      </c>
      <c r="B5921" t="s">
        <v>21</v>
      </c>
      <c r="C5921" t="s">
        <v>18</v>
      </c>
      <c r="D5921" t="s">
        <v>15</v>
      </c>
      <c r="E5921">
        <v>0.89223744292237395</v>
      </c>
      <c r="F5921">
        <v>0.905251639300091</v>
      </c>
      <c r="G5921">
        <v>3.4496355056762602</v>
      </c>
      <c r="H5921">
        <v>8</v>
      </c>
      <c r="I5921">
        <v>15</v>
      </c>
      <c r="J5921">
        <v>30</v>
      </c>
    </row>
    <row r="5922" spans="1:10" x14ac:dyDescent="0.25">
      <c r="A5922" t="s">
        <v>25</v>
      </c>
      <c r="B5922" t="s">
        <v>21</v>
      </c>
      <c r="C5922" t="s">
        <v>18</v>
      </c>
      <c r="D5922" t="s">
        <v>15</v>
      </c>
      <c r="E5922">
        <v>0.89315068493150596</v>
      </c>
      <c r="F5922">
        <v>0.90588588287899297</v>
      </c>
      <c r="G5922">
        <v>3.7488408088684002</v>
      </c>
      <c r="H5922">
        <v>5</v>
      </c>
      <c r="I5922">
        <v>9</v>
      </c>
      <c r="J5922">
        <v>30</v>
      </c>
    </row>
    <row r="5923" spans="1:10" x14ac:dyDescent="0.25">
      <c r="A5923" t="s">
        <v>25</v>
      </c>
      <c r="B5923" t="s">
        <v>21</v>
      </c>
      <c r="C5923" t="s">
        <v>18</v>
      </c>
      <c r="D5923" t="s">
        <v>15</v>
      </c>
      <c r="E5923">
        <v>0.88767123287671201</v>
      </c>
      <c r="F5923">
        <v>0.90182466311561804</v>
      </c>
      <c r="G5923">
        <v>3.8496942520141602</v>
      </c>
      <c r="H5923">
        <v>4</v>
      </c>
      <c r="I5923">
        <v>11</v>
      </c>
      <c r="J5923">
        <v>30</v>
      </c>
    </row>
    <row r="5924" spans="1:10" x14ac:dyDescent="0.25">
      <c r="A5924" t="s">
        <v>25</v>
      </c>
      <c r="B5924" t="s">
        <v>21</v>
      </c>
      <c r="C5924" t="s">
        <v>18</v>
      </c>
      <c r="D5924" t="s">
        <v>15</v>
      </c>
      <c r="E5924">
        <v>0.89223744292237395</v>
      </c>
      <c r="F5924">
        <v>0.903952303761827</v>
      </c>
      <c r="G5924">
        <v>4.0819354057312003</v>
      </c>
      <c r="H5924">
        <v>11</v>
      </c>
      <c r="I5924">
        <v>21</v>
      </c>
      <c r="J5924">
        <v>30</v>
      </c>
    </row>
    <row r="5925" spans="1:10" x14ac:dyDescent="0.25">
      <c r="A5925" t="s">
        <v>25</v>
      </c>
      <c r="B5925" t="s">
        <v>21</v>
      </c>
      <c r="C5925" t="s">
        <v>18</v>
      </c>
      <c r="D5925" t="s">
        <v>15</v>
      </c>
      <c r="E5925">
        <v>0.89589041095890398</v>
      </c>
      <c r="F5925">
        <v>0.90926607278447502</v>
      </c>
      <c r="G5925">
        <v>4.3201811313629097</v>
      </c>
      <c r="H5925">
        <v>8</v>
      </c>
      <c r="I5925">
        <v>15</v>
      </c>
      <c r="J5925">
        <v>30</v>
      </c>
    </row>
    <row r="5926" spans="1:10" x14ac:dyDescent="0.25">
      <c r="A5926" t="s">
        <v>25</v>
      </c>
      <c r="B5926" t="s">
        <v>21</v>
      </c>
      <c r="C5926" t="s">
        <v>18</v>
      </c>
      <c r="D5926" t="s">
        <v>15</v>
      </c>
      <c r="E5926">
        <v>0.88401826484018198</v>
      </c>
      <c r="F5926">
        <v>0.89851274637442702</v>
      </c>
      <c r="G5926">
        <v>4.3638176918029696</v>
      </c>
      <c r="H5926">
        <v>13</v>
      </c>
      <c r="I5926">
        <v>26</v>
      </c>
      <c r="J5926">
        <v>30</v>
      </c>
    </row>
    <row r="5927" spans="1:10" x14ac:dyDescent="0.25">
      <c r="A5927" t="s">
        <v>25</v>
      </c>
      <c r="B5927" t="s">
        <v>21</v>
      </c>
      <c r="C5927" t="s">
        <v>18</v>
      </c>
      <c r="D5927" t="s">
        <v>15</v>
      </c>
      <c r="E5927">
        <v>0.897716894977169</v>
      </c>
      <c r="F5927">
        <v>0.90976301719963504</v>
      </c>
      <c r="G5927">
        <v>4.4673075675964302</v>
      </c>
      <c r="H5927">
        <v>15</v>
      </c>
      <c r="I5927">
        <v>30</v>
      </c>
      <c r="J5927">
        <v>30</v>
      </c>
    </row>
    <row r="5928" spans="1:10" x14ac:dyDescent="0.25">
      <c r="A5928" t="s">
        <v>25</v>
      </c>
      <c r="B5928" t="s">
        <v>21</v>
      </c>
      <c r="C5928" t="s">
        <v>18</v>
      </c>
      <c r="D5928" t="s">
        <v>15</v>
      </c>
      <c r="E5928">
        <v>0.89223744292237395</v>
      </c>
      <c r="F5928">
        <v>0.90566663660639402</v>
      </c>
      <c r="G5928">
        <v>4.6106510162353498</v>
      </c>
      <c r="H5928">
        <v>8</v>
      </c>
      <c r="I5928">
        <v>17</v>
      </c>
      <c r="J5928">
        <v>30</v>
      </c>
    </row>
    <row r="5929" spans="1:10" x14ac:dyDescent="0.25">
      <c r="A5929" t="s">
        <v>25</v>
      </c>
      <c r="B5929" t="s">
        <v>21</v>
      </c>
      <c r="C5929" t="s">
        <v>18</v>
      </c>
      <c r="D5929" t="s">
        <v>15</v>
      </c>
      <c r="E5929">
        <v>0.91050228310502201</v>
      </c>
      <c r="F5929">
        <v>0.92057671412191799</v>
      </c>
      <c r="G5929">
        <v>4.7160770893096897</v>
      </c>
      <c r="H5929">
        <v>12</v>
      </c>
      <c r="I5929">
        <v>24</v>
      </c>
      <c r="J5929">
        <v>30</v>
      </c>
    </row>
    <row r="5930" spans="1:10" x14ac:dyDescent="0.25">
      <c r="A5930" t="s">
        <v>25</v>
      </c>
      <c r="B5930" t="s">
        <v>21</v>
      </c>
      <c r="C5930" t="s">
        <v>18</v>
      </c>
      <c r="D5930" t="s">
        <v>15</v>
      </c>
      <c r="E5930">
        <v>0.90776255707762499</v>
      </c>
      <c r="F5930">
        <v>0.91862687589041203</v>
      </c>
      <c r="G5930">
        <v>4.6839215755462602</v>
      </c>
      <c r="H5930">
        <v>10</v>
      </c>
      <c r="I5930">
        <v>19</v>
      </c>
      <c r="J5930">
        <v>30</v>
      </c>
    </row>
    <row r="5931" spans="1:10" x14ac:dyDescent="0.25">
      <c r="A5931" t="s">
        <v>25</v>
      </c>
      <c r="B5931" t="s">
        <v>21</v>
      </c>
      <c r="C5931" t="s">
        <v>18</v>
      </c>
      <c r="D5931" t="s">
        <v>15</v>
      </c>
      <c r="E5931">
        <v>0.89589041095890398</v>
      </c>
      <c r="F5931">
        <v>0.90823165345314805</v>
      </c>
      <c r="G5931">
        <v>5.1209051609039298</v>
      </c>
      <c r="H5931">
        <v>12</v>
      </c>
      <c r="I5931">
        <v>25</v>
      </c>
      <c r="J5931">
        <v>30</v>
      </c>
    </row>
    <row r="5932" spans="1:10" x14ac:dyDescent="0.25">
      <c r="A5932" t="s">
        <v>25</v>
      </c>
      <c r="B5932" t="s">
        <v>21</v>
      </c>
      <c r="C5932" t="s">
        <v>18</v>
      </c>
      <c r="D5932" t="s">
        <v>15</v>
      </c>
      <c r="E5932">
        <v>0.89041095890410904</v>
      </c>
      <c r="F5932">
        <v>0.90418898918593404</v>
      </c>
      <c r="G5932">
        <v>5.40370774269104</v>
      </c>
      <c r="H5932">
        <v>10</v>
      </c>
      <c r="I5932">
        <v>20</v>
      </c>
      <c r="J5932">
        <v>30</v>
      </c>
    </row>
    <row r="5933" spans="1:10" x14ac:dyDescent="0.25">
      <c r="A5933" t="s">
        <v>25</v>
      </c>
      <c r="B5933" t="s">
        <v>21</v>
      </c>
      <c r="C5933" t="s">
        <v>18</v>
      </c>
      <c r="D5933" t="s">
        <v>15</v>
      </c>
      <c r="E5933">
        <v>0.897716894977169</v>
      </c>
      <c r="F5933">
        <v>0.91003454283104901</v>
      </c>
      <c r="G5933">
        <v>5.64546775817871</v>
      </c>
      <c r="H5933">
        <v>8</v>
      </c>
      <c r="I5933">
        <v>15</v>
      </c>
      <c r="J5933">
        <v>30</v>
      </c>
    </row>
    <row r="5934" spans="1:10" x14ac:dyDescent="0.25">
      <c r="A5934" t="s">
        <v>25</v>
      </c>
      <c r="B5934" t="s">
        <v>21</v>
      </c>
      <c r="C5934" t="s">
        <v>18</v>
      </c>
      <c r="D5934" t="s">
        <v>15</v>
      </c>
      <c r="E5934">
        <v>0.88858447488584402</v>
      </c>
      <c r="F5934">
        <v>0.90540933149260405</v>
      </c>
      <c r="G5934">
        <v>5.6996312141418404</v>
      </c>
      <c r="H5934">
        <v>16</v>
      </c>
      <c r="I5934">
        <v>31</v>
      </c>
      <c r="J5934">
        <v>30</v>
      </c>
    </row>
    <row r="5935" spans="1:10" x14ac:dyDescent="0.25">
      <c r="A5935" t="s">
        <v>25</v>
      </c>
      <c r="B5935" t="s">
        <v>21</v>
      </c>
      <c r="C5935" t="s">
        <v>18</v>
      </c>
      <c r="D5935" t="s">
        <v>15</v>
      </c>
      <c r="E5935">
        <v>0.89406392694063896</v>
      </c>
      <c r="F5935">
        <v>0.909618644353971</v>
      </c>
      <c r="G5935">
        <v>6.3347835540771396</v>
      </c>
      <c r="H5935">
        <v>15</v>
      </c>
      <c r="I5935">
        <v>42</v>
      </c>
      <c r="J5935">
        <v>30</v>
      </c>
    </row>
    <row r="5936" spans="1:10" x14ac:dyDescent="0.25">
      <c r="A5936" t="s">
        <v>25</v>
      </c>
      <c r="B5936" t="s">
        <v>21</v>
      </c>
      <c r="C5936" t="s">
        <v>18</v>
      </c>
      <c r="D5936" t="s">
        <v>15</v>
      </c>
      <c r="E5936">
        <v>0.90136986301369804</v>
      </c>
      <c r="F5936">
        <v>0.91099629198018095</v>
      </c>
      <c r="G5936">
        <v>6.4590806961059499</v>
      </c>
      <c r="H5936">
        <v>26</v>
      </c>
      <c r="I5936">
        <v>49</v>
      </c>
      <c r="J5936">
        <v>30</v>
      </c>
    </row>
    <row r="5937" spans="1:10" x14ac:dyDescent="0.25">
      <c r="A5937" t="s">
        <v>25</v>
      </c>
      <c r="B5937" t="s">
        <v>21</v>
      </c>
      <c r="C5937" t="s">
        <v>18</v>
      </c>
      <c r="D5937" t="s">
        <v>15</v>
      </c>
      <c r="E5937">
        <v>0.90410958904109495</v>
      </c>
      <c r="F5937">
        <v>0.91474996633716699</v>
      </c>
      <c r="G5937">
        <v>6.8393206596374503</v>
      </c>
      <c r="H5937">
        <v>19</v>
      </c>
      <c r="I5937">
        <v>36</v>
      </c>
      <c r="J5937">
        <v>30</v>
      </c>
    </row>
    <row r="5938" spans="1:10" x14ac:dyDescent="0.25">
      <c r="A5938" t="s">
        <v>25</v>
      </c>
      <c r="B5938" t="s">
        <v>21</v>
      </c>
      <c r="C5938" t="s">
        <v>18</v>
      </c>
      <c r="D5938" t="s">
        <v>15</v>
      </c>
      <c r="E5938">
        <v>0.89132420091324205</v>
      </c>
      <c r="F5938">
        <v>0.90475593460447601</v>
      </c>
      <c r="G5938">
        <v>7.0645618438720703</v>
      </c>
      <c r="H5938">
        <v>14</v>
      </c>
      <c r="I5938">
        <v>30</v>
      </c>
      <c r="J5938">
        <v>30</v>
      </c>
    </row>
    <row r="5939" spans="1:10" x14ac:dyDescent="0.25">
      <c r="A5939" t="s">
        <v>25</v>
      </c>
      <c r="B5939" t="s">
        <v>21</v>
      </c>
      <c r="C5939" t="s">
        <v>18</v>
      </c>
      <c r="D5939" t="s">
        <v>15</v>
      </c>
      <c r="E5939">
        <v>0.89315068493150596</v>
      </c>
      <c r="F5939">
        <v>0.90796573111378798</v>
      </c>
      <c r="G5939">
        <v>7.1125104427337602</v>
      </c>
      <c r="H5939">
        <v>19</v>
      </c>
      <c r="I5939">
        <v>57</v>
      </c>
      <c r="J5939">
        <v>30</v>
      </c>
    </row>
    <row r="5940" spans="1:10" x14ac:dyDescent="0.25">
      <c r="A5940" t="s">
        <v>25</v>
      </c>
      <c r="B5940" t="s">
        <v>21</v>
      </c>
      <c r="C5940" t="s">
        <v>18</v>
      </c>
      <c r="D5940" t="s">
        <v>15</v>
      </c>
      <c r="E5940">
        <v>0.885844748858447</v>
      </c>
      <c r="F5940">
        <v>0.90256181343433595</v>
      </c>
      <c r="G5940">
        <v>7.2353711128234801</v>
      </c>
      <c r="H5940">
        <v>24</v>
      </c>
      <c r="I5940">
        <v>57</v>
      </c>
      <c r="J5940">
        <v>30</v>
      </c>
    </row>
    <row r="5941" spans="1:10" x14ac:dyDescent="0.25">
      <c r="A5941" t="s">
        <v>25</v>
      </c>
      <c r="B5941" t="s">
        <v>21</v>
      </c>
      <c r="C5941" t="s">
        <v>18</v>
      </c>
      <c r="D5941" t="s">
        <v>15</v>
      </c>
      <c r="E5941">
        <v>0.89406392694063896</v>
      </c>
      <c r="F5941">
        <v>0.90759216736794601</v>
      </c>
      <c r="G5941">
        <v>7.89440894126892</v>
      </c>
      <c r="H5941">
        <v>12</v>
      </c>
      <c r="I5941">
        <v>34</v>
      </c>
      <c r="J5941">
        <v>30</v>
      </c>
    </row>
    <row r="5942" spans="1:10" x14ac:dyDescent="0.25">
      <c r="A5942" t="s">
        <v>25</v>
      </c>
      <c r="B5942" t="s">
        <v>21</v>
      </c>
      <c r="C5942" t="s">
        <v>18</v>
      </c>
      <c r="D5942" t="s">
        <v>16</v>
      </c>
      <c r="E5942">
        <v>0</v>
      </c>
      <c r="F5942">
        <v>0.75</v>
      </c>
      <c r="G5942">
        <v>0.30827236175537098</v>
      </c>
      <c r="H5942">
        <v>0</v>
      </c>
      <c r="I5942">
        <v>0</v>
      </c>
      <c r="J5942">
        <v>30</v>
      </c>
    </row>
    <row r="5943" spans="1:10" x14ac:dyDescent="0.25">
      <c r="A5943" t="s">
        <v>25</v>
      </c>
      <c r="B5943" t="s">
        <v>21</v>
      </c>
      <c r="C5943" t="s">
        <v>18</v>
      </c>
      <c r="D5943" t="s">
        <v>16</v>
      </c>
      <c r="E5943">
        <v>0</v>
      </c>
      <c r="F5943">
        <v>0.75</v>
      </c>
      <c r="G5943">
        <v>0.34946012496948198</v>
      </c>
      <c r="H5943">
        <v>0</v>
      </c>
      <c r="I5943">
        <v>0</v>
      </c>
      <c r="J5943">
        <v>30</v>
      </c>
    </row>
    <row r="5944" spans="1:10" x14ac:dyDescent="0.25">
      <c r="A5944" t="s">
        <v>25</v>
      </c>
      <c r="B5944" t="s">
        <v>21</v>
      </c>
      <c r="C5944" t="s">
        <v>18</v>
      </c>
      <c r="D5944" t="s">
        <v>16</v>
      </c>
      <c r="E5944">
        <v>0</v>
      </c>
      <c r="F5944">
        <v>0.75</v>
      </c>
      <c r="G5944">
        <v>0.36101293563842701</v>
      </c>
      <c r="H5944">
        <v>0</v>
      </c>
      <c r="I5944">
        <v>0</v>
      </c>
      <c r="J5944">
        <v>30</v>
      </c>
    </row>
    <row r="5945" spans="1:10" x14ac:dyDescent="0.25">
      <c r="A5945" t="s">
        <v>25</v>
      </c>
      <c r="B5945" t="s">
        <v>21</v>
      </c>
      <c r="C5945" t="s">
        <v>18</v>
      </c>
      <c r="D5945" t="s">
        <v>16</v>
      </c>
      <c r="E5945">
        <v>0</v>
      </c>
      <c r="F5945">
        <v>0.75</v>
      </c>
      <c r="G5945">
        <v>0.36598777770995999</v>
      </c>
      <c r="H5945">
        <v>0</v>
      </c>
      <c r="I5945">
        <v>0</v>
      </c>
      <c r="J5945">
        <v>30</v>
      </c>
    </row>
    <row r="5946" spans="1:10" x14ac:dyDescent="0.25">
      <c r="A5946" t="s">
        <v>25</v>
      </c>
      <c r="B5946" t="s">
        <v>21</v>
      </c>
      <c r="C5946" t="s">
        <v>18</v>
      </c>
      <c r="D5946" t="s">
        <v>16</v>
      </c>
      <c r="E5946">
        <v>0</v>
      </c>
      <c r="F5946">
        <v>0.75</v>
      </c>
      <c r="G5946">
        <v>0.40142011642455999</v>
      </c>
      <c r="H5946">
        <v>0</v>
      </c>
      <c r="I5946">
        <v>0</v>
      </c>
      <c r="J5946">
        <v>30</v>
      </c>
    </row>
    <row r="5947" spans="1:10" x14ac:dyDescent="0.25">
      <c r="A5947" t="s">
        <v>25</v>
      </c>
      <c r="B5947" t="s">
        <v>21</v>
      </c>
      <c r="C5947" t="s">
        <v>18</v>
      </c>
      <c r="D5947" t="s">
        <v>16</v>
      </c>
      <c r="E5947">
        <v>0</v>
      </c>
      <c r="F5947">
        <v>0.75</v>
      </c>
      <c r="G5947">
        <v>0.39881229400634699</v>
      </c>
      <c r="H5947">
        <v>0</v>
      </c>
      <c r="I5947">
        <v>0</v>
      </c>
      <c r="J5947">
        <v>30</v>
      </c>
    </row>
    <row r="5948" spans="1:10" x14ac:dyDescent="0.25">
      <c r="A5948" t="s">
        <v>25</v>
      </c>
      <c r="B5948" t="s">
        <v>21</v>
      </c>
      <c r="C5948" t="s">
        <v>18</v>
      </c>
      <c r="D5948" t="s">
        <v>16</v>
      </c>
      <c r="E5948">
        <v>0</v>
      </c>
      <c r="F5948">
        <v>0.75</v>
      </c>
      <c r="G5948">
        <v>0.45700669288635198</v>
      </c>
      <c r="H5948">
        <v>0</v>
      </c>
      <c r="I5948">
        <v>0</v>
      </c>
      <c r="J5948">
        <v>30</v>
      </c>
    </row>
    <row r="5949" spans="1:10" x14ac:dyDescent="0.25">
      <c r="A5949" t="s">
        <v>25</v>
      </c>
      <c r="B5949" t="s">
        <v>21</v>
      </c>
      <c r="C5949" t="s">
        <v>18</v>
      </c>
      <c r="D5949" t="s">
        <v>16</v>
      </c>
      <c r="E5949">
        <v>0</v>
      </c>
      <c r="F5949">
        <v>0.75</v>
      </c>
      <c r="G5949">
        <v>0.44201827049255299</v>
      </c>
      <c r="H5949">
        <v>0</v>
      </c>
      <c r="I5949">
        <v>0</v>
      </c>
      <c r="J5949">
        <v>30</v>
      </c>
    </row>
    <row r="5950" spans="1:10" x14ac:dyDescent="0.25">
      <c r="A5950" t="s">
        <v>25</v>
      </c>
      <c r="B5950" t="s">
        <v>21</v>
      </c>
      <c r="C5950" t="s">
        <v>18</v>
      </c>
      <c r="D5950" t="s">
        <v>16</v>
      </c>
      <c r="E5950">
        <v>0</v>
      </c>
      <c r="F5950">
        <v>0.75</v>
      </c>
      <c r="G5950">
        <v>0.44778561592102001</v>
      </c>
      <c r="H5950">
        <v>0</v>
      </c>
      <c r="I5950">
        <v>0</v>
      </c>
      <c r="J5950">
        <v>30</v>
      </c>
    </row>
    <row r="5951" spans="1:10" x14ac:dyDescent="0.25">
      <c r="A5951" t="s">
        <v>25</v>
      </c>
      <c r="B5951" t="s">
        <v>21</v>
      </c>
      <c r="C5951" t="s">
        <v>18</v>
      </c>
      <c r="D5951" t="s">
        <v>16</v>
      </c>
      <c r="E5951">
        <v>0</v>
      </c>
      <c r="F5951">
        <v>0.75</v>
      </c>
      <c r="G5951">
        <v>0.472874164581298</v>
      </c>
      <c r="H5951">
        <v>0</v>
      </c>
      <c r="I5951">
        <v>0</v>
      </c>
      <c r="J5951">
        <v>30</v>
      </c>
    </row>
    <row r="5952" spans="1:10" x14ac:dyDescent="0.25">
      <c r="A5952" t="s">
        <v>25</v>
      </c>
      <c r="B5952" t="s">
        <v>21</v>
      </c>
      <c r="C5952" t="s">
        <v>18</v>
      </c>
      <c r="D5952" t="s">
        <v>16</v>
      </c>
      <c r="E5952">
        <v>0</v>
      </c>
      <c r="F5952">
        <v>0.75</v>
      </c>
      <c r="G5952">
        <v>0.48895144462585399</v>
      </c>
      <c r="H5952">
        <v>0</v>
      </c>
      <c r="I5952">
        <v>0</v>
      </c>
      <c r="J5952">
        <v>30</v>
      </c>
    </row>
    <row r="5953" spans="1:10" x14ac:dyDescent="0.25">
      <c r="A5953" t="s">
        <v>25</v>
      </c>
      <c r="B5953" t="s">
        <v>21</v>
      </c>
      <c r="C5953" t="s">
        <v>18</v>
      </c>
      <c r="D5953" t="s">
        <v>16</v>
      </c>
      <c r="E5953">
        <v>0</v>
      </c>
      <c r="F5953">
        <v>0.75</v>
      </c>
      <c r="G5953">
        <v>0.48143482208251898</v>
      </c>
      <c r="H5953">
        <v>0</v>
      </c>
      <c r="I5953">
        <v>0</v>
      </c>
      <c r="J5953">
        <v>30</v>
      </c>
    </row>
    <row r="5954" spans="1:10" x14ac:dyDescent="0.25">
      <c r="A5954" t="s">
        <v>25</v>
      </c>
      <c r="B5954" t="s">
        <v>21</v>
      </c>
      <c r="C5954" t="s">
        <v>18</v>
      </c>
      <c r="D5954" t="s">
        <v>16</v>
      </c>
      <c r="E5954">
        <v>0</v>
      </c>
      <c r="F5954">
        <v>0.75</v>
      </c>
      <c r="G5954">
        <v>0.43821048736572199</v>
      </c>
      <c r="H5954">
        <v>0</v>
      </c>
      <c r="I5954">
        <v>0</v>
      </c>
      <c r="J5954">
        <v>30</v>
      </c>
    </row>
    <row r="5955" spans="1:10" x14ac:dyDescent="0.25">
      <c r="A5955" t="s">
        <v>25</v>
      </c>
      <c r="B5955" t="s">
        <v>21</v>
      </c>
      <c r="C5955" t="s">
        <v>18</v>
      </c>
      <c r="D5955" t="s">
        <v>16</v>
      </c>
      <c r="E5955">
        <v>0</v>
      </c>
      <c r="F5955">
        <v>0.75</v>
      </c>
      <c r="G5955">
        <v>0.48393726348876898</v>
      </c>
      <c r="H5955">
        <v>0</v>
      </c>
      <c r="I5955">
        <v>0</v>
      </c>
      <c r="J5955">
        <v>30</v>
      </c>
    </row>
    <row r="5956" spans="1:10" x14ac:dyDescent="0.25">
      <c r="A5956" t="s">
        <v>25</v>
      </c>
      <c r="B5956" t="s">
        <v>21</v>
      </c>
      <c r="C5956" t="s">
        <v>18</v>
      </c>
      <c r="D5956" t="s">
        <v>16</v>
      </c>
      <c r="E5956">
        <v>0</v>
      </c>
      <c r="F5956">
        <v>0.75</v>
      </c>
      <c r="G5956">
        <v>0.51509594917297297</v>
      </c>
      <c r="H5956">
        <v>0</v>
      </c>
      <c r="I5956">
        <v>0</v>
      </c>
      <c r="J5956">
        <v>30</v>
      </c>
    </row>
    <row r="5957" spans="1:10" x14ac:dyDescent="0.25">
      <c r="A5957" t="s">
        <v>25</v>
      </c>
      <c r="B5957" t="s">
        <v>21</v>
      </c>
      <c r="C5957" t="s">
        <v>18</v>
      </c>
      <c r="D5957" t="s">
        <v>16</v>
      </c>
      <c r="E5957">
        <v>0</v>
      </c>
      <c r="F5957">
        <v>0.75</v>
      </c>
      <c r="G5957">
        <v>0.50752210617065396</v>
      </c>
      <c r="H5957">
        <v>0</v>
      </c>
      <c r="I5957">
        <v>0</v>
      </c>
      <c r="J5957">
        <v>30</v>
      </c>
    </row>
    <row r="5958" spans="1:10" x14ac:dyDescent="0.25">
      <c r="A5958" t="s">
        <v>25</v>
      </c>
      <c r="B5958" t="s">
        <v>21</v>
      </c>
      <c r="C5958" t="s">
        <v>18</v>
      </c>
      <c r="D5958" t="s">
        <v>16</v>
      </c>
      <c r="E5958">
        <v>0</v>
      </c>
      <c r="F5958">
        <v>0.75</v>
      </c>
      <c r="G5958">
        <v>0.53578758239746005</v>
      </c>
      <c r="H5958">
        <v>0</v>
      </c>
      <c r="I5958">
        <v>0</v>
      </c>
      <c r="J5958">
        <v>30</v>
      </c>
    </row>
    <row r="5959" spans="1:10" x14ac:dyDescent="0.25">
      <c r="A5959" t="s">
        <v>25</v>
      </c>
      <c r="B5959" t="s">
        <v>21</v>
      </c>
      <c r="C5959" t="s">
        <v>18</v>
      </c>
      <c r="D5959" t="s">
        <v>16</v>
      </c>
      <c r="E5959">
        <v>0</v>
      </c>
      <c r="F5959">
        <v>0.75</v>
      </c>
      <c r="G5959">
        <v>0.50901174545287997</v>
      </c>
      <c r="H5959">
        <v>0</v>
      </c>
      <c r="I5959">
        <v>0</v>
      </c>
      <c r="J5959">
        <v>30</v>
      </c>
    </row>
    <row r="5960" spans="1:10" x14ac:dyDescent="0.25">
      <c r="A5960" t="s">
        <v>25</v>
      </c>
      <c r="B5960" t="s">
        <v>21</v>
      </c>
      <c r="C5960" t="s">
        <v>18</v>
      </c>
      <c r="D5960" t="s">
        <v>16</v>
      </c>
      <c r="E5960">
        <v>0</v>
      </c>
      <c r="F5960">
        <v>0.75</v>
      </c>
      <c r="G5960">
        <v>0.487537860870361</v>
      </c>
      <c r="H5960">
        <v>0</v>
      </c>
      <c r="I5960">
        <v>0</v>
      </c>
      <c r="J5960">
        <v>30</v>
      </c>
    </row>
    <row r="5961" spans="1:10" x14ac:dyDescent="0.25">
      <c r="A5961" t="s">
        <v>25</v>
      </c>
      <c r="B5961" t="s">
        <v>21</v>
      </c>
      <c r="C5961" t="s">
        <v>18</v>
      </c>
      <c r="D5961" t="s">
        <v>16</v>
      </c>
      <c r="E5961">
        <v>0</v>
      </c>
      <c r="F5961">
        <v>0.75</v>
      </c>
      <c r="G5961">
        <v>0.48192977905273399</v>
      </c>
      <c r="H5961">
        <v>0</v>
      </c>
      <c r="I5961">
        <v>0</v>
      </c>
      <c r="J5961">
        <v>30</v>
      </c>
    </row>
    <row r="5962" spans="1:10" x14ac:dyDescent="0.25">
      <c r="A5962" t="s">
        <v>25</v>
      </c>
      <c r="B5962" t="s">
        <v>21</v>
      </c>
      <c r="C5962" t="s">
        <v>18</v>
      </c>
      <c r="D5962" t="s">
        <v>16</v>
      </c>
      <c r="E5962">
        <v>0</v>
      </c>
      <c r="F5962">
        <v>0.75</v>
      </c>
      <c r="G5962">
        <v>0.50043606758117598</v>
      </c>
      <c r="H5962">
        <v>0</v>
      </c>
      <c r="I5962">
        <v>0</v>
      </c>
      <c r="J5962">
        <v>30</v>
      </c>
    </row>
    <row r="5963" spans="1:10" x14ac:dyDescent="0.25">
      <c r="A5963" t="s">
        <v>25</v>
      </c>
      <c r="B5963" t="s">
        <v>21</v>
      </c>
      <c r="C5963" t="s">
        <v>18</v>
      </c>
      <c r="D5963" t="s">
        <v>16</v>
      </c>
      <c r="E5963">
        <v>0</v>
      </c>
      <c r="F5963">
        <v>0.75</v>
      </c>
      <c r="G5963">
        <v>0.49932193756103499</v>
      </c>
      <c r="H5963">
        <v>0</v>
      </c>
      <c r="I5963">
        <v>0</v>
      </c>
      <c r="J5963">
        <v>30</v>
      </c>
    </row>
    <row r="5964" spans="1:10" x14ac:dyDescent="0.25">
      <c r="A5964" t="s">
        <v>25</v>
      </c>
      <c r="B5964" t="s">
        <v>21</v>
      </c>
      <c r="C5964" t="s">
        <v>18</v>
      </c>
      <c r="D5964" t="s">
        <v>16</v>
      </c>
      <c r="E5964">
        <v>0</v>
      </c>
      <c r="F5964">
        <v>0.75</v>
      </c>
      <c r="G5964">
        <v>0.50304508209228505</v>
      </c>
      <c r="H5964">
        <v>0</v>
      </c>
      <c r="I5964">
        <v>0</v>
      </c>
      <c r="J5964">
        <v>30</v>
      </c>
    </row>
    <row r="5965" spans="1:10" x14ac:dyDescent="0.25">
      <c r="A5965" t="s">
        <v>25</v>
      </c>
      <c r="B5965" t="s">
        <v>21</v>
      </c>
      <c r="C5965" t="s">
        <v>18</v>
      </c>
      <c r="D5965" t="s">
        <v>16</v>
      </c>
      <c r="E5965">
        <v>0</v>
      </c>
      <c r="F5965">
        <v>0.75</v>
      </c>
      <c r="G5965">
        <v>0.54270768165588301</v>
      </c>
      <c r="H5965">
        <v>0</v>
      </c>
      <c r="I5965">
        <v>0</v>
      </c>
      <c r="J5965">
        <v>30</v>
      </c>
    </row>
    <row r="5966" spans="1:10" x14ac:dyDescent="0.25">
      <c r="A5966" t="s">
        <v>25</v>
      </c>
      <c r="B5966" t="s">
        <v>21</v>
      </c>
      <c r="C5966" t="s">
        <v>18</v>
      </c>
      <c r="D5966" t="s">
        <v>16</v>
      </c>
      <c r="E5966">
        <v>0</v>
      </c>
      <c r="F5966">
        <v>0.75</v>
      </c>
      <c r="G5966">
        <v>0.54170823097229004</v>
      </c>
      <c r="H5966">
        <v>0</v>
      </c>
      <c r="I5966">
        <v>0</v>
      </c>
      <c r="J5966">
        <v>30</v>
      </c>
    </row>
    <row r="5967" spans="1:10" x14ac:dyDescent="0.25">
      <c r="A5967" t="s">
        <v>25</v>
      </c>
      <c r="B5967" t="s">
        <v>21</v>
      </c>
      <c r="C5967" t="s">
        <v>18</v>
      </c>
      <c r="D5967" t="s">
        <v>16</v>
      </c>
      <c r="E5967">
        <v>0</v>
      </c>
      <c r="F5967">
        <v>0.75</v>
      </c>
      <c r="G5967">
        <v>0.497539281845092</v>
      </c>
      <c r="H5967">
        <v>0</v>
      </c>
      <c r="I5967">
        <v>0</v>
      </c>
      <c r="J5967">
        <v>30</v>
      </c>
    </row>
    <row r="5968" spans="1:10" x14ac:dyDescent="0.25">
      <c r="A5968" t="s">
        <v>25</v>
      </c>
      <c r="B5968" t="s">
        <v>21</v>
      </c>
      <c r="C5968" t="s">
        <v>18</v>
      </c>
      <c r="D5968" t="s">
        <v>16</v>
      </c>
      <c r="E5968">
        <v>0</v>
      </c>
      <c r="F5968">
        <v>0.75</v>
      </c>
      <c r="G5968">
        <v>0.50804519653320301</v>
      </c>
      <c r="H5968">
        <v>0</v>
      </c>
      <c r="I5968">
        <v>0</v>
      </c>
      <c r="J5968">
        <v>30</v>
      </c>
    </row>
    <row r="5969" spans="1:10" x14ac:dyDescent="0.25">
      <c r="A5969" t="s">
        <v>25</v>
      </c>
      <c r="B5969" t="s">
        <v>21</v>
      </c>
      <c r="C5969" t="s">
        <v>18</v>
      </c>
      <c r="D5969" t="s">
        <v>16</v>
      </c>
      <c r="E5969">
        <v>0</v>
      </c>
      <c r="F5969">
        <v>0.75</v>
      </c>
      <c r="G5969">
        <v>0.49447274208068798</v>
      </c>
      <c r="H5969">
        <v>0</v>
      </c>
      <c r="I5969">
        <v>0</v>
      </c>
      <c r="J5969">
        <v>30</v>
      </c>
    </row>
    <row r="5970" spans="1:10" x14ac:dyDescent="0.25">
      <c r="A5970" t="s">
        <v>25</v>
      </c>
      <c r="B5970" t="s">
        <v>21</v>
      </c>
      <c r="C5970" t="s">
        <v>18</v>
      </c>
      <c r="D5970" t="s">
        <v>16</v>
      </c>
      <c r="E5970">
        <v>0</v>
      </c>
      <c r="F5970">
        <v>0.75</v>
      </c>
      <c r="G5970">
        <v>0.477357387542724</v>
      </c>
      <c r="H5970">
        <v>0</v>
      </c>
      <c r="I5970">
        <v>0</v>
      </c>
      <c r="J5970">
        <v>30</v>
      </c>
    </row>
    <row r="5971" spans="1:10" x14ac:dyDescent="0.25">
      <c r="A5971" t="s">
        <v>25</v>
      </c>
      <c r="B5971" t="s">
        <v>21</v>
      </c>
      <c r="C5971" t="s">
        <v>18</v>
      </c>
      <c r="D5971" t="s">
        <v>16</v>
      </c>
      <c r="E5971">
        <v>0</v>
      </c>
      <c r="F5971">
        <v>0.75</v>
      </c>
      <c r="G5971">
        <v>0.509796142578125</v>
      </c>
      <c r="H5971">
        <v>0</v>
      </c>
      <c r="I5971">
        <v>0</v>
      </c>
      <c r="J5971">
        <v>30</v>
      </c>
    </row>
    <row r="5972" spans="1:10" x14ac:dyDescent="0.25">
      <c r="A5972" t="s">
        <v>25</v>
      </c>
      <c r="B5972" t="s">
        <v>21</v>
      </c>
      <c r="C5972" t="s">
        <v>18</v>
      </c>
      <c r="D5972" t="s">
        <v>17</v>
      </c>
      <c r="E5972">
        <v>0.88949771689497703</v>
      </c>
      <c r="F5972">
        <v>0.90121547967214499</v>
      </c>
      <c r="G5972">
        <v>17.748859882354701</v>
      </c>
      <c r="H5972">
        <v>6</v>
      </c>
      <c r="I5972">
        <v>7</v>
      </c>
      <c r="J5972">
        <v>30</v>
      </c>
    </row>
    <row r="5973" spans="1:10" x14ac:dyDescent="0.25">
      <c r="A5973" t="s">
        <v>25</v>
      </c>
      <c r="B5973" t="s">
        <v>21</v>
      </c>
      <c r="C5973" t="s">
        <v>18</v>
      </c>
      <c r="D5973" t="s">
        <v>17</v>
      </c>
      <c r="E5973">
        <v>0.89680365296803599</v>
      </c>
      <c r="F5973">
        <v>0.90734250686228302</v>
      </c>
      <c r="G5973">
        <v>19.444540500640802</v>
      </c>
      <c r="H5973">
        <v>10</v>
      </c>
      <c r="I5973">
        <v>10</v>
      </c>
      <c r="J5973">
        <v>30</v>
      </c>
    </row>
    <row r="5974" spans="1:10" x14ac:dyDescent="0.25">
      <c r="A5974" t="s">
        <v>25</v>
      </c>
      <c r="B5974" t="s">
        <v>21</v>
      </c>
      <c r="C5974" t="s">
        <v>18</v>
      </c>
      <c r="D5974" t="s">
        <v>17</v>
      </c>
      <c r="E5974">
        <v>0.897716894977169</v>
      </c>
      <c r="F5974">
        <v>0.90972700051643896</v>
      </c>
      <c r="G5974">
        <v>24.076489210128699</v>
      </c>
      <c r="H5974">
        <v>6</v>
      </c>
      <c r="I5974">
        <v>7</v>
      </c>
      <c r="J5974">
        <v>30</v>
      </c>
    </row>
    <row r="5975" spans="1:10" x14ac:dyDescent="0.25">
      <c r="A5975" t="s">
        <v>25</v>
      </c>
      <c r="B5975" t="s">
        <v>21</v>
      </c>
      <c r="C5975" t="s">
        <v>18</v>
      </c>
      <c r="D5975" t="s">
        <v>17</v>
      </c>
      <c r="E5975">
        <v>0.88401826484018198</v>
      </c>
      <c r="F5975">
        <v>0.89757936637314795</v>
      </c>
      <c r="G5975">
        <v>24.887295961380001</v>
      </c>
      <c r="H5975">
        <v>5</v>
      </c>
      <c r="I5975">
        <v>6</v>
      </c>
      <c r="J5975">
        <v>30</v>
      </c>
    </row>
    <row r="5976" spans="1:10" x14ac:dyDescent="0.25">
      <c r="A5976" t="s">
        <v>25</v>
      </c>
      <c r="B5976" t="s">
        <v>21</v>
      </c>
      <c r="C5976" t="s">
        <v>18</v>
      </c>
      <c r="D5976" t="s">
        <v>17</v>
      </c>
      <c r="E5976">
        <v>0.87671232876712302</v>
      </c>
      <c r="F5976">
        <v>0.89090578880912996</v>
      </c>
      <c r="G5976">
        <v>31.385270118713301</v>
      </c>
      <c r="H5976">
        <v>5</v>
      </c>
      <c r="I5976">
        <v>14</v>
      </c>
      <c r="J5976">
        <v>30</v>
      </c>
    </row>
    <row r="5977" spans="1:10" x14ac:dyDescent="0.25">
      <c r="A5977" t="s">
        <v>25</v>
      </c>
      <c r="B5977" t="s">
        <v>21</v>
      </c>
      <c r="C5977" t="s">
        <v>18</v>
      </c>
      <c r="D5977" t="s">
        <v>17</v>
      </c>
      <c r="E5977">
        <v>0.89223744292237395</v>
      </c>
      <c r="F5977">
        <v>0.90584738542465604</v>
      </c>
      <c r="G5977">
        <v>33.179595232009802</v>
      </c>
      <c r="H5977">
        <v>3</v>
      </c>
      <c r="I5977">
        <v>3</v>
      </c>
      <c r="J5977">
        <v>30</v>
      </c>
    </row>
    <row r="5978" spans="1:10" x14ac:dyDescent="0.25">
      <c r="A5978" t="s">
        <v>25</v>
      </c>
      <c r="B5978" t="s">
        <v>21</v>
      </c>
      <c r="C5978" t="s">
        <v>18</v>
      </c>
      <c r="D5978" t="s">
        <v>17</v>
      </c>
      <c r="E5978">
        <v>0.90228310502283104</v>
      </c>
      <c r="F5978">
        <v>0.91330502600913199</v>
      </c>
      <c r="G5978">
        <v>34.344961643218902</v>
      </c>
      <c r="H5978">
        <v>1</v>
      </c>
      <c r="I5978">
        <v>1</v>
      </c>
      <c r="J5978">
        <v>30</v>
      </c>
    </row>
    <row r="5979" spans="1:10" x14ac:dyDescent="0.25">
      <c r="A5979" t="s">
        <v>25</v>
      </c>
      <c r="B5979" t="s">
        <v>21</v>
      </c>
      <c r="C5979" t="s">
        <v>18</v>
      </c>
      <c r="D5979" t="s">
        <v>17</v>
      </c>
      <c r="E5979">
        <v>0.89406392694063896</v>
      </c>
      <c r="F5979">
        <v>0.90675149152867696</v>
      </c>
      <c r="G5979">
        <v>37.8387451171875</v>
      </c>
      <c r="H5979">
        <v>3</v>
      </c>
      <c r="I5979">
        <v>3</v>
      </c>
      <c r="J5979">
        <v>30</v>
      </c>
    </row>
    <row r="5980" spans="1:10" x14ac:dyDescent="0.25">
      <c r="A5980" t="s">
        <v>25</v>
      </c>
      <c r="B5980" t="s">
        <v>21</v>
      </c>
      <c r="C5980" t="s">
        <v>18</v>
      </c>
      <c r="D5980" t="s">
        <v>17</v>
      </c>
      <c r="E5980">
        <v>0.920547945205479</v>
      </c>
      <c r="F5980">
        <v>0.92795794474958904</v>
      </c>
      <c r="G5980">
        <v>37.883971691131499</v>
      </c>
      <c r="H5980">
        <v>7</v>
      </c>
      <c r="I5980">
        <v>6</v>
      </c>
      <c r="J5980">
        <v>30</v>
      </c>
    </row>
    <row r="5981" spans="1:10" x14ac:dyDescent="0.25">
      <c r="A5981" t="s">
        <v>25</v>
      </c>
      <c r="B5981" t="s">
        <v>21</v>
      </c>
      <c r="C5981" t="s">
        <v>18</v>
      </c>
      <c r="D5981" t="s">
        <v>17</v>
      </c>
      <c r="E5981">
        <v>0.90410958904109495</v>
      </c>
      <c r="F5981">
        <v>0.914108116343744</v>
      </c>
      <c r="G5981">
        <v>38.848374366760197</v>
      </c>
      <c r="H5981">
        <v>6</v>
      </c>
      <c r="I5981">
        <v>6</v>
      </c>
      <c r="J5981">
        <v>30</v>
      </c>
    </row>
    <row r="5982" spans="1:10" x14ac:dyDescent="0.25">
      <c r="A5982" t="s">
        <v>25</v>
      </c>
      <c r="B5982" t="s">
        <v>21</v>
      </c>
      <c r="C5982" t="s">
        <v>18</v>
      </c>
      <c r="D5982" t="s">
        <v>17</v>
      </c>
      <c r="E5982">
        <v>0.89406392694063896</v>
      </c>
      <c r="F5982">
        <v>0.90605785465698696</v>
      </c>
      <c r="G5982">
        <v>41.444152355193999</v>
      </c>
      <c r="H5982">
        <v>6</v>
      </c>
      <c r="I5982">
        <v>6</v>
      </c>
      <c r="J5982">
        <v>30</v>
      </c>
    </row>
    <row r="5983" spans="1:10" x14ac:dyDescent="0.25">
      <c r="A5983" t="s">
        <v>25</v>
      </c>
      <c r="B5983" t="s">
        <v>21</v>
      </c>
      <c r="C5983" t="s">
        <v>18</v>
      </c>
      <c r="D5983" t="s">
        <v>17</v>
      </c>
      <c r="E5983">
        <v>0.91689497716894897</v>
      </c>
      <c r="F5983">
        <v>0.92460444094356098</v>
      </c>
      <c r="G5983">
        <v>41.529493093490601</v>
      </c>
      <c r="H5983">
        <v>5</v>
      </c>
      <c r="I5983">
        <v>6</v>
      </c>
      <c r="J5983">
        <v>30</v>
      </c>
    </row>
    <row r="5984" spans="1:10" x14ac:dyDescent="0.25">
      <c r="A5984" t="s">
        <v>25</v>
      </c>
      <c r="B5984" t="s">
        <v>21</v>
      </c>
      <c r="C5984" t="s">
        <v>18</v>
      </c>
      <c r="D5984" t="s">
        <v>17</v>
      </c>
      <c r="E5984">
        <v>0.92968036529680298</v>
      </c>
      <c r="F5984">
        <v>0.93641336651725904</v>
      </c>
      <c r="G5984">
        <v>41.594680309295597</v>
      </c>
      <c r="H5984">
        <v>24</v>
      </c>
      <c r="I5984">
        <v>27</v>
      </c>
      <c r="J5984">
        <v>30</v>
      </c>
    </row>
    <row r="5985" spans="1:10" x14ac:dyDescent="0.25">
      <c r="A5985" t="s">
        <v>25</v>
      </c>
      <c r="B5985" t="s">
        <v>21</v>
      </c>
      <c r="C5985" t="s">
        <v>18</v>
      </c>
      <c r="D5985" t="s">
        <v>17</v>
      </c>
      <c r="E5985">
        <v>0.90502283105022796</v>
      </c>
      <c r="F5985">
        <v>0.91446337020246404</v>
      </c>
      <c r="G5985">
        <v>42.000293254852203</v>
      </c>
      <c r="H5985">
        <v>6</v>
      </c>
      <c r="I5985">
        <v>7</v>
      </c>
      <c r="J5985">
        <v>30</v>
      </c>
    </row>
    <row r="5986" spans="1:10" x14ac:dyDescent="0.25">
      <c r="A5986" t="s">
        <v>25</v>
      </c>
      <c r="B5986" t="s">
        <v>21</v>
      </c>
      <c r="C5986" t="s">
        <v>18</v>
      </c>
      <c r="D5986" t="s">
        <v>17</v>
      </c>
      <c r="E5986">
        <v>0.91050228310502201</v>
      </c>
      <c r="F5986">
        <v>0.919052591513425</v>
      </c>
      <c r="G5986">
        <v>42.254501342773402</v>
      </c>
      <c r="H5986">
        <v>9</v>
      </c>
      <c r="I5986">
        <v>10</v>
      </c>
      <c r="J5986">
        <v>30</v>
      </c>
    </row>
    <row r="5987" spans="1:10" x14ac:dyDescent="0.25">
      <c r="A5987" t="s">
        <v>25</v>
      </c>
      <c r="B5987" t="s">
        <v>21</v>
      </c>
      <c r="C5987" t="s">
        <v>18</v>
      </c>
      <c r="D5987" t="s">
        <v>17</v>
      </c>
      <c r="E5987">
        <v>0.90502283105022796</v>
      </c>
      <c r="F5987">
        <v>0.91440556633205405</v>
      </c>
      <c r="G5987">
        <v>43.455924987792898</v>
      </c>
      <c r="H5987">
        <v>3</v>
      </c>
      <c r="I5987">
        <v>3</v>
      </c>
      <c r="J5987">
        <v>30</v>
      </c>
    </row>
    <row r="5988" spans="1:10" x14ac:dyDescent="0.25">
      <c r="A5988" t="s">
        <v>25</v>
      </c>
      <c r="B5988" t="s">
        <v>21</v>
      </c>
      <c r="C5988" t="s">
        <v>18</v>
      </c>
      <c r="D5988" t="s">
        <v>17</v>
      </c>
      <c r="E5988">
        <v>0.88858447488584402</v>
      </c>
      <c r="F5988">
        <v>0.90031991495187202</v>
      </c>
      <c r="G5988">
        <v>43.843086719512897</v>
      </c>
      <c r="H5988">
        <v>6</v>
      </c>
      <c r="I5988">
        <v>7</v>
      </c>
      <c r="J5988">
        <v>30</v>
      </c>
    </row>
    <row r="5989" spans="1:10" x14ac:dyDescent="0.25">
      <c r="A5989" t="s">
        <v>25</v>
      </c>
      <c r="B5989" t="s">
        <v>21</v>
      </c>
      <c r="C5989" t="s">
        <v>18</v>
      </c>
      <c r="D5989" t="s">
        <v>17</v>
      </c>
      <c r="E5989">
        <v>0.88767123287671201</v>
      </c>
      <c r="F5989">
        <v>0.90052723924602796</v>
      </c>
      <c r="G5989">
        <v>44.9582390785217</v>
      </c>
      <c r="H5989">
        <v>5</v>
      </c>
      <c r="I5989">
        <v>6</v>
      </c>
      <c r="J5989">
        <v>30</v>
      </c>
    </row>
    <row r="5990" spans="1:10" x14ac:dyDescent="0.25">
      <c r="A5990" t="s">
        <v>25</v>
      </c>
      <c r="B5990" t="s">
        <v>21</v>
      </c>
      <c r="C5990" t="s">
        <v>18</v>
      </c>
      <c r="D5990" t="s">
        <v>17</v>
      </c>
      <c r="E5990">
        <v>0.89589041095890398</v>
      </c>
      <c r="F5990">
        <v>0.90700739012758103</v>
      </c>
      <c r="G5990">
        <v>46.083150863647397</v>
      </c>
      <c r="H5990">
        <v>7</v>
      </c>
      <c r="I5990">
        <v>9</v>
      </c>
      <c r="J5990">
        <v>30</v>
      </c>
    </row>
    <row r="5991" spans="1:10" x14ac:dyDescent="0.25">
      <c r="A5991" t="s">
        <v>25</v>
      </c>
      <c r="B5991" t="s">
        <v>21</v>
      </c>
      <c r="C5991" t="s">
        <v>18</v>
      </c>
      <c r="D5991" t="s">
        <v>17</v>
      </c>
      <c r="E5991">
        <v>0.90136986301369804</v>
      </c>
      <c r="F5991">
        <v>0.91072732738913098</v>
      </c>
      <c r="G5991">
        <v>46.814841270446699</v>
      </c>
      <c r="H5991">
        <v>10</v>
      </c>
      <c r="I5991">
        <v>13</v>
      </c>
      <c r="J5991">
        <v>30</v>
      </c>
    </row>
    <row r="5992" spans="1:10" x14ac:dyDescent="0.25">
      <c r="A5992" t="s">
        <v>25</v>
      </c>
      <c r="B5992" t="s">
        <v>21</v>
      </c>
      <c r="C5992" t="s">
        <v>18</v>
      </c>
      <c r="D5992" t="s">
        <v>17</v>
      </c>
      <c r="E5992">
        <v>0.885844748858447</v>
      </c>
      <c r="F5992">
        <v>0.89986421590529797</v>
      </c>
      <c r="G5992">
        <v>46.838895320892298</v>
      </c>
      <c r="H5992">
        <v>6</v>
      </c>
      <c r="I5992">
        <v>8</v>
      </c>
      <c r="J5992">
        <v>30</v>
      </c>
    </row>
    <row r="5993" spans="1:10" x14ac:dyDescent="0.25">
      <c r="A5993" t="s">
        <v>25</v>
      </c>
      <c r="B5993" t="s">
        <v>21</v>
      </c>
      <c r="C5993" t="s">
        <v>18</v>
      </c>
      <c r="D5993" t="s">
        <v>17</v>
      </c>
      <c r="E5993">
        <v>0.92146118721461101</v>
      </c>
      <c r="F5993">
        <v>0.92944362031451899</v>
      </c>
      <c r="G5993">
        <v>47.001935958862298</v>
      </c>
      <c r="H5993">
        <v>6</v>
      </c>
      <c r="I5993">
        <v>5</v>
      </c>
      <c r="J5993">
        <v>30</v>
      </c>
    </row>
    <row r="5994" spans="1:10" x14ac:dyDescent="0.25">
      <c r="A5994" t="s">
        <v>25</v>
      </c>
      <c r="B5994" t="s">
        <v>21</v>
      </c>
      <c r="C5994" t="s">
        <v>18</v>
      </c>
      <c r="D5994" t="s">
        <v>17</v>
      </c>
      <c r="E5994">
        <v>0.91872146118721398</v>
      </c>
      <c r="F5994">
        <v>0.925217850975524</v>
      </c>
      <c r="G5994">
        <v>48.838172197341898</v>
      </c>
      <c r="H5994">
        <v>5</v>
      </c>
      <c r="I5994">
        <v>6</v>
      </c>
      <c r="J5994">
        <v>30</v>
      </c>
    </row>
    <row r="5995" spans="1:10" x14ac:dyDescent="0.25">
      <c r="A5995" t="s">
        <v>25</v>
      </c>
      <c r="B5995" t="s">
        <v>21</v>
      </c>
      <c r="C5995" t="s">
        <v>18</v>
      </c>
      <c r="D5995" t="s">
        <v>17</v>
      </c>
      <c r="E5995">
        <v>0.89132420091324205</v>
      </c>
      <c r="F5995">
        <v>0.90273371965397298</v>
      </c>
      <c r="G5995">
        <v>49.117159366607602</v>
      </c>
      <c r="H5995">
        <v>9</v>
      </c>
      <c r="I5995">
        <v>11</v>
      </c>
      <c r="J5995">
        <v>30</v>
      </c>
    </row>
    <row r="5996" spans="1:10" x14ac:dyDescent="0.25">
      <c r="A5996" t="s">
        <v>25</v>
      </c>
      <c r="B5996" t="s">
        <v>21</v>
      </c>
      <c r="C5996" t="s">
        <v>18</v>
      </c>
      <c r="D5996" t="s">
        <v>17</v>
      </c>
      <c r="E5996">
        <v>0.90684931506849298</v>
      </c>
      <c r="F5996">
        <v>0.91688047335452105</v>
      </c>
      <c r="G5996">
        <v>49.503988504409698</v>
      </c>
      <c r="H5996">
        <v>2</v>
      </c>
      <c r="I5996">
        <v>3</v>
      </c>
      <c r="J5996">
        <v>30</v>
      </c>
    </row>
    <row r="5997" spans="1:10" x14ac:dyDescent="0.25">
      <c r="A5997" t="s">
        <v>25</v>
      </c>
      <c r="B5997" t="s">
        <v>21</v>
      </c>
      <c r="C5997" t="s">
        <v>18</v>
      </c>
      <c r="D5997" t="s">
        <v>17</v>
      </c>
      <c r="E5997">
        <v>0.88767123287671201</v>
      </c>
      <c r="F5997">
        <v>0.89963007798529504</v>
      </c>
      <c r="G5997">
        <v>50.533814907073896</v>
      </c>
      <c r="H5997">
        <v>10</v>
      </c>
      <c r="I5997">
        <v>11</v>
      </c>
      <c r="J5997">
        <v>30</v>
      </c>
    </row>
    <row r="5998" spans="1:10" x14ac:dyDescent="0.25">
      <c r="A5998" t="s">
        <v>25</v>
      </c>
      <c r="B5998" t="s">
        <v>21</v>
      </c>
      <c r="C5998" t="s">
        <v>18</v>
      </c>
      <c r="D5998" t="s">
        <v>17</v>
      </c>
      <c r="E5998">
        <v>0.92694063926940595</v>
      </c>
      <c r="F5998">
        <v>0.93482412291260197</v>
      </c>
      <c r="G5998">
        <v>51.0345358848571</v>
      </c>
      <c r="H5998">
        <v>14</v>
      </c>
      <c r="I5998">
        <v>17</v>
      </c>
      <c r="J5998">
        <v>30</v>
      </c>
    </row>
    <row r="5999" spans="1:10" x14ac:dyDescent="0.25">
      <c r="A5999" t="s">
        <v>25</v>
      </c>
      <c r="B5999" t="s">
        <v>21</v>
      </c>
      <c r="C5999" t="s">
        <v>18</v>
      </c>
      <c r="D5999" t="s">
        <v>17</v>
      </c>
      <c r="E5999">
        <v>0.90958904109589001</v>
      </c>
      <c r="F5999">
        <v>0.91798032679451902</v>
      </c>
      <c r="G5999">
        <v>52.632344722747803</v>
      </c>
      <c r="H5999">
        <v>3</v>
      </c>
      <c r="I5999">
        <v>3</v>
      </c>
      <c r="J5999">
        <v>30</v>
      </c>
    </row>
    <row r="6000" spans="1:10" x14ac:dyDescent="0.25">
      <c r="A6000" t="s">
        <v>25</v>
      </c>
      <c r="B6000" t="s">
        <v>21</v>
      </c>
      <c r="C6000" t="s">
        <v>18</v>
      </c>
      <c r="D6000" t="s">
        <v>17</v>
      </c>
      <c r="E6000">
        <v>0.897716894977169</v>
      </c>
      <c r="F6000">
        <v>0.90875158030986203</v>
      </c>
      <c r="G6000">
        <v>53.255731105804401</v>
      </c>
      <c r="H6000">
        <v>6</v>
      </c>
      <c r="I6000">
        <v>7</v>
      </c>
      <c r="J6000">
        <v>30</v>
      </c>
    </row>
    <row r="6001" spans="1:10" x14ac:dyDescent="0.25">
      <c r="A6001" t="s">
        <v>25</v>
      </c>
      <c r="B6001" t="s">
        <v>21</v>
      </c>
      <c r="C6001" t="s">
        <v>18</v>
      </c>
      <c r="D6001" t="s">
        <v>17</v>
      </c>
      <c r="E6001">
        <v>0.92146118721461101</v>
      </c>
      <c r="F6001">
        <v>0.92754853076977195</v>
      </c>
      <c r="G6001">
        <v>55.277181863784698</v>
      </c>
      <c r="H6001">
        <v>7</v>
      </c>
      <c r="I6001">
        <v>9</v>
      </c>
      <c r="J6001">
        <v>30</v>
      </c>
    </row>
    <row r="6002" spans="1:10" x14ac:dyDescent="0.25">
      <c r="A6002" t="s">
        <v>26</v>
      </c>
      <c r="B6002" t="s">
        <v>11</v>
      </c>
      <c r="C6002" t="s">
        <v>12</v>
      </c>
      <c r="D6002" t="s">
        <v>13</v>
      </c>
      <c r="E6002">
        <v>0.94174382716049299</v>
      </c>
      <c r="F6002">
        <v>0.95067309908634401</v>
      </c>
      <c r="G6002">
        <v>1.46250128746032</v>
      </c>
      <c r="H6002">
        <v>50</v>
      </c>
      <c r="I6002">
        <v>27</v>
      </c>
      <c r="J6002">
        <v>30</v>
      </c>
    </row>
    <row r="6003" spans="1:10" x14ac:dyDescent="0.25">
      <c r="A6003" t="s">
        <v>26</v>
      </c>
      <c r="B6003" t="s">
        <v>11</v>
      </c>
      <c r="C6003" t="s">
        <v>12</v>
      </c>
      <c r="D6003" t="s">
        <v>13</v>
      </c>
      <c r="E6003">
        <v>0.94174382716049299</v>
      </c>
      <c r="F6003">
        <v>0.94949844881720802</v>
      </c>
      <c r="G6003">
        <v>1.68361544609069</v>
      </c>
      <c r="H6003">
        <v>58</v>
      </c>
      <c r="I6003">
        <v>25</v>
      </c>
      <c r="J6003">
        <v>30</v>
      </c>
    </row>
    <row r="6004" spans="1:10" x14ac:dyDescent="0.25">
      <c r="A6004" t="s">
        <v>26</v>
      </c>
      <c r="B6004" t="s">
        <v>11</v>
      </c>
      <c r="C6004" t="s">
        <v>12</v>
      </c>
      <c r="D6004" t="s">
        <v>13</v>
      </c>
      <c r="E6004">
        <v>0.93402777777777701</v>
      </c>
      <c r="F6004">
        <v>0.94421208562137204</v>
      </c>
      <c r="G6004">
        <v>1.7694225311279199</v>
      </c>
      <c r="H6004">
        <v>58</v>
      </c>
      <c r="I6004">
        <v>25</v>
      </c>
      <c r="J6004">
        <v>30</v>
      </c>
    </row>
    <row r="6005" spans="1:10" x14ac:dyDescent="0.25">
      <c r="A6005" t="s">
        <v>26</v>
      </c>
      <c r="B6005" t="s">
        <v>11</v>
      </c>
      <c r="C6005" t="s">
        <v>12</v>
      </c>
      <c r="D6005" t="s">
        <v>13</v>
      </c>
      <c r="E6005">
        <v>0.95370370370370305</v>
      </c>
      <c r="F6005">
        <v>0.95915145284918801</v>
      </c>
      <c r="G6005">
        <v>1.90804266929626</v>
      </c>
      <c r="H6005">
        <v>65</v>
      </c>
      <c r="I6005">
        <v>25</v>
      </c>
      <c r="J6005">
        <v>30</v>
      </c>
    </row>
    <row r="6006" spans="1:10" x14ac:dyDescent="0.25">
      <c r="A6006" t="s">
        <v>26</v>
      </c>
      <c r="B6006" t="s">
        <v>11</v>
      </c>
      <c r="C6006" t="s">
        <v>12</v>
      </c>
      <c r="D6006" t="s">
        <v>13</v>
      </c>
      <c r="E6006">
        <v>0.94637345679012297</v>
      </c>
      <c r="F6006">
        <v>0.95143966938128799</v>
      </c>
      <c r="G6006">
        <v>1.8860569000244101</v>
      </c>
      <c r="H6006">
        <v>55</v>
      </c>
      <c r="I6006">
        <v>22</v>
      </c>
      <c r="J6006">
        <v>30</v>
      </c>
    </row>
    <row r="6007" spans="1:10" x14ac:dyDescent="0.25">
      <c r="A6007" t="s">
        <v>26</v>
      </c>
      <c r="B6007" t="s">
        <v>11</v>
      </c>
      <c r="C6007" t="s">
        <v>12</v>
      </c>
      <c r="D6007" t="s">
        <v>13</v>
      </c>
      <c r="E6007">
        <v>0.94907407407407396</v>
      </c>
      <c r="F6007">
        <v>0.95668795556666597</v>
      </c>
      <c r="G6007">
        <v>1.7367684841155999</v>
      </c>
      <c r="H6007">
        <v>54</v>
      </c>
      <c r="I6007">
        <v>24</v>
      </c>
      <c r="J6007">
        <v>30</v>
      </c>
    </row>
    <row r="6008" spans="1:10" x14ac:dyDescent="0.25">
      <c r="A6008" t="s">
        <v>26</v>
      </c>
      <c r="B6008" t="s">
        <v>11</v>
      </c>
      <c r="C6008" t="s">
        <v>12</v>
      </c>
      <c r="D6008" t="s">
        <v>13</v>
      </c>
      <c r="E6008">
        <v>0.96450617283950602</v>
      </c>
      <c r="F6008">
        <v>0.96881859381469904</v>
      </c>
      <c r="G6008">
        <v>2.0871996879577601</v>
      </c>
      <c r="H6008">
        <v>65</v>
      </c>
      <c r="I6008">
        <v>27</v>
      </c>
      <c r="J6008">
        <v>30</v>
      </c>
    </row>
    <row r="6009" spans="1:10" x14ac:dyDescent="0.25">
      <c r="A6009" t="s">
        <v>26</v>
      </c>
      <c r="B6009" t="s">
        <v>11</v>
      </c>
      <c r="C6009" t="s">
        <v>12</v>
      </c>
      <c r="D6009" t="s">
        <v>13</v>
      </c>
      <c r="E6009">
        <v>0.95023148148148096</v>
      </c>
      <c r="F6009">
        <v>0.95579379837496203</v>
      </c>
      <c r="G6009">
        <v>2.2198362350463801</v>
      </c>
      <c r="H6009">
        <v>73</v>
      </c>
      <c r="I6009">
        <v>27</v>
      </c>
      <c r="J6009">
        <v>30</v>
      </c>
    </row>
    <row r="6010" spans="1:10" x14ac:dyDescent="0.25">
      <c r="A6010" t="s">
        <v>26</v>
      </c>
      <c r="B6010" t="s">
        <v>11</v>
      </c>
      <c r="C6010" t="s">
        <v>12</v>
      </c>
      <c r="D6010" t="s">
        <v>13</v>
      </c>
      <c r="E6010">
        <v>0.94135802469135799</v>
      </c>
      <c r="F6010">
        <v>0.948416677457945</v>
      </c>
      <c r="G6010">
        <v>2.0030169486999498</v>
      </c>
      <c r="H6010">
        <v>63</v>
      </c>
      <c r="I6010">
        <v>28</v>
      </c>
      <c r="J6010">
        <v>30</v>
      </c>
    </row>
    <row r="6011" spans="1:10" x14ac:dyDescent="0.25">
      <c r="A6011" t="s">
        <v>26</v>
      </c>
      <c r="B6011" t="s">
        <v>11</v>
      </c>
      <c r="C6011" t="s">
        <v>12</v>
      </c>
      <c r="D6011" t="s">
        <v>13</v>
      </c>
      <c r="E6011">
        <v>0.94791666666666596</v>
      </c>
      <c r="F6011">
        <v>0.95584504901905998</v>
      </c>
      <c r="G6011">
        <v>2.0587952136993399</v>
      </c>
      <c r="H6011">
        <v>62</v>
      </c>
      <c r="I6011">
        <v>24</v>
      </c>
      <c r="J6011">
        <v>30</v>
      </c>
    </row>
    <row r="6012" spans="1:10" x14ac:dyDescent="0.25">
      <c r="A6012" t="s">
        <v>26</v>
      </c>
      <c r="B6012" t="s">
        <v>11</v>
      </c>
      <c r="C6012" t="s">
        <v>12</v>
      </c>
      <c r="D6012" t="s">
        <v>13</v>
      </c>
      <c r="E6012">
        <v>0.94135802469135799</v>
      </c>
      <c r="F6012">
        <v>0.95015361269509901</v>
      </c>
      <c r="G6012">
        <v>2.0295958518981898</v>
      </c>
      <c r="H6012">
        <v>67</v>
      </c>
      <c r="I6012">
        <v>22</v>
      </c>
      <c r="J6012">
        <v>30</v>
      </c>
    </row>
    <row r="6013" spans="1:10" x14ac:dyDescent="0.25">
      <c r="A6013" t="s">
        <v>26</v>
      </c>
      <c r="B6013" t="s">
        <v>11</v>
      </c>
      <c r="C6013" t="s">
        <v>12</v>
      </c>
      <c r="D6013" t="s">
        <v>13</v>
      </c>
      <c r="E6013">
        <v>0.94560185185185097</v>
      </c>
      <c r="F6013">
        <v>0.95408039876010697</v>
      </c>
      <c r="G6013">
        <v>2.24356889724731</v>
      </c>
      <c r="H6013">
        <v>68</v>
      </c>
      <c r="I6013">
        <v>24</v>
      </c>
      <c r="J6013">
        <v>30</v>
      </c>
    </row>
    <row r="6014" spans="1:10" x14ac:dyDescent="0.25">
      <c r="A6014" t="s">
        <v>26</v>
      </c>
      <c r="B6014" t="s">
        <v>11</v>
      </c>
      <c r="C6014" t="s">
        <v>12</v>
      </c>
      <c r="D6014" t="s">
        <v>13</v>
      </c>
      <c r="E6014">
        <v>0.968364197530864</v>
      </c>
      <c r="F6014">
        <v>0.97100683756496897</v>
      </c>
      <c r="G6014">
        <v>2.4320397377014098</v>
      </c>
      <c r="H6014">
        <v>65</v>
      </c>
      <c r="I6014">
        <v>30</v>
      </c>
      <c r="J6014">
        <v>30</v>
      </c>
    </row>
    <row r="6015" spans="1:10" x14ac:dyDescent="0.25">
      <c r="A6015" t="s">
        <v>26</v>
      </c>
      <c r="B6015" t="s">
        <v>11</v>
      </c>
      <c r="C6015" t="s">
        <v>12</v>
      </c>
      <c r="D6015" t="s">
        <v>13</v>
      </c>
      <c r="E6015">
        <v>0.95486111111111105</v>
      </c>
      <c r="F6015">
        <v>0.95951268451404303</v>
      </c>
      <c r="G6015">
        <v>2.3869349956512398</v>
      </c>
      <c r="H6015">
        <v>65</v>
      </c>
      <c r="I6015">
        <v>31</v>
      </c>
      <c r="J6015">
        <v>30</v>
      </c>
    </row>
    <row r="6016" spans="1:10" x14ac:dyDescent="0.25">
      <c r="A6016" t="s">
        <v>26</v>
      </c>
      <c r="B6016" t="s">
        <v>11</v>
      </c>
      <c r="C6016" t="s">
        <v>12</v>
      </c>
      <c r="D6016" t="s">
        <v>13</v>
      </c>
      <c r="E6016">
        <v>0.97299382716049299</v>
      </c>
      <c r="F6016">
        <v>0.97494680541813294</v>
      </c>
      <c r="G6016">
        <v>2.5616254806518501</v>
      </c>
      <c r="H6016">
        <v>68</v>
      </c>
      <c r="I6016">
        <v>32</v>
      </c>
      <c r="J6016">
        <v>30</v>
      </c>
    </row>
    <row r="6017" spans="1:10" x14ac:dyDescent="0.25">
      <c r="A6017" t="s">
        <v>26</v>
      </c>
      <c r="B6017" t="s">
        <v>11</v>
      </c>
      <c r="C6017" t="s">
        <v>12</v>
      </c>
      <c r="D6017" t="s">
        <v>13</v>
      </c>
      <c r="E6017">
        <v>0.968364197530864</v>
      </c>
      <c r="F6017">
        <v>0.970959470660686</v>
      </c>
      <c r="G6017">
        <v>2.3455433845520002</v>
      </c>
      <c r="H6017">
        <v>65</v>
      </c>
      <c r="I6017">
        <v>22</v>
      </c>
      <c r="J6017">
        <v>30</v>
      </c>
    </row>
    <row r="6018" spans="1:10" x14ac:dyDescent="0.25">
      <c r="A6018" t="s">
        <v>26</v>
      </c>
      <c r="B6018" t="s">
        <v>11</v>
      </c>
      <c r="C6018" t="s">
        <v>12</v>
      </c>
      <c r="D6018" t="s">
        <v>13</v>
      </c>
      <c r="E6018">
        <v>0.96489197530864201</v>
      </c>
      <c r="F6018">
        <v>0.96766127152800896</v>
      </c>
      <c r="G6018">
        <v>2.2644128799438401</v>
      </c>
      <c r="H6018">
        <v>64</v>
      </c>
      <c r="I6018">
        <v>24</v>
      </c>
      <c r="J6018">
        <v>30</v>
      </c>
    </row>
    <row r="6019" spans="1:10" x14ac:dyDescent="0.25">
      <c r="A6019" t="s">
        <v>26</v>
      </c>
      <c r="B6019" t="s">
        <v>11</v>
      </c>
      <c r="C6019" t="s">
        <v>12</v>
      </c>
      <c r="D6019" t="s">
        <v>13</v>
      </c>
      <c r="E6019">
        <v>0.96527777777777701</v>
      </c>
      <c r="F6019">
        <v>0.969208358293981</v>
      </c>
      <c r="G6019">
        <v>2.5535981655120801</v>
      </c>
      <c r="H6019">
        <v>71</v>
      </c>
      <c r="I6019">
        <v>28</v>
      </c>
      <c r="J6019">
        <v>30</v>
      </c>
    </row>
    <row r="6020" spans="1:10" x14ac:dyDescent="0.25">
      <c r="A6020" t="s">
        <v>26</v>
      </c>
      <c r="B6020" t="s">
        <v>11</v>
      </c>
      <c r="C6020" t="s">
        <v>12</v>
      </c>
      <c r="D6020" t="s">
        <v>13</v>
      </c>
      <c r="E6020">
        <v>0.95177469135802395</v>
      </c>
      <c r="F6020">
        <v>0.95801646034876498</v>
      </c>
      <c r="G6020">
        <v>2.5078771114349299</v>
      </c>
      <c r="H6020">
        <v>68</v>
      </c>
      <c r="I6020">
        <v>25</v>
      </c>
      <c r="J6020">
        <v>30</v>
      </c>
    </row>
    <row r="6021" spans="1:10" x14ac:dyDescent="0.25">
      <c r="A6021" t="s">
        <v>26</v>
      </c>
      <c r="B6021" t="s">
        <v>11</v>
      </c>
      <c r="C6021" t="s">
        <v>12</v>
      </c>
      <c r="D6021" t="s">
        <v>13</v>
      </c>
      <c r="E6021">
        <v>0.97029320987654299</v>
      </c>
      <c r="F6021">
        <v>0.97261922923329502</v>
      </c>
      <c r="G6021">
        <v>2.3218393325805602</v>
      </c>
      <c r="H6021">
        <v>67</v>
      </c>
      <c r="I6021">
        <v>28</v>
      </c>
      <c r="J6021">
        <v>30</v>
      </c>
    </row>
    <row r="6022" spans="1:10" x14ac:dyDescent="0.25">
      <c r="A6022" t="s">
        <v>26</v>
      </c>
      <c r="B6022" t="s">
        <v>11</v>
      </c>
      <c r="C6022" t="s">
        <v>12</v>
      </c>
      <c r="D6022" t="s">
        <v>13</v>
      </c>
      <c r="E6022">
        <v>0.97106481481481399</v>
      </c>
      <c r="F6022">
        <v>0.97315972824220598</v>
      </c>
      <c r="G6022">
        <v>2.4051101207733101</v>
      </c>
      <c r="H6022">
        <v>67</v>
      </c>
      <c r="I6022">
        <v>27</v>
      </c>
      <c r="J6022">
        <v>30</v>
      </c>
    </row>
    <row r="6023" spans="1:10" x14ac:dyDescent="0.25">
      <c r="A6023" t="s">
        <v>26</v>
      </c>
      <c r="B6023" t="s">
        <v>11</v>
      </c>
      <c r="C6023" t="s">
        <v>12</v>
      </c>
      <c r="D6023" t="s">
        <v>13</v>
      </c>
      <c r="E6023">
        <v>0.96682098765432101</v>
      </c>
      <c r="F6023">
        <v>0.97010867366562403</v>
      </c>
      <c r="G6023">
        <v>2.4257512092590301</v>
      </c>
      <c r="H6023">
        <v>72</v>
      </c>
      <c r="I6023">
        <v>30</v>
      </c>
      <c r="J6023">
        <v>30</v>
      </c>
    </row>
    <row r="6024" spans="1:10" x14ac:dyDescent="0.25">
      <c r="A6024" t="s">
        <v>26</v>
      </c>
      <c r="B6024" t="s">
        <v>11</v>
      </c>
      <c r="C6024" t="s">
        <v>12</v>
      </c>
      <c r="D6024" t="s">
        <v>13</v>
      </c>
      <c r="E6024">
        <v>0.96450617283950602</v>
      </c>
      <c r="F6024">
        <v>0.96749861125370296</v>
      </c>
      <c r="G6024">
        <v>2.3225290775299001</v>
      </c>
      <c r="H6024">
        <v>69</v>
      </c>
      <c r="I6024">
        <v>28</v>
      </c>
      <c r="J6024">
        <v>30</v>
      </c>
    </row>
    <row r="6025" spans="1:10" x14ac:dyDescent="0.25">
      <c r="A6025" t="s">
        <v>26</v>
      </c>
      <c r="B6025" t="s">
        <v>11</v>
      </c>
      <c r="C6025" t="s">
        <v>12</v>
      </c>
      <c r="D6025" t="s">
        <v>13</v>
      </c>
      <c r="E6025">
        <v>0.98495370370370305</v>
      </c>
      <c r="F6025">
        <v>0.98558870920050101</v>
      </c>
      <c r="G6025">
        <v>2.6188561916351301</v>
      </c>
      <c r="H6025">
        <v>80</v>
      </c>
      <c r="I6025">
        <v>33</v>
      </c>
      <c r="J6025">
        <v>30</v>
      </c>
    </row>
    <row r="6026" spans="1:10" x14ac:dyDescent="0.25">
      <c r="A6026" t="s">
        <v>26</v>
      </c>
      <c r="B6026" t="s">
        <v>11</v>
      </c>
      <c r="C6026" t="s">
        <v>12</v>
      </c>
      <c r="D6026" t="s">
        <v>13</v>
      </c>
      <c r="E6026">
        <v>0.97415123456790098</v>
      </c>
      <c r="F6026">
        <v>0.97600089755520703</v>
      </c>
      <c r="G6026">
        <v>2.6550211906433101</v>
      </c>
      <c r="H6026">
        <v>86</v>
      </c>
      <c r="I6026">
        <v>31</v>
      </c>
      <c r="J6026">
        <v>30</v>
      </c>
    </row>
    <row r="6027" spans="1:10" x14ac:dyDescent="0.25">
      <c r="A6027" t="s">
        <v>26</v>
      </c>
      <c r="B6027" t="s">
        <v>11</v>
      </c>
      <c r="C6027" t="s">
        <v>12</v>
      </c>
      <c r="D6027" t="s">
        <v>13</v>
      </c>
      <c r="E6027">
        <v>0.96450617283950602</v>
      </c>
      <c r="F6027">
        <v>0.96811752047777899</v>
      </c>
      <c r="G6027">
        <v>2.5369713306427002</v>
      </c>
      <c r="H6027">
        <v>76</v>
      </c>
      <c r="I6027">
        <v>30</v>
      </c>
      <c r="J6027">
        <v>30</v>
      </c>
    </row>
    <row r="6028" spans="1:10" x14ac:dyDescent="0.25">
      <c r="A6028" t="s">
        <v>26</v>
      </c>
      <c r="B6028" t="s">
        <v>11</v>
      </c>
      <c r="C6028" t="s">
        <v>12</v>
      </c>
      <c r="D6028" t="s">
        <v>13</v>
      </c>
      <c r="E6028">
        <v>0.98186728395061695</v>
      </c>
      <c r="F6028">
        <v>0.98270532512252995</v>
      </c>
      <c r="G6028">
        <v>2.5250074863433798</v>
      </c>
      <c r="H6028">
        <v>80</v>
      </c>
      <c r="I6028">
        <v>28</v>
      </c>
      <c r="J6028">
        <v>30</v>
      </c>
    </row>
    <row r="6029" spans="1:10" x14ac:dyDescent="0.25">
      <c r="A6029" t="s">
        <v>26</v>
      </c>
      <c r="B6029" t="s">
        <v>11</v>
      </c>
      <c r="C6029" t="s">
        <v>12</v>
      </c>
      <c r="D6029" t="s">
        <v>13</v>
      </c>
      <c r="E6029">
        <v>0.96875</v>
      </c>
      <c r="F6029">
        <v>0.97193446107048498</v>
      </c>
      <c r="G6029">
        <v>2.44566297531127</v>
      </c>
      <c r="H6029">
        <v>78</v>
      </c>
      <c r="I6029">
        <v>30</v>
      </c>
      <c r="J6029">
        <v>30</v>
      </c>
    </row>
    <row r="6030" spans="1:10" x14ac:dyDescent="0.25">
      <c r="A6030" t="s">
        <v>26</v>
      </c>
      <c r="B6030" t="s">
        <v>11</v>
      </c>
      <c r="C6030" t="s">
        <v>12</v>
      </c>
      <c r="D6030" t="s">
        <v>13</v>
      </c>
      <c r="E6030">
        <v>0.97878086419752997</v>
      </c>
      <c r="F6030">
        <v>0.97984034013055499</v>
      </c>
      <c r="G6030">
        <v>2.4461636543273899</v>
      </c>
      <c r="H6030">
        <v>80</v>
      </c>
      <c r="I6030">
        <v>27</v>
      </c>
      <c r="J6030">
        <v>30</v>
      </c>
    </row>
    <row r="6031" spans="1:10" x14ac:dyDescent="0.25">
      <c r="A6031" t="s">
        <v>26</v>
      </c>
      <c r="B6031" t="s">
        <v>11</v>
      </c>
      <c r="C6031" t="s">
        <v>12</v>
      </c>
      <c r="D6031" t="s">
        <v>13</v>
      </c>
      <c r="E6031">
        <v>0.96103395061728303</v>
      </c>
      <c r="F6031">
        <v>0.96511536266998399</v>
      </c>
      <c r="G6031">
        <v>2.4335882663726802</v>
      </c>
      <c r="H6031">
        <v>73</v>
      </c>
      <c r="I6031">
        <v>25</v>
      </c>
      <c r="J6031">
        <v>30</v>
      </c>
    </row>
    <row r="6032" spans="1:10" x14ac:dyDescent="0.25">
      <c r="A6032" t="s">
        <v>26</v>
      </c>
      <c r="B6032" t="s">
        <v>11</v>
      </c>
      <c r="C6032" t="s">
        <v>12</v>
      </c>
      <c r="D6032" t="s">
        <v>14</v>
      </c>
      <c r="E6032">
        <v>0.88155864197530798</v>
      </c>
      <c r="F6032">
        <v>0.90442467740057997</v>
      </c>
      <c r="G6032">
        <v>0.55441784858703602</v>
      </c>
      <c r="H6032">
        <v>10</v>
      </c>
      <c r="I6032">
        <v>10</v>
      </c>
      <c r="J6032">
        <v>30</v>
      </c>
    </row>
    <row r="6033" spans="1:10" x14ac:dyDescent="0.25">
      <c r="A6033" t="s">
        <v>26</v>
      </c>
      <c r="B6033" t="s">
        <v>11</v>
      </c>
      <c r="C6033" t="s">
        <v>12</v>
      </c>
      <c r="D6033" t="s">
        <v>14</v>
      </c>
      <c r="E6033">
        <v>0.87924382716049299</v>
      </c>
      <c r="F6033">
        <v>0.90296804227446004</v>
      </c>
      <c r="G6033">
        <v>0.54834461212158203</v>
      </c>
      <c r="H6033">
        <v>10</v>
      </c>
      <c r="I6033">
        <v>10</v>
      </c>
      <c r="J6033">
        <v>30</v>
      </c>
    </row>
    <row r="6034" spans="1:10" x14ac:dyDescent="0.25">
      <c r="A6034" t="s">
        <v>26</v>
      </c>
      <c r="B6034" t="s">
        <v>11</v>
      </c>
      <c r="C6034" t="s">
        <v>12</v>
      </c>
      <c r="D6034" t="s">
        <v>14</v>
      </c>
      <c r="E6034">
        <v>0.86805555555555503</v>
      </c>
      <c r="F6034">
        <v>0.89694643017449704</v>
      </c>
      <c r="G6034">
        <v>0.58167243003845204</v>
      </c>
      <c r="H6034">
        <v>8</v>
      </c>
      <c r="I6034">
        <v>8</v>
      </c>
      <c r="J6034">
        <v>30</v>
      </c>
    </row>
    <row r="6035" spans="1:10" x14ac:dyDescent="0.25">
      <c r="A6035" t="s">
        <v>26</v>
      </c>
      <c r="B6035" t="s">
        <v>11</v>
      </c>
      <c r="C6035" t="s">
        <v>12</v>
      </c>
      <c r="D6035" t="s">
        <v>14</v>
      </c>
      <c r="E6035">
        <v>0.85956790123456694</v>
      </c>
      <c r="F6035">
        <v>0.89090047604151101</v>
      </c>
      <c r="G6035">
        <v>0.53317928314208896</v>
      </c>
      <c r="H6035">
        <v>5</v>
      </c>
      <c r="I6035">
        <v>5</v>
      </c>
      <c r="J6035">
        <v>30</v>
      </c>
    </row>
    <row r="6036" spans="1:10" x14ac:dyDescent="0.25">
      <c r="A6036" t="s">
        <v>26</v>
      </c>
      <c r="B6036" t="s">
        <v>11</v>
      </c>
      <c r="C6036" t="s">
        <v>12</v>
      </c>
      <c r="D6036" t="s">
        <v>14</v>
      </c>
      <c r="E6036">
        <v>0.88233024691357997</v>
      </c>
      <c r="F6036">
        <v>0.90548287081801504</v>
      </c>
      <c r="G6036">
        <v>0.63493371009826605</v>
      </c>
      <c r="H6036">
        <v>10</v>
      </c>
      <c r="I6036">
        <v>10</v>
      </c>
      <c r="J6036">
        <v>30</v>
      </c>
    </row>
    <row r="6037" spans="1:10" x14ac:dyDescent="0.25">
      <c r="A6037" t="s">
        <v>26</v>
      </c>
      <c r="B6037" t="s">
        <v>11</v>
      </c>
      <c r="C6037" t="s">
        <v>12</v>
      </c>
      <c r="D6037" t="s">
        <v>14</v>
      </c>
      <c r="E6037">
        <v>0.87885802469135799</v>
      </c>
      <c r="F6037">
        <v>0.90254517767044495</v>
      </c>
      <c r="G6037">
        <v>0.61934161186218195</v>
      </c>
      <c r="H6037">
        <v>10</v>
      </c>
      <c r="I6037">
        <v>10</v>
      </c>
      <c r="J6037">
        <v>30</v>
      </c>
    </row>
    <row r="6038" spans="1:10" x14ac:dyDescent="0.25">
      <c r="A6038" t="s">
        <v>26</v>
      </c>
      <c r="B6038" t="s">
        <v>11</v>
      </c>
      <c r="C6038" t="s">
        <v>12</v>
      </c>
      <c r="D6038" t="s">
        <v>14</v>
      </c>
      <c r="E6038">
        <v>0.88618827160493796</v>
      </c>
      <c r="F6038">
        <v>0.90758297792600096</v>
      </c>
      <c r="G6038">
        <v>0.691492319107055</v>
      </c>
      <c r="H6038">
        <v>10</v>
      </c>
      <c r="I6038">
        <v>11</v>
      </c>
      <c r="J6038">
        <v>30</v>
      </c>
    </row>
    <row r="6039" spans="1:10" x14ac:dyDescent="0.25">
      <c r="A6039" t="s">
        <v>26</v>
      </c>
      <c r="B6039" t="s">
        <v>11</v>
      </c>
      <c r="C6039" t="s">
        <v>12</v>
      </c>
      <c r="D6039" t="s">
        <v>14</v>
      </c>
      <c r="E6039">
        <v>0.86689814814814803</v>
      </c>
      <c r="F6039">
        <v>0.89605570840316096</v>
      </c>
      <c r="G6039">
        <v>0.62796616554260198</v>
      </c>
      <c r="H6039">
        <v>8</v>
      </c>
      <c r="I6039">
        <v>8</v>
      </c>
      <c r="J6039">
        <v>30</v>
      </c>
    </row>
    <row r="6040" spans="1:10" x14ac:dyDescent="0.25">
      <c r="A6040" t="s">
        <v>26</v>
      </c>
      <c r="B6040" t="s">
        <v>11</v>
      </c>
      <c r="C6040" t="s">
        <v>12</v>
      </c>
      <c r="D6040" t="s">
        <v>14</v>
      </c>
      <c r="E6040">
        <v>0.89390432098765404</v>
      </c>
      <c r="F6040">
        <v>0.91209689307171904</v>
      </c>
      <c r="G6040">
        <v>0.76153421401977495</v>
      </c>
      <c r="H6040">
        <v>11</v>
      </c>
      <c r="I6040">
        <v>11</v>
      </c>
      <c r="J6040">
        <v>30</v>
      </c>
    </row>
    <row r="6041" spans="1:10" x14ac:dyDescent="0.25">
      <c r="A6041" t="s">
        <v>26</v>
      </c>
      <c r="B6041" t="s">
        <v>11</v>
      </c>
      <c r="C6041" t="s">
        <v>12</v>
      </c>
      <c r="D6041" t="s">
        <v>14</v>
      </c>
      <c r="E6041">
        <v>0.87731481481481399</v>
      </c>
      <c r="F6041">
        <v>0.90219237850065703</v>
      </c>
      <c r="G6041">
        <v>0.70434165000915505</v>
      </c>
      <c r="H6041">
        <v>10</v>
      </c>
      <c r="I6041">
        <v>10</v>
      </c>
      <c r="J6041">
        <v>30</v>
      </c>
    </row>
    <row r="6042" spans="1:10" x14ac:dyDescent="0.25">
      <c r="A6042" t="s">
        <v>26</v>
      </c>
      <c r="B6042" t="s">
        <v>11</v>
      </c>
      <c r="C6042" t="s">
        <v>12</v>
      </c>
      <c r="D6042" t="s">
        <v>14</v>
      </c>
      <c r="E6042">
        <v>0.88811728395061695</v>
      </c>
      <c r="F6042">
        <v>0.90892388964745296</v>
      </c>
      <c r="G6042">
        <v>0.77314662933349598</v>
      </c>
      <c r="H6042">
        <v>10</v>
      </c>
      <c r="I6042">
        <v>10</v>
      </c>
      <c r="J6042">
        <v>30</v>
      </c>
    </row>
    <row r="6043" spans="1:10" x14ac:dyDescent="0.25">
      <c r="A6043" t="s">
        <v>26</v>
      </c>
      <c r="B6043" t="s">
        <v>11</v>
      </c>
      <c r="C6043" t="s">
        <v>12</v>
      </c>
      <c r="D6043" t="s">
        <v>14</v>
      </c>
      <c r="E6043">
        <v>0.88580246913580196</v>
      </c>
      <c r="F6043">
        <v>0.90718954260648199</v>
      </c>
      <c r="G6043">
        <v>0.76465749740600497</v>
      </c>
      <c r="H6043">
        <v>11</v>
      </c>
      <c r="I6043">
        <v>11</v>
      </c>
      <c r="J6043">
        <v>30</v>
      </c>
    </row>
    <row r="6044" spans="1:10" x14ac:dyDescent="0.25">
      <c r="A6044" t="s">
        <v>26</v>
      </c>
      <c r="B6044" t="s">
        <v>11</v>
      </c>
      <c r="C6044" t="s">
        <v>12</v>
      </c>
      <c r="D6044" t="s">
        <v>14</v>
      </c>
      <c r="E6044">
        <v>0.875771604938271</v>
      </c>
      <c r="F6044">
        <v>0.90239363162592401</v>
      </c>
      <c r="G6044">
        <v>0.60183858871459905</v>
      </c>
      <c r="H6044">
        <v>8</v>
      </c>
      <c r="I6044">
        <v>9</v>
      </c>
      <c r="J6044">
        <v>30</v>
      </c>
    </row>
    <row r="6045" spans="1:10" x14ac:dyDescent="0.25">
      <c r="A6045" t="s">
        <v>26</v>
      </c>
      <c r="B6045" t="s">
        <v>11</v>
      </c>
      <c r="C6045" t="s">
        <v>12</v>
      </c>
      <c r="D6045" t="s">
        <v>14</v>
      </c>
      <c r="E6045">
        <v>0.87268518518518501</v>
      </c>
      <c r="F6045">
        <v>0.90098515473514695</v>
      </c>
      <c r="G6045">
        <v>0.67806220054626398</v>
      </c>
      <c r="H6045">
        <v>8</v>
      </c>
      <c r="I6045">
        <v>8</v>
      </c>
      <c r="J6045">
        <v>30</v>
      </c>
    </row>
    <row r="6046" spans="1:10" x14ac:dyDescent="0.25">
      <c r="A6046" t="s">
        <v>26</v>
      </c>
      <c r="B6046" t="s">
        <v>11</v>
      </c>
      <c r="C6046" t="s">
        <v>12</v>
      </c>
      <c r="D6046" t="s">
        <v>14</v>
      </c>
      <c r="E6046">
        <v>0.88541666666666596</v>
      </c>
      <c r="F6046">
        <v>0.90729959227735102</v>
      </c>
      <c r="G6046">
        <v>0.72479295730590798</v>
      </c>
      <c r="H6046">
        <v>11</v>
      </c>
      <c r="I6046">
        <v>11</v>
      </c>
      <c r="J6046">
        <v>30</v>
      </c>
    </row>
    <row r="6047" spans="1:10" x14ac:dyDescent="0.25">
      <c r="A6047" t="s">
        <v>26</v>
      </c>
      <c r="B6047" t="s">
        <v>11</v>
      </c>
      <c r="C6047" t="s">
        <v>12</v>
      </c>
      <c r="D6047" t="s">
        <v>14</v>
      </c>
      <c r="E6047">
        <v>0.87924382716049299</v>
      </c>
      <c r="F6047">
        <v>0.90181291118633999</v>
      </c>
      <c r="G6047">
        <v>0.73432445526123002</v>
      </c>
      <c r="H6047">
        <v>12</v>
      </c>
      <c r="I6047">
        <v>12</v>
      </c>
      <c r="J6047">
        <v>30</v>
      </c>
    </row>
    <row r="6048" spans="1:10" x14ac:dyDescent="0.25">
      <c r="A6048" t="s">
        <v>26</v>
      </c>
      <c r="B6048" t="s">
        <v>11</v>
      </c>
      <c r="C6048" t="s">
        <v>12</v>
      </c>
      <c r="D6048" t="s">
        <v>14</v>
      </c>
      <c r="E6048">
        <v>0.85609567901234496</v>
      </c>
      <c r="F6048">
        <v>0.88977207169228001</v>
      </c>
      <c r="G6048">
        <v>0.48019862174987699</v>
      </c>
      <c r="H6048">
        <v>5</v>
      </c>
      <c r="I6048">
        <v>5</v>
      </c>
      <c r="J6048">
        <v>30</v>
      </c>
    </row>
    <row r="6049" spans="1:10" x14ac:dyDescent="0.25">
      <c r="A6049" t="s">
        <v>26</v>
      </c>
      <c r="B6049" t="s">
        <v>11</v>
      </c>
      <c r="C6049" t="s">
        <v>12</v>
      </c>
      <c r="D6049" t="s">
        <v>14</v>
      </c>
      <c r="E6049">
        <v>0.88155864197530798</v>
      </c>
      <c r="F6049">
        <v>0.90413489076461995</v>
      </c>
      <c r="G6049">
        <v>0.64237689971923795</v>
      </c>
      <c r="H6049">
        <v>10</v>
      </c>
      <c r="I6049">
        <v>10</v>
      </c>
      <c r="J6049">
        <v>30</v>
      </c>
    </row>
    <row r="6050" spans="1:10" x14ac:dyDescent="0.25">
      <c r="A6050" t="s">
        <v>26</v>
      </c>
      <c r="B6050" t="s">
        <v>11</v>
      </c>
      <c r="C6050" t="s">
        <v>12</v>
      </c>
      <c r="D6050" t="s">
        <v>14</v>
      </c>
      <c r="E6050">
        <v>0.88618827160493796</v>
      </c>
      <c r="F6050">
        <v>0.90676019276739805</v>
      </c>
      <c r="G6050">
        <v>0.62729239463806097</v>
      </c>
      <c r="H6050">
        <v>10</v>
      </c>
      <c r="I6050">
        <v>11</v>
      </c>
      <c r="J6050">
        <v>30</v>
      </c>
    </row>
    <row r="6051" spans="1:10" x14ac:dyDescent="0.25">
      <c r="A6051" t="s">
        <v>26</v>
      </c>
      <c r="B6051" t="s">
        <v>11</v>
      </c>
      <c r="C6051" t="s">
        <v>12</v>
      </c>
      <c r="D6051" t="s">
        <v>14</v>
      </c>
      <c r="E6051">
        <v>0.88387345679012297</v>
      </c>
      <c r="F6051">
        <v>0.90611927968514305</v>
      </c>
      <c r="G6051">
        <v>0.61075568199157704</v>
      </c>
      <c r="H6051">
        <v>10</v>
      </c>
      <c r="I6051">
        <v>10</v>
      </c>
      <c r="J6051">
        <v>30</v>
      </c>
    </row>
    <row r="6052" spans="1:10" x14ac:dyDescent="0.25">
      <c r="A6052" t="s">
        <v>26</v>
      </c>
      <c r="B6052" t="s">
        <v>11</v>
      </c>
      <c r="C6052" t="s">
        <v>12</v>
      </c>
      <c r="D6052" t="s">
        <v>14</v>
      </c>
      <c r="E6052">
        <v>0.88773148148148096</v>
      </c>
      <c r="F6052">
        <v>0.90874320079517501</v>
      </c>
      <c r="G6052">
        <v>0.68613100051879805</v>
      </c>
      <c r="H6052">
        <v>10</v>
      </c>
      <c r="I6052">
        <v>10</v>
      </c>
      <c r="J6052">
        <v>30</v>
      </c>
    </row>
    <row r="6053" spans="1:10" x14ac:dyDescent="0.25">
      <c r="A6053" t="s">
        <v>26</v>
      </c>
      <c r="B6053" t="s">
        <v>11</v>
      </c>
      <c r="C6053" t="s">
        <v>12</v>
      </c>
      <c r="D6053" t="s">
        <v>14</v>
      </c>
      <c r="E6053">
        <v>0.88387345679012297</v>
      </c>
      <c r="F6053">
        <v>0.90785709209753096</v>
      </c>
      <c r="G6053">
        <v>0.58059906959533603</v>
      </c>
      <c r="H6053">
        <v>8</v>
      </c>
      <c r="I6053">
        <v>7</v>
      </c>
      <c r="J6053">
        <v>30</v>
      </c>
    </row>
    <row r="6054" spans="1:10" x14ac:dyDescent="0.25">
      <c r="A6054" t="s">
        <v>26</v>
      </c>
      <c r="B6054" t="s">
        <v>11</v>
      </c>
      <c r="C6054" t="s">
        <v>12</v>
      </c>
      <c r="D6054" t="s">
        <v>14</v>
      </c>
      <c r="E6054">
        <v>0.88966049382715995</v>
      </c>
      <c r="F6054">
        <v>0.90903264653992799</v>
      </c>
      <c r="G6054">
        <v>0.59465241432189897</v>
      </c>
      <c r="H6054">
        <v>10</v>
      </c>
      <c r="I6054">
        <v>11</v>
      </c>
      <c r="J6054">
        <v>30</v>
      </c>
    </row>
    <row r="6055" spans="1:10" x14ac:dyDescent="0.25">
      <c r="A6055" t="s">
        <v>26</v>
      </c>
      <c r="B6055" t="s">
        <v>11</v>
      </c>
      <c r="C6055" t="s">
        <v>12</v>
      </c>
      <c r="D6055" t="s">
        <v>14</v>
      </c>
      <c r="E6055">
        <v>0.88888888888888795</v>
      </c>
      <c r="F6055">
        <v>0.910023242295948</v>
      </c>
      <c r="G6055">
        <v>0.71973228454589799</v>
      </c>
      <c r="H6055">
        <v>12</v>
      </c>
      <c r="I6055">
        <v>12</v>
      </c>
      <c r="J6055">
        <v>30</v>
      </c>
    </row>
    <row r="6056" spans="1:10" x14ac:dyDescent="0.25">
      <c r="A6056" t="s">
        <v>26</v>
      </c>
      <c r="B6056" t="s">
        <v>11</v>
      </c>
      <c r="C6056" t="s">
        <v>12</v>
      </c>
      <c r="D6056" t="s">
        <v>14</v>
      </c>
      <c r="E6056">
        <v>0.89158950617283905</v>
      </c>
      <c r="F6056">
        <v>0.91042434718885001</v>
      </c>
      <c r="G6056">
        <v>0.589077949523925</v>
      </c>
      <c r="H6056">
        <v>11</v>
      </c>
      <c r="I6056">
        <v>11</v>
      </c>
      <c r="J6056">
        <v>30</v>
      </c>
    </row>
    <row r="6057" spans="1:10" x14ac:dyDescent="0.25">
      <c r="A6057" t="s">
        <v>26</v>
      </c>
      <c r="B6057" t="s">
        <v>11</v>
      </c>
      <c r="C6057" t="s">
        <v>12</v>
      </c>
      <c r="D6057" t="s">
        <v>14</v>
      </c>
      <c r="E6057">
        <v>0.87692901234567899</v>
      </c>
      <c r="F6057">
        <v>0.90269887666415505</v>
      </c>
      <c r="G6057">
        <v>0.660039663314819</v>
      </c>
      <c r="H6057">
        <v>9</v>
      </c>
      <c r="I6057">
        <v>9</v>
      </c>
      <c r="J6057">
        <v>30</v>
      </c>
    </row>
    <row r="6058" spans="1:10" x14ac:dyDescent="0.25">
      <c r="A6058" t="s">
        <v>26</v>
      </c>
      <c r="B6058" t="s">
        <v>11</v>
      </c>
      <c r="C6058" t="s">
        <v>12</v>
      </c>
      <c r="D6058" t="s">
        <v>14</v>
      </c>
      <c r="E6058">
        <v>0.87692901234567899</v>
      </c>
      <c r="F6058">
        <v>0.90150116968472005</v>
      </c>
      <c r="G6058">
        <v>0.57752728462219205</v>
      </c>
      <c r="H6058">
        <v>11</v>
      </c>
      <c r="I6058">
        <v>11</v>
      </c>
      <c r="J6058">
        <v>30</v>
      </c>
    </row>
    <row r="6059" spans="1:10" x14ac:dyDescent="0.25">
      <c r="A6059" t="s">
        <v>26</v>
      </c>
      <c r="B6059" t="s">
        <v>11</v>
      </c>
      <c r="C6059" t="s">
        <v>12</v>
      </c>
      <c r="D6059" t="s">
        <v>14</v>
      </c>
      <c r="E6059">
        <v>0.87114197530864201</v>
      </c>
      <c r="F6059">
        <v>0.89774470225925695</v>
      </c>
      <c r="G6059">
        <v>0.52637577056884699</v>
      </c>
      <c r="H6059">
        <v>10</v>
      </c>
      <c r="I6059">
        <v>10</v>
      </c>
      <c r="J6059">
        <v>30</v>
      </c>
    </row>
    <row r="6060" spans="1:10" x14ac:dyDescent="0.25">
      <c r="A6060" t="s">
        <v>26</v>
      </c>
      <c r="B6060" t="s">
        <v>11</v>
      </c>
      <c r="C6060" t="s">
        <v>12</v>
      </c>
      <c r="D6060" t="s">
        <v>14</v>
      </c>
      <c r="E6060">
        <v>0.89390432098765404</v>
      </c>
      <c r="F6060">
        <v>0.91249882435377805</v>
      </c>
      <c r="G6060">
        <v>0.78517103195190396</v>
      </c>
      <c r="H6060">
        <v>15</v>
      </c>
      <c r="I6060">
        <v>12</v>
      </c>
      <c r="J6060">
        <v>30</v>
      </c>
    </row>
    <row r="6061" spans="1:10" x14ac:dyDescent="0.25">
      <c r="A6061" t="s">
        <v>26</v>
      </c>
      <c r="B6061" t="s">
        <v>11</v>
      </c>
      <c r="C6061" t="s">
        <v>12</v>
      </c>
      <c r="D6061" t="s">
        <v>14</v>
      </c>
      <c r="E6061">
        <v>0.88194444444444398</v>
      </c>
      <c r="F6061">
        <v>0.90624255155381706</v>
      </c>
      <c r="G6061">
        <v>0.68808388710021895</v>
      </c>
      <c r="H6061">
        <v>9</v>
      </c>
      <c r="I6061">
        <v>9</v>
      </c>
      <c r="J6061">
        <v>30</v>
      </c>
    </row>
    <row r="6062" spans="1:10" x14ac:dyDescent="0.25">
      <c r="A6062" t="s">
        <v>26</v>
      </c>
      <c r="B6062" t="s">
        <v>11</v>
      </c>
      <c r="C6062" t="s">
        <v>12</v>
      </c>
      <c r="D6062" t="s">
        <v>15</v>
      </c>
      <c r="E6062">
        <v>0</v>
      </c>
      <c r="F6062">
        <v>0.75</v>
      </c>
      <c r="G6062">
        <v>0.11562848091125399</v>
      </c>
      <c r="H6062">
        <v>0</v>
      </c>
      <c r="I6062">
        <v>0</v>
      </c>
      <c r="J6062">
        <v>30</v>
      </c>
    </row>
    <row r="6063" spans="1:10" x14ac:dyDescent="0.25">
      <c r="A6063" t="s">
        <v>26</v>
      </c>
      <c r="B6063" t="s">
        <v>11</v>
      </c>
      <c r="C6063" t="s">
        <v>12</v>
      </c>
      <c r="D6063" t="s">
        <v>15</v>
      </c>
      <c r="E6063">
        <v>0</v>
      </c>
      <c r="F6063">
        <v>0.75</v>
      </c>
      <c r="G6063">
        <v>0.25402593612670898</v>
      </c>
      <c r="H6063">
        <v>1</v>
      </c>
      <c r="I6063">
        <v>7</v>
      </c>
      <c r="J6063">
        <v>30</v>
      </c>
    </row>
    <row r="6064" spans="1:10" x14ac:dyDescent="0.25">
      <c r="A6064" t="s">
        <v>26</v>
      </c>
      <c r="B6064" t="s">
        <v>11</v>
      </c>
      <c r="C6064" t="s">
        <v>12</v>
      </c>
      <c r="D6064" t="s">
        <v>15</v>
      </c>
      <c r="E6064">
        <v>0</v>
      </c>
      <c r="F6064">
        <v>0.75</v>
      </c>
      <c r="G6064">
        <v>0.200248718261718</v>
      </c>
      <c r="H6064">
        <v>0</v>
      </c>
      <c r="I6064">
        <v>0</v>
      </c>
      <c r="J6064">
        <v>30</v>
      </c>
    </row>
    <row r="6065" spans="1:10" x14ac:dyDescent="0.25">
      <c r="A6065" t="s">
        <v>26</v>
      </c>
      <c r="B6065" t="s">
        <v>11</v>
      </c>
      <c r="C6065" t="s">
        <v>12</v>
      </c>
      <c r="D6065" t="s">
        <v>15</v>
      </c>
      <c r="E6065">
        <v>0</v>
      </c>
      <c r="F6065">
        <v>0.75</v>
      </c>
      <c r="G6065">
        <v>0.123613119125366</v>
      </c>
      <c r="H6065">
        <v>0</v>
      </c>
      <c r="I6065">
        <v>0</v>
      </c>
      <c r="J6065">
        <v>30</v>
      </c>
    </row>
    <row r="6066" spans="1:10" x14ac:dyDescent="0.25">
      <c r="A6066" t="s">
        <v>26</v>
      </c>
      <c r="B6066" t="s">
        <v>11</v>
      </c>
      <c r="C6066" t="s">
        <v>12</v>
      </c>
      <c r="D6066" t="s">
        <v>15</v>
      </c>
      <c r="E6066">
        <v>0</v>
      </c>
      <c r="F6066">
        <v>0.75</v>
      </c>
      <c r="G6066">
        <v>0.12606930732727001</v>
      </c>
      <c r="H6066">
        <v>0</v>
      </c>
      <c r="I6066">
        <v>0</v>
      </c>
      <c r="J6066">
        <v>30</v>
      </c>
    </row>
    <row r="6067" spans="1:10" x14ac:dyDescent="0.25">
      <c r="A6067" t="s">
        <v>26</v>
      </c>
      <c r="B6067" t="s">
        <v>11</v>
      </c>
      <c r="C6067" t="s">
        <v>12</v>
      </c>
      <c r="D6067" t="s">
        <v>15</v>
      </c>
      <c r="E6067">
        <v>0</v>
      </c>
      <c r="F6067">
        <v>0.75</v>
      </c>
      <c r="G6067">
        <v>0.313729047775268</v>
      </c>
      <c r="H6067">
        <v>1</v>
      </c>
      <c r="I6067">
        <v>8</v>
      </c>
      <c r="J6067">
        <v>30</v>
      </c>
    </row>
    <row r="6068" spans="1:10" x14ac:dyDescent="0.25">
      <c r="A6068" t="s">
        <v>26</v>
      </c>
      <c r="B6068" t="s">
        <v>11</v>
      </c>
      <c r="C6068" t="s">
        <v>12</v>
      </c>
      <c r="D6068" t="s">
        <v>15</v>
      </c>
      <c r="E6068">
        <v>0</v>
      </c>
      <c r="F6068">
        <v>0.75</v>
      </c>
      <c r="G6068">
        <v>0.15744876861572199</v>
      </c>
      <c r="H6068">
        <v>0</v>
      </c>
      <c r="I6068">
        <v>0</v>
      </c>
      <c r="J6068">
        <v>30</v>
      </c>
    </row>
    <row r="6069" spans="1:10" x14ac:dyDescent="0.25">
      <c r="A6069" t="s">
        <v>26</v>
      </c>
      <c r="B6069" t="s">
        <v>11</v>
      </c>
      <c r="C6069" t="s">
        <v>12</v>
      </c>
      <c r="D6069" t="s">
        <v>15</v>
      </c>
      <c r="E6069">
        <v>0</v>
      </c>
      <c r="F6069">
        <v>0.75</v>
      </c>
      <c r="G6069">
        <v>0.13118982315063399</v>
      </c>
      <c r="H6069">
        <v>0</v>
      </c>
      <c r="I6069">
        <v>0</v>
      </c>
      <c r="J6069">
        <v>30</v>
      </c>
    </row>
    <row r="6070" spans="1:10" x14ac:dyDescent="0.25">
      <c r="A6070" t="s">
        <v>26</v>
      </c>
      <c r="B6070" t="s">
        <v>11</v>
      </c>
      <c r="C6070" t="s">
        <v>12</v>
      </c>
      <c r="D6070" t="s">
        <v>15</v>
      </c>
      <c r="E6070">
        <v>0</v>
      </c>
      <c r="F6070">
        <v>0.75</v>
      </c>
      <c r="G6070">
        <v>0.13319659233093201</v>
      </c>
      <c r="H6070">
        <v>0</v>
      </c>
      <c r="I6070">
        <v>0</v>
      </c>
      <c r="J6070">
        <v>30</v>
      </c>
    </row>
    <row r="6071" spans="1:10" x14ac:dyDescent="0.25">
      <c r="A6071" t="s">
        <v>26</v>
      </c>
      <c r="B6071" t="s">
        <v>11</v>
      </c>
      <c r="C6071" t="s">
        <v>12</v>
      </c>
      <c r="D6071" t="s">
        <v>15</v>
      </c>
      <c r="E6071">
        <v>0</v>
      </c>
      <c r="F6071">
        <v>0.75</v>
      </c>
      <c r="G6071">
        <v>0.18037724494933999</v>
      </c>
      <c r="H6071">
        <v>0</v>
      </c>
      <c r="I6071">
        <v>0</v>
      </c>
      <c r="J6071">
        <v>30</v>
      </c>
    </row>
    <row r="6072" spans="1:10" x14ac:dyDescent="0.25">
      <c r="A6072" t="s">
        <v>26</v>
      </c>
      <c r="B6072" t="s">
        <v>11</v>
      </c>
      <c r="C6072" t="s">
        <v>12</v>
      </c>
      <c r="D6072" t="s">
        <v>15</v>
      </c>
      <c r="E6072">
        <v>0</v>
      </c>
      <c r="F6072">
        <v>0.75</v>
      </c>
      <c r="G6072">
        <v>0.27967786788940402</v>
      </c>
      <c r="H6072">
        <v>1</v>
      </c>
      <c r="I6072">
        <v>8</v>
      </c>
      <c r="J6072">
        <v>30</v>
      </c>
    </row>
    <row r="6073" spans="1:10" x14ac:dyDescent="0.25">
      <c r="A6073" t="s">
        <v>26</v>
      </c>
      <c r="B6073" t="s">
        <v>11</v>
      </c>
      <c r="C6073" t="s">
        <v>12</v>
      </c>
      <c r="D6073" t="s">
        <v>15</v>
      </c>
      <c r="E6073">
        <v>0</v>
      </c>
      <c r="F6073">
        <v>0.75</v>
      </c>
      <c r="G6073">
        <v>0.153051137924194</v>
      </c>
      <c r="H6073">
        <v>0</v>
      </c>
      <c r="I6073">
        <v>0</v>
      </c>
      <c r="J6073">
        <v>30</v>
      </c>
    </row>
    <row r="6074" spans="1:10" x14ac:dyDescent="0.25">
      <c r="A6074" t="s">
        <v>26</v>
      </c>
      <c r="B6074" t="s">
        <v>11</v>
      </c>
      <c r="C6074" t="s">
        <v>12</v>
      </c>
      <c r="D6074" t="s">
        <v>15</v>
      </c>
      <c r="E6074">
        <v>0</v>
      </c>
      <c r="F6074">
        <v>0.75</v>
      </c>
      <c r="G6074">
        <v>0.37225651741027799</v>
      </c>
      <c r="H6074">
        <v>1</v>
      </c>
      <c r="I6074">
        <v>8</v>
      </c>
      <c r="J6074">
        <v>30</v>
      </c>
    </row>
    <row r="6075" spans="1:10" x14ac:dyDescent="0.25">
      <c r="A6075" t="s">
        <v>26</v>
      </c>
      <c r="B6075" t="s">
        <v>11</v>
      </c>
      <c r="C6075" t="s">
        <v>12</v>
      </c>
      <c r="D6075" t="s">
        <v>15</v>
      </c>
      <c r="E6075">
        <v>0</v>
      </c>
      <c r="F6075">
        <v>0.75</v>
      </c>
      <c r="G6075">
        <v>0.14871120452880801</v>
      </c>
      <c r="H6075">
        <v>0</v>
      </c>
      <c r="I6075">
        <v>0</v>
      </c>
      <c r="J6075">
        <v>30</v>
      </c>
    </row>
    <row r="6076" spans="1:10" x14ac:dyDescent="0.25">
      <c r="A6076" t="s">
        <v>26</v>
      </c>
      <c r="B6076" t="s">
        <v>11</v>
      </c>
      <c r="C6076" t="s">
        <v>12</v>
      </c>
      <c r="D6076" t="s">
        <v>15</v>
      </c>
      <c r="E6076">
        <v>0</v>
      </c>
      <c r="F6076">
        <v>0.75</v>
      </c>
      <c r="G6076">
        <v>0.214321374893188</v>
      </c>
      <c r="H6076">
        <v>0</v>
      </c>
      <c r="I6076">
        <v>0</v>
      </c>
      <c r="J6076">
        <v>30</v>
      </c>
    </row>
    <row r="6077" spans="1:10" x14ac:dyDescent="0.25">
      <c r="A6077" t="s">
        <v>26</v>
      </c>
      <c r="B6077" t="s">
        <v>11</v>
      </c>
      <c r="C6077" t="s">
        <v>12</v>
      </c>
      <c r="D6077" t="s">
        <v>15</v>
      </c>
      <c r="E6077">
        <v>0</v>
      </c>
      <c r="F6077">
        <v>0.75</v>
      </c>
      <c r="G6077">
        <v>0.14417672157287501</v>
      </c>
      <c r="H6077">
        <v>0</v>
      </c>
      <c r="I6077">
        <v>0</v>
      </c>
      <c r="J6077">
        <v>30</v>
      </c>
    </row>
    <row r="6078" spans="1:10" x14ac:dyDescent="0.25">
      <c r="A6078" t="s">
        <v>26</v>
      </c>
      <c r="B6078" t="s">
        <v>11</v>
      </c>
      <c r="C6078" t="s">
        <v>12</v>
      </c>
      <c r="D6078" t="s">
        <v>15</v>
      </c>
      <c r="E6078">
        <v>0</v>
      </c>
      <c r="F6078">
        <v>0.75</v>
      </c>
      <c r="G6078">
        <v>0.44845223426818798</v>
      </c>
      <c r="H6078">
        <v>1</v>
      </c>
      <c r="I6078">
        <v>8</v>
      </c>
      <c r="J6078">
        <v>30</v>
      </c>
    </row>
    <row r="6079" spans="1:10" x14ac:dyDescent="0.25">
      <c r="A6079" t="s">
        <v>26</v>
      </c>
      <c r="B6079" t="s">
        <v>11</v>
      </c>
      <c r="C6079" t="s">
        <v>12</v>
      </c>
      <c r="D6079" t="s">
        <v>15</v>
      </c>
      <c r="E6079">
        <v>0</v>
      </c>
      <c r="F6079">
        <v>0.75</v>
      </c>
      <c r="G6079">
        <v>0.34797239303588801</v>
      </c>
      <c r="H6079">
        <v>1</v>
      </c>
      <c r="I6079">
        <v>8</v>
      </c>
      <c r="J6079">
        <v>30</v>
      </c>
    </row>
    <row r="6080" spans="1:10" x14ac:dyDescent="0.25">
      <c r="A6080" t="s">
        <v>26</v>
      </c>
      <c r="B6080" t="s">
        <v>11</v>
      </c>
      <c r="C6080" t="s">
        <v>12</v>
      </c>
      <c r="D6080" t="s">
        <v>15</v>
      </c>
      <c r="E6080">
        <v>0</v>
      </c>
      <c r="F6080">
        <v>0.75</v>
      </c>
      <c r="G6080">
        <v>0.12858080863952601</v>
      </c>
      <c r="H6080">
        <v>0</v>
      </c>
      <c r="I6080">
        <v>0</v>
      </c>
      <c r="J6080">
        <v>30</v>
      </c>
    </row>
    <row r="6081" spans="1:10" x14ac:dyDescent="0.25">
      <c r="A6081" t="s">
        <v>26</v>
      </c>
      <c r="B6081" t="s">
        <v>11</v>
      </c>
      <c r="C6081" t="s">
        <v>12</v>
      </c>
      <c r="D6081" t="s">
        <v>15</v>
      </c>
      <c r="E6081">
        <v>0</v>
      </c>
      <c r="F6081">
        <v>0.75</v>
      </c>
      <c r="G6081">
        <v>0.19040179252624501</v>
      </c>
      <c r="H6081">
        <v>0</v>
      </c>
      <c r="I6081">
        <v>0</v>
      </c>
      <c r="J6081">
        <v>30</v>
      </c>
    </row>
    <row r="6082" spans="1:10" x14ac:dyDescent="0.25">
      <c r="A6082" t="s">
        <v>26</v>
      </c>
      <c r="B6082" t="s">
        <v>11</v>
      </c>
      <c r="C6082" t="s">
        <v>12</v>
      </c>
      <c r="D6082" t="s">
        <v>15</v>
      </c>
      <c r="E6082">
        <v>0</v>
      </c>
      <c r="F6082">
        <v>0.74994976112395795</v>
      </c>
      <c r="G6082">
        <v>0.62598013877868597</v>
      </c>
      <c r="H6082">
        <v>2</v>
      </c>
      <c r="I6082">
        <v>8</v>
      </c>
      <c r="J6082">
        <v>30</v>
      </c>
    </row>
    <row r="6083" spans="1:10" x14ac:dyDescent="0.25">
      <c r="A6083" t="s">
        <v>26</v>
      </c>
      <c r="B6083" t="s">
        <v>11</v>
      </c>
      <c r="C6083" t="s">
        <v>12</v>
      </c>
      <c r="D6083" t="s">
        <v>15</v>
      </c>
      <c r="E6083">
        <v>0</v>
      </c>
      <c r="F6083">
        <v>0.75</v>
      </c>
      <c r="G6083">
        <v>0.405165195465087</v>
      </c>
      <c r="H6083">
        <v>2</v>
      </c>
      <c r="I6083">
        <v>10</v>
      </c>
      <c r="J6083">
        <v>30</v>
      </c>
    </row>
    <row r="6084" spans="1:10" x14ac:dyDescent="0.25">
      <c r="A6084" t="s">
        <v>26</v>
      </c>
      <c r="B6084" t="s">
        <v>11</v>
      </c>
      <c r="C6084" t="s">
        <v>12</v>
      </c>
      <c r="D6084" t="s">
        <v>15</v>
      </c>
      <c r="E6084">
        <v>0</v>
      </c>
      <c r="F6084">
        <v>0.75</v>
      </c>
      <c r="G6084">
        <v>0.59108877182006803</v>
      </c>
      <c r="H6084">
        <v>3</v>
      </c>
      <c r="I6084">
        <v>15</v>
      </c>
      <c r="J6084">
        <v>30</v>
      </c>
    </row>
    <row r="6085" spans="1:10" x14ac:dyDescent="0.25">
      <c r="A6085" t="s">
        <v>26</v>
      </c>
      <c r="B6085" t="s">
        <v>11</v>
      </c>
      <c r="C6085" t="s">
        <v>12</v>
      </c>
      <c r="D6085" t="s">
        <v>15</v>
      </c>
      <c r="E6085">
        <v>0</v>
      </c>
      <c r="F6085">
        <v>0.75</v>
      </c>
      <c r="G6085">
        <v>0.478773593902587</v>
      </c>
      <c r="H6085">
        <v>2</v>
      </c>
      <c r="I6085">
        <v>10</v>
      </c>
      <c r="J6085">
        <v>30</v>
      </c>
    </row>
    <row r="6086" spans="1:10" x14ac:dyDescent="0.25">
      <c r="A6086" t="s">
        <v>26</v>
      </c>
      <c r="B6086" t="s">
        <v>11</v>
      </c>
      <c r="C6086" t="s">
        <v>12</v>
      </c>
      <c r="D6086" t="s">
        <v>15</v>
      </c>
      <c r="E6086">
        <v>0</v>
      </c>
      <c r="F6086">
        <v>0.74995949074073998</v>
      </c>
      <c r="G6086">
        <v>0.73824357986450195</v>
      </c>
      <c r="H6086">
        <v>4</v>
      </c>
      <c r="I6086">
        <v>15</v>
      </c>
      <c r="J6086">
        <v>30</v>
      </c>
    </row>
    <row r="6087" spans="1:10" x14ac:dyDescent="0.25">
      <c r="A6087" t="s">
        <v>26</v>
      </c>
      <c r="B6087" t="s">
        <v>11</v>
      </c>
      <c r="C6087" t="s">
        <v>12</v>
      </c>
      <c r="D6087" t="s">
        <v>15</v>
      </c>
      <c r="E6087">
        <v>0</v>
      </c>
      <c r="F6087">
        <v>0.75</v>
      </c>
      <c r="G6087">
        <v>0.75374674797058105</v>
      </c>
      <c r="H6087">
        <v>4</v>
      </c>
      <c r="I6087">
        <v>16</v>
      </c>
      <c r="J6087">
        <v>30</v>
      </c>
    </row>
    <row r="6088" spans="1:10" x14ac:dyDescent="0.25">
      <c r="A6088" t="s">
        <v>26</v>
      </c>
      <c r="B6088" t="s">
        <v>11</v>
      </c>
      <c r="C6088" t="s">
        <v>12</v>
      </c>
      <c r="D6088" t="s">
        <v>15</v>
      </c>
      <c r="E6088">
        <v>0</v>
      </c>
      <c r="F6088">
        <v>0.74990925186469903</v>
      </c>
      <c r="G6088">
        <v>1.3146679401397701</v>
      </c>
      <c r="H6088">
        <v>8</v>
      </c>
      <c r="I6088">
        <v>22</v>
      </c>
      <c r="J6088">
        <v>30</v>
      </c>
    </row>
    <row r="6089" spans="1:10" x14ac:dyDescent="0.25">
      <c r="A6089" t="s">
        <v>26</v>
      </c>
      <c r="B6089" t="s">
        <v>11</v>
      </c>
      <c r="C6089" t="s">
        <v>12</v>
      </c>
      <c r="D6089" t="s">
        <v>15</v>
      </c>
      <c r="E6089">
        <v>0</v>
      </c>
      <c r="F6089">
        <v>0.74995949074073998</v>
      </c>
      <c r="G6089">
        <v>1.1101047992706199</v>
      </c>
      <c r="H6089">
        <v>6</v>
      </c>
      <c r="I6089">
        <v>17</v>
      </c>
      <c r="J6089">
        <v>30</v>
      </c>
    </row>
    <row r="6090" spans="1:10" x14ac:dyDescent="0.25">
      <c r="A6090" t="s">
        <v>26</v>
      </c>
      <c r="B6090" t="s">
        <v>11</v>
      </c>
      <c r="C6090" t="s">
        <v>12</v>
      </c>
      <c r="D6090" t="s">
        <v>15</v>
      </c>
      <c r="E6090">
        <v>0</v>
      </c>
      <c r="F6090">
        <v>0.74995949074073998</v>
      </c>
      <c r="G6090">
        <v>0.91483402252197199</v>
      </c>
      <c r="H6090">
        <v>6</v>
      </c>
      <c r="I6090">
        <v>18</v>
      </c>
      <c r="J6090">
        <v>30</v>
      </c>
    </row>
    <row r="6091" spans="1:10" x14ac:dyDescent="0.25">
      <c r="A6091" t="s">
        <v>26</v>
      </c>
      <c r="B6091" t="s">
        <v>11</v>
      </c>
      <c r="C6091" t="s">
        <v>12</v>
      </c>
      <c r="D6091" t="s">
        <v>15</v>
      </c>
      <c r="E6091">
        <v>0</v>
      </c>
      <c r="F6091">
        <v>0.74995949074073998</v>
      </c>
      <c r="G6091">
        <v>1.12858414649963</v>
      </c>
      <c r="H6091">
        <v>7</v>
      </c>
      <c r="I6091">
        <v>19</v>
      </c>
      <c r="J6091">
        <v>30</v>
      </c>
    </row>
    <row r="6092" spans="1:10" x14ac:dyDescent="0.25">
      <c r="A6092" t="s">
        <v>26</v>
      </c>
      <c r="B6092" t="s">
        <v>11</v>
      </c>
      <c r="C6092" t="s">
        <v>12</v>
      </c>
      <c r="D6092" t="s">
        <v>16</v>
      </c>
      <c r="E6092">
        <v>0.33487654320987598</v>
      </c>
      <c r="F6092">
        <v>0.83371856986111303</v>
      </c>
      <c r="G6092">
        <v>0.16220831871032701</v>
      </c>
      <c r="H6092">
        <v>1</v>
      </c>
      <c r="I6092">
        <v>1</v>
      </c>
      <c r="J6092">
        <v>30</v>
      </c>
    </row>
    <row r="6093" spans="1:10" x14ac:dyDescent="0.25">
      <c r="A6093" t="s">
        <v>26</v>
      </c>
      <c r="B6093" t="s">
        <v>11</v>
      </c>
      <c r="C6093" t="s">
        <v>12</v>
      </c>
      <c r="D6093" t="s">
        <v>16</v>
      </c>
      <c r="E6093">
        <v>0.32677469135802401</v>
      </c>
      <c r="F6093">
        <v>0.83169312905373904</v>
      </c>
      <c r="G6093">
        <v>0.17930269241332999</v>
      </c>
      <c r="H6093">
        <v>1</v>
      </c>
      <c r="I6093">
        <v>1</v>
      </c>
      <c r="J6093">
        <v>30</v>
      </c>
    </row>
    <row r="6094" spans="1:10" x14ac:dyDescent="0.25">
      <c r="A6094" t="s">
        <v>26</v>
      </c>
      <c r="B6094" t="s">
        <v>11</v>
      </c>
      <c r="C6094" t="s">
        <v>12</v>
      </c>
      <c r="D6094" t="s">
        <v>16</v>
      </c>
      <c r="E6094">
        <v>0.34953703703703698</v>
      </c>
      <c r="F6094">
        <v>0.83738365941875303</v>
      </c>
      <c r="G6094">
        <v>0.15620613098144501</v>
      </c>
      <c r="H6094">
        <v>1</v>
      </c>
      <c r="I6094">
        <v>1</v>
      </c>
      <c r="J6094">
        <v>30</v>
      </c>
    </row>
    <row r="6095" spans="1:10" x14ac:dyDescent="0.25">
      <c r="A6095" t="s">
        <v>26</v>
      </c>
      <c r="B6095" t="s">
        <v>11</v>
      </c>
      <c r="C6095" t="s">
        <v>12</v>
      </c>
      <c r="D6095" t="s">
        <v>16</v>
      </c>
      <c r="E6095">
        <v>0.33680555555555503</v>
      </c>
      <c r="F6095">
        <v>0.83420081968750204</v>
      </c>
      <c r="G6095">
        <v>0.158199787139892</v>
      </c>
      <c r="H6095">
        <v>1</v>
      </c>
      <c r="I6095">
        <v>1</v>
      </c>
      <c r="J6095">
        <v>30</v>
      </c>
    </row>
    <row r="6096" spans="1:10" x14ac:dyDescent="0.25">
      <c r="A6096" t="s">
        <v>26</v>
      </c>
      <c r="B6096" t="s">
        <v>11</v>
      </c>
      <c r="C6096" t="s">
        <v>12</v>
      </c>
      <c r="D6096" t="s">
        <v>16</v>
      </c>
      <c r="E6096">
        <v>0.33912037037037002</v>
      </c>
      <c r="F6096">
        <v>0.83477951947916895</v>
      </c>
      <c r="G6096">
        <v>0.16020846366882299</v>
      </c>
      <c r="H6096">
        <v>1</v>
      </c>
      <c r="I6096">
        <v>1</v>
      </c>
      <c r="J6096">
        <v>30</v>
      </c>
    </row>
    <row r="6097" spans="1:10" x14ac:dyDescent="0.25">
      <c r="A6097" t="s">
        <v>26</v>
      </c>
      <c r="B6097" t="s">
        <v>11</v>
      </c>
      <c r="C6097" t="s">
        <v>12</v>
      </c>
      <c r="D6097" t="s">
        <v>16</v>
      </c>
      <c r="E6097">
        <v>0.32986111111111099</v>
      </c>
      <c r="F6097">
        <v>0.83246472031250196</v>
      </c>
      <c r="G6097">
        <v>0.16570925712585399</v>
      </c>
      <c r="H6097">
        <v>1</v>
      </c>
      <c r="I6097">
        <v>1</v>
      </c>
      <c r="J6097">
        <v>30</v>
      </c>
    </row>
    <row r="6098" spans="1:10" x14ac:dyDescent="0.25">
      <c r="A6098" t="s">
        <v>26</v>
      </c>
      <c r="B6098" t="s">
        <v>11</v>
      </c>
      <c r="C6098" t="s">
        <v>12</v>
      </c>
      <c r="D6098" t="s">
        <v>16</v>
      </c>
      <c r="E6098">
        <v>0.32445987654320901</v>
      </c>
      <c r="F6098">
        <v>0.83111442920211898</v>
      </c>
      <c r="G6098">
        <v>0.165703535079956</v>
      </c>
      <c r="H6098">
        <v>1</v>
      </c>
      <c r="I6098">
        <v>1</v>
      </c>
      <c r="J6098">
        <v>30</v>
      </c>
    </row>
    <row r="6099" spans="1:10" x14ac:dyDescent="0.25">
      <c r="A6099" t="s">
        <v>26</v>
      </c>
      <c r="B6099" t="s">
        <v>11</v>
      </c>
      <c r="C6099" t="s">
        <v>12</v>
      </c>
      <c r="D6099" t="s">
        <v>16</v>
      </c>
      <c r="E6099">
        <v>0.32330246913580202</v>
      </c>
      <c r="F6099">
        <v>0.830825079276309</v>
      </c>
      <c r="G6099">
        <v>0.158660888671875</v>
      </c>
      <c r="H6099">
        <v>1</v>
      </c>
      <c r="I6099">
        <v>1</v>
      </c>
      <c r="J6099">
        <v>30</v>
      </c>
    </row>
    <row r="6100" spans="1:10" x14ac:dyDescent="0.25">
      <c r="A6100" t="s">
        <v>26</v>
      </c>
      <c r="B6100" t="s">
        <v>11</v>
      </c>
      <c r="C6100" t="s">
        <v>12</v>
      </c>
      <c r="D6100" t="s">
        <v>16</v>
      </c>
      <c r="E6100">
        <v>0.34027777777777701</v>
      </c>
      <c r="F6100">
        <v>0.83506886049375295</v>
      </c>
      <c r="G6100">
        <v>0.163167715072631</v>
      </c>
      <c r="H6100">
        <v>1</v>
      </c>
      <c r="I6100">
        <v>1</v>
      </c>
      <c r="J6100">
        <v>30</v>
      </c>
    </row>
    <row r="6101" spans="1:10" x14ac:dyDescent="0.25">
      <c r="A6101" t="s">
        <v>26</v>
      </c>
      <c r="B6101" t="s">
        <v>11</v>
      </c>
      <c r="C6101" t="s">
        <v>12</v>
      </c>
      <c r="D6101" t="s">
        <v>16</v>
      </c>
      <c r="E6101">
        <v>0.33371913580246898</v>
      </c>
      <c r="F6101">
        <v>0.83342921996527997</v>
      </c>
      <c r="G6101">
        <v>0.16472887992858801</v>
      </c>
      <c r="H6101">
        <v>1</v>
      </c>
      <c r="I6101">
        <v>1</v>
      </c>
      <c r="J6101">
        <v>30</v>
      </c>
    </row>
    <row r="6102" spans="1:10" x14ac:dyDescent="0.25">
      <c r="A6102" t="s">
        <v>26</v>
      </c>
      <c r="B6102" t="s">
        <v>11</v>
      </c>
      <c r="C6102" t="s">
        <v>12</v>
      </c>
      <c r="D6102" t="s">
        <v>16</v>
      </c>
      <c r="E6102">
        <v>0.33256172839506098</v>
      </c>
      <c r="F6102">
        <v>0.83313987006944701</v>
      </c>
      <c r="G6102">
        <v>0.16703200340270899</v>
      </c>
      <c r="H6102">
        <v>1</v>
      </c>
      <c r="I6102">
        <v>1</v>
      </c>
      <c r="J6102">
        <v>30</v>
      </c>
    </row>
    <row r="6103" spans="1:10" x14ac:dyDescent="0.25">
      <c r="A6103" t="s">
        <v>26</v>
      </c>
      <c r="B6103" t="s">
        <v>11</v>
      </c>
      <c r="C6103" t="s">
        <v>12</v>
      </c>
      <c r="D6103" t="s">
        <v>16</v>
      </c>
      <c r="E6103">
        <v>0.31635802469135799</v>
      </c>
      <c r="F6103">
        <v>0.82908898785184904</v>
      </c>
      <c r="G6103">
        <v>0.17209792137145899</v>
      </c>
      <c r="H6103">
        <v>1</v>
      </c>
      <c r="I6103">
        <v>1</v>
      </c>
      <c r="J6103">
        <v>30</v>
      </c>
    </row>
    <row r="6104" spans="1:10" x14ac:dyDescent="0.25">
      <c r="A6104" t="s">
        <v>26</v>
      </c>
      <c r="B6104" t="s">
        <v>11</v>
      </c>
      <c r="C6104" t="s">
        <v>12</v>
      </c>
      <c r="D6104" t="s">
        <v>16</v>
      </c>
      <c r="E6104">
        <v>0.31905864197530798</v>
      </c>
      <c r="F6104">
        <v>0.82976413774814595</v>
      </c>
      <c r="G6104">
        <v>0.171100854873657</v>
      </c>
      <c r="H6104">
        <v>1</v>
      </c>
      <c r="I6104">
        <v>1</v>
      </c>
      <c r="J6104">
        <v>30</v>
      </c>
    </row>
    <row r="6105" spans="1:10" x14ac:dyDescent="0.25">
      <c r="A6105" t="s">
        <v>26</v>
      </c>
      <c r="B6105" t="s">
        <v>11</v>
      </c>
      <c r="C6105" t="s">
        <v>12</v>
      </c>
      <c r="D6105" t="s">
        <v>16</v>
      </c>
      <c r="E6105">
        <v>0.32445987654320901</v>
      </c>
      <c r="F6105">
        <v>0.83111442920211898</v>
      </c>
      <c r="G6105">
        <v>0.17260980606079099</v>
      </c>
      <c r="H6105">
        <v>1</v>
      </c>
      <c r="I6105">
        <v>1</v>
      </c>
      <c r="J6105">
        <v>30</v>
      </c>
    </row>
    <row r="6106" spans="1:10" x14ac:dyDescent="0.25">
      <c r="A6106" t="s">
        <v>26</v>
      </c>
      <c r="B6106" t="s">
        <v>11</v>
      </c>
      <c r="C6106" t="s">
        <v>12</v>
      </c>
      <c r="D6106" t="s">
        <v>16</v>
      </c>
      <c r="E6106">
        <v>0.33140432098765399</v>
      </c>
      <c r="F6106">
        <v>0.83285052017361305</v>
      </c>
      <c r="G6106">
        <v>0.17313480377197199</v>
      </c>
      <c r="H6106">
        <v>1</v>
      </c>
      <c r="I6106">
        <v>1</v>
      </c>
      <c r="J6106">
        <v>30</v>
      </c>
    </row>
    <row r="6107" spans="1:10" x14ac:dyDescent="0.25">
      <c r="A6107" t="s">
        <v>26</v>
      </c>
      <c r="B6107" t="s">
        <v>11</v>
      </c>
      <c r="C6107" t="s">
        <v>12</v>
      </c>
      <c r="D6107" t="s">
        <v>16</v>
      </c>
      <c r="E6107">
        <v>0.34220679012345601</v>
      </c>
      <c r="F6107">
        <v>0.83555111026979501</v>
      </c>
      <c r="G6107">
        <v>0.172139883041381</v>
      </c>
      <c r="H6107">
        <v>1</v>
      </c>
      <c r="I6107">
        <v>1</v>
      </c>
      <c r="J6107">
        <v>30</v>
      </c>
    </row>
    <row r="6108" spans="1:10" x14ac:dyDescent="0.25">
      <c r="A6108" t="s">
        <v>26</v>
      </c>
      <c r="B6108" t="s">
        <v>11</v>
      </c>
      <c r="C6108" t="s">
        <v>12</v>
      </c>
      <c r="D6108" t="s">
        <v>16</v>
      </c>
      <c r="E6108">
        <v>0.328317901234567</v>
      </c>
      <c r="F6108">
        <v>0.83207892895482005</v>
      </c>
      <c r="G6108">
        <v>0.17413926124572701</v>
      </c>
      <c r="H6108">
        <v>1</v>
      </c>
      <c r="I6108">
        <v>1</v>
      </c>
      <c r="J6108">
        <v>30</v>
      </c>
    </row>
    <row r="6109" spans="1:10" x14ac:dyDescent="0.25">
      <c r="A6109" t="s">
        <v>26</v>
      </c>
      <c r="B6109" t="s">
        <v>11</v>
      </c>
      <c r="C6109" t="s">
        <v>12</v>
      </c>
      <c r="D6109" t="s">
        <v>16</v>
      </c>
      <c r="E6109">
        <v>0.33063271604938199</v>
      </c>
      <c r="F6109">
        <v>0.83265762024305801</v>
      </c>
      <c r="G6109">
        <v>0.15714430809020899</v>
      </c>
      <c r="H6109">
        <v>1</v>
      </c>
      <c r="I6109">
        <v>1</v>
      </c>
      <c r="J6109">
        <v>30</v>
      </c>
    </row>
    <row r="6110" spans="1:10" x14ac:dyDescent="0.25">
      <c r="A6110" t="s">
        <v>26</v>
      </c>
      <c r="B6110" t="s">
        <v>11</v>
      </c>
      <c r="C6110" t="s">
        <v>12</v>
      </c>
      <c r="D6110" t="s">
        <v>16</v>
      </c>
      <c r="E6110">
        <v>0.33526234567901197</v>
      </c>
      <c r="F6110">
        <v>0.83381501982639095</v>
      </c>
      <c r="G6110">
        <v>0.16501641273498499</v>
      </c>
      <c r="H6110">
        <v>1</v>
      </c>
      <c r="I6110">
        <v>1</v>
      </c>
      <c r="J6110">
        <v>30</v>
      </c>
    </row>
    <row r="6111" spans="1:10" x14ac:dyDescent="0.25">
      <c r="A6111" t="s">
        <v>26</v>
      </c>
      <c r="B6111" t="s">
        <v>11</v>
      </c>
      <c r="C6111" t="s">
        <v>12</v>
      </c>
      <c r="D6111" t="s">
        <v>16</v>
      </c>
      <c r="E6111">
        <v>0.33063271604938199</v>
      </c>
      <c r="F6111">
        <v>0.83265762024305801</v>
      </c>
      <c r="G6111">
        <v>0.16830277442932101</v>
      </c>
      <c r="H6111">
        <v>1</v>
      </c>
      <c r="I6111">
        <v>1</v>
      </c>
      <c r="J6111">
        <v>30</v>
      </c>
    </row>
    <row r="6112" spans="1:10" x14ac:dyDescent="0.25">
      <c r="A6112" t="s">
        <v>26</v>
      </c>
      <c r="B6112" t="s">
        <v>11</v>
      </c>
      <c r="C6112" t="s">
        <v>12</v>
      </c>
      <c r="D6112" t="s">
        <v>16</v>
      </c>
      <c r="E6112">
        <v>0.34182098765432101</v>
      </c>
      <c r="F6112">
        <v>0.83545466031458604</v>
      </c>
      <c r="G6112">
        <v>0.16172218322753901</v>
      </c>
      <c r="H6112">
        <v>1</v>
      </c>
      <c r="I6112">
        <v>1</v>
      </c>
      <c r="J6112">
        <v>30</v>
      </c>
    </row>
    <row r="6113" spans="1:10" x14ac:dyDescent="0.25">
      <c r="A6113" t="s">
        <v>26</v>
      </c>
      <c r="B6113" t="s">
        <v>11</v>
      </c>
      <c r="C6113" t="s">
        <v>12</v>
      </c>
      <c r="D6113" t="s">
        <v>16</v>
      </c>
      <c r="E6113">
        <v>0</v>
      </c>
      <c r="F6113">
        <v>0.75</v>
      </c>
      <c r="G6113">
        <v>0.122503042221069</v>
      </c>
      <c r="H6113">
        <v>0</v>
      </c>
      <c r="I6113">
        <v>0</v>
      </c>
      <c r="J6113">
        <v>30</v>
      </c>
    </row>
    <row r="6114" spans="1:10" x14ac:dyDescent="0.25">
      <c r="A6114" t="s">
        <v>26</v>
      </c>
      <c r="B6114" t="s">
        <v>11</v>
      </c>
      <c r="C6114" t="s">
        <v>12</v>
      </c>
      <c r="D6114" t="s">
        <v>16</v>
      </c>
      <c r="E6114">
        <v>0.328317901234567</v>
      </c>
      <c r="F6114">
        <v>0.83207892895482005</v>
      </c>
      <c r="G6114">
        <v>0.16066217422485299</v>
      </c>
      <c r="H6114">
        <v>1</v>
      </c>
      <c r="I6114">
        <v>1</v>
      </c>
      <c r="J6114">
        <v>30</v>
      </c>
    </row>
    <row r="6115" spans="1:10" x14ac:dyDescent="0.25">
      <c r="A6115" t="s">
        <v>26</v>
      </c>
      <c r="B6115" t="s">
        <v>11</v>
      </c>
      <c r="C6115" t="s">
        <v>12</v>
      </c>
      <c r="D6115" t="s">
        <v>16</v>
      </c>
      <c r="E6115">
        <v>0.33603395061728297</v>
      </c>
      <c r="F6115">
        <v>0.83400791975694699</v>
      </c>
      <c r="G6115">
        <v>0.166220188140869</v>
      </c>
      <c r="H6115">
        <v>1</v>
      </c>
      <c r="I6115">
        <v>1</v>
      </c>
      <c r="J6115">
        <v>30</v>
      </c>
    </row>
    <row r="6116" spans="1:10" x14ac:dyDescent="0.25">
      <c r="A6116" t="s">
        <v>26</v>
      </c>
      <c r="B6116" t="s">
        <v>11</v>
      </c>
      <c r="C6116" t="s">
        <v>12</v>
      </c>
      <c r="D6116" t="s">
        <v>16</v>
      </c>
      <c r="E6116">
        <v>0.33912037037037002</v>
      </c>
      <c r="F6116">
        <v>0.83477951947916895</v>
      </c>
      <c r="G6116">
        <v>0.15612292289733801</v>
      </c>
      <c r="H6116">
        <v>1</v>
      </c>
      <c r="I6116">
        <v>1</v>
      </c>
      <c r="J6116">
        <v>30</v>
      </c>
    </row>
    <row r="6117" spans="1:10" x14ac:dyDescent="0.25">
      <c r="A6117" t="s">
        <v>26</v>
      </c>
      <c r="B6117" t="s">
        <v>11</v>
      </c>
      <c r="C6117" t="s">
        <v>12</v>
      </c>
      <c r="D6117" t="s">
        <v>16</v>
      </c>
      <c r="E6117">
        <v>0.32445987654320901</v>
      </c>
      <c r="F6117">
        <v>0.83111442920211898</v>
      </c>
      <c r="G6117">
        <v>0.155587673187255</v>
      </c>
      <c r="H6117">
        <v>1</v>
      </c>
      <c r="I6117">
        <v>1</v>
      </c>
      <c r="J6117">
        <v>30</v>
      </c>
    </row>
    <row r="6118" spans="1:10" x14ac:dyDescent="0.25">
      <c r="A6118" t="s">
        <v>26</v>
      </c>
      <c r="B6118" t="s">
        <v>11</v>
      </c>
      <c r="C6118" t="s">
        <v>12</v>
      </c>
      <c r="D6118" t="s">
        <v>16</v>
      </c>
      <c r="E6118">
        <v>0</v>
      </c>
      <c r="F6118">
        <v>0.75</v>
      </c>
      <c r="G6118">
        <v>0.107345342636108</v>
      </c>
      <c r="H6118">
        <v>0</v>
      </c>
      <c r="I6118">
        <v>0</v>
      </c>
      <c r="J6118">
        <v>30</v>
      </c>
    </row>
    <row r="6119" spans="1:10" x14ac:dyDescent="0.25">
      <c r="A6119" t="s">
        <v>26</v>
      </c>
      <c r="B6119" t="s">
        <v>11</v>
      </c>
      <c r="C6119" t="s">
        <v>12</v>
      </c>
      <c r="D6119" t="s">
        <v>16</v>
      </c>
      <c r="E6119">
        <v>0.33294753086419698</v>
      </c>
      <c r="F6119">
        <v>0.83323632003472403</v>
      </c>
      <c r="G6119">
        <v>0.15765905380249001</v>
      </c>
      <c r="H6119">
        <v>1</v>
      </c>
      <c r="I6119">
        <v>1</v>
      </c>
      <c r="J6119">
        <v>30</v>
      </c>
    </row>
    <row r="6120" spans="1:10" x14ac:dyDescent="0.25">
      <c r="A6120" t="s">
        <v>26</v>
      </c>
      <c r="B6120" t="s">
        <v>11</v>
      </c>
      <c r="C6120" t="s">
        <v>12</v>
      </c>
      <c r="D6120" t="s">
        <v>16</v>
      </c>
      <c r="E6120">
        <v>0.33680555555555503</v>
      </c>
      <c r="F6120">
        <v>0.83420081968750204</v>
      </c>
      <c r="G6120">
        <v>0.15558719635009699</v>
      </c>
      <c r="H6120">
        <v>1</v>
      </c>
      <c r="I6120">
        <v>1</v>
      </c>
      <c r="J6120">
        <v>30</v>
      </c>
    </row>
    <row r="6121" spans="1:10" x14ac:dyDescent="0.25">
      <c r="A6121" t="s">
        <v>26</v>
      </c>
      <c r="B6121" t="s">
        <v>11</v>
      </c>
      <c r="C6121" t="s">
        <v>12</v>
      </c>
      <c r="D6121" t="s">
        <v>16</v>
      </c>
      <c r="E6121">
        <v>0.33371913580246898</v>
      </c>
      <c r="F6121">
        <v>0.83342921996527997</v>
      </c>
      <c r="G6121">
        <v>0.143564462661743</v>
      </c>
      <c r="H6121">
        <v>1</v>
      </c>
      <c r="I6121">
        <v>1</v>
      </c>
      <c r="J6121">
        <v>30</v>
      </c>
    </row>
    <row r="6122" spans="1:10" x14ac:dyDescent="0.25">
      <c r="A6122" t="s">
        <v>26</v>
      </c>
      <c r="B6122" t="s">
        <v>11</v>
      </c>
      <c r="C6122" t="s">
        <v>12</v>
      </c>
      <c r="D6122" t="s">
        <v>17</v>
      </c>
      <c r="E6122">
        <v>0</v>
      </c>
      <c r="F6122">
        <v>0.749256799730324</v>
      </c>
      <c r="G6122">
        <v>4.58544445037841</v>
      </c>
      <c r="H6122">
        <v>18</v>
      </c>
      <c r="I6122">
        <v>28</v>
      </c>
      <c r="J6122">
        <v>30</v>
      </c>
    </row>
    <row r="6123" spans="1:10" x14ac:dyDescent="0.25">
      <c r="A6123" t="s">
        <v>26</v>
      </c>
      <c r="B6123" t="s">
        <v>11</v>
      </c>
      <c r="C6123" t="s">
        <v>12</v>
      </c>
      <c r="D6123" t="s">
        <v>17</v>
      </c>
      <c r="E6123">
        <v>0</v>
      </c>
      <c r="F6123">
        <v>0.74900883277596397</v>
      </c>
      <c r="G6123">
        <v>5.69610166549682</v>
      </c>
      <c r="H6123">
        <v>24</v>
      </c>
      <c r="I6123">
        <v>26</v>
      </c>
      <c r="J6123">
        <v>30</v>
      </c>
    </row>
    <row r="6124" spans="1:10" x14ac:dyDescent="0.25">
      <c r="A6124" t="s">
        <v>26</v>
      </c>
      <c r="B6124" t="s">
        <v>11</v>
      </c>
      <c r="C6124" t="s">
        <v>12</v>
      </c>
      <c r="D6124" t="s">
        <v>17</v>
      </c>
      <c r="E6124">
        <v>0</v>
      </c>
      <c r="F6124">
        <v>0.74943605195462903</v>
      </c>
      <c r="G6124">
        <v>5.9843003749847403</v>
      </c>
      <c r="H6124">
        <v>21</v>
      </c>
      <c r="I6124">
        <v>27</v>
      </c>
      <c r="J6124">
        <v>30</v>
      </c>
    </row>
    <row r="6125" spans="1:10" x14ac:dyDescent="0.25">
      <c r="A6125" t="s">
        <v>26</v>
      </c>
      <c r="B6125" t="s">
        <v>11</v>
      </c>
      <c r="C6125" t="s">
        <v>12</v>
      </c>
      <c r="D6125" t="s">
        <v>17</v>
      </c>
      <c r="E6125">
        <v>0</v>
      </c>
      <c r="F6125">
        <v>0.74872878033252299</v>
      </c>
      <c r="G6125">
        <v>13.2186133861541</v>
      </c>
      <c r="H6125">
        <v>51</v>
      </c>
      <c r="I6125">
        <v>34</v>
      </c>
      <c r="J6125">
        <v>30</v>
      </c>
    </row>
    <row r="6126" spans="1:10" x14ac:dyDescent="0.25">
      <c r="A6126" t="s">
        <v>26</v>
      </c>
      <c r="B6126" t="s">
        <v>11</v>
      </c>
      <c r="C6126" t="s">
        <v>12</v>
      </c>
      <c r="D6126" t="s">
        <v>17</v>
      </c>
      <c r="E6126">
        <v>4.7839506172839497E-2</v>
      </c>
      <c r="F6126">
        <v>0.75304194252110201</v>
      </c>
      <c r="G6126">
        <v>15.7095172405242</v>
      </c>
      <c r="H6126">
        <v>88</v>
      </c>
      <c r="I6126">
        <v>37</v>
      </c>
      <c r="J6126">
        <v>30</v>
      </c>
    </row>
    <row r="6127" spans="1:10" x14ac:dyDescent="0.25">
      <c r="A6127" t="s">
        <v>26</v>
      </c>
      <c r="B6127" t="s">
        <v>11</v>
      </c>
      <c r="C6127" t="s">
        <v>12</v>
      </c>
      <c r="D6127" t="s">
        <v>17</v>
      </c>
      <c r="E6127">
        <v>4.7453703703703699E-2</v>
      </c>
      <c r="F6127">
        <v>0.75286453239934303</v>
      </c>
      <c r="G6127">
        <v>16.439498901367099</v>
      </c>
      <c r="H6127">
        <v>102</v>
      </c>
      <c r="I6127">
        <v>39</v>
      </c>
      <c r="J6127">
        <v>30</v>
      </c>
    </row>
    <row r="6128" spans="1:10" x14ac:dyDescent="0.25">
      <c r="A6128" t="s">
        <v>26</v>
      </c>
      <c r="B6128" t="s">
        <v>11</v>
      </c>
      <c r="C6128" t="s">
        <v>12</v>
      </c>
      <c r="D6128" t="s">
        <v>17</v>
      </c>
      <c r="E6128">
        <v>4.4753086419753001E-2</v>
      </c>
      <c r="F6128">
        <v>0.75330059205956701</v>
      </c>
      <c r="G6128">
        <v>21.9312052726745</v>
      </c>
      <c r="H6128">
        <v>144</v>
      </c>
      <c r="I6128">
        <v>44</v>
      </c>
      <c r="J6128">
        <v>30</v>
      </c>
    </row>
    <row r="6129" spans="1:10" x14ac:dyDescent="0.25">
      <c r="A6129" t="s">
        <v>26</v>
      </c>
      <c r="B6129" t="s">
        <v>11</v>
      </c>
      <c r="C6129" t="s">
        <v>12</v>
      </c>
      <c r="D6129" t="s">
        <v>17</v>
      </c>
      <c r="E6129">
        <v>4.5910493827160399E-2</v>
      </c>
      <c r="F6129">
        <v>0.75347380934209096</v>
      </c>
      <c r="G6129">
        <v>23.4143307209014</v>
      </c>
      <c r="H6129">
        <v>132</v>
      </c>
      <c r="I6129">
        <v>41</v>
      </c>
      <c r="J6129">
        <v>30</v>
      </c>
    </row>
    <row r="6130" spans="1:10" x14ac:dyDescent="0.25">
      <c r="A6130" t="s">
        <v>26</v>
      </c>
      <c r="B6130" t="s">
        <v>11</v>
      </c>
      <c r="C6130" t="s">
        <v>12</v>
      </c>
      <c r="D6130" t="s">
        <v>17</v>
      </c>
      <c r="E6130">
        <v>4.8611111111111098E-2</v>
      </c>
      <c r="F6130">
        <v>0.75327117813217603</v>
      </c>
      <c r="G6130">
        <v>27.7463359832763</v>
      </c>
      <c r="H6130">
        <v>166</v>
      </c>
      <c r="I6130">
        <v>44</v>
      </c>
      <c r="J6130">
        <v>30</v>
      </c>
    </row>
    <row r="6131" spans="1:10" x14ac:dyDescent="0.25">
      <c r="A6131" t="s">
        <v>26</v>
      </c>
      <c r="B6131" t="s">
        <v>11</v>
      </c>
      <c r="C6131" t="s">
        <v>12</v>
      </c>
      <c r="D6131" t="s">
        <v>17</v>
      </c>
      <c r="E6131">
        <v>4.0123456790123399E-2</v>
      </c>
      <c r="F6131">
        <v>0.75368483146627996</v>
      </c>
      <c r="G6131">
        <v>28.2786545753479</v>
      </c>
      <c r="H6131">
        <v>172</v>
      </c>
      <c r="I6131">
        <v>44</v>
      </c>
      <c r="J6131">
        <v>30</v>
      </c>
    </row>
    <row r="6132" spans="1:10" x14ac:dyDescent="0.25">
      <c r="A6132" t="s">
        <v>26</v>
      </c>
      <c r="B6132" t="s">
        <v>11</v>
      </c>
      <c r="C6132" t="s">
        <v>12</v>
      </c>
      <c r="D6132" t="s">
        <v>17</v>
      </c>
      <c r="E6132">
        <v>9.2978395061728294E-2</v>
      </c>
      <c r="F6132">
        <v>0.75944262194270795</v>
      </c>
      <c r="G6132">
        <v>34.710767984390202</v>
      </c>
      <c r="H6132">
        <v>241</v>
      </c>
      <c r="I6132">
        <v>41</v>
      </c>
      <c r="J6132">
        <v>30</v>
      </c>
    </row>
    <row r="6133" spans="1:10" x14ac:dyDescent="0.25">
      <c r="A6133" t="s">
        <v>26</v>
      </c>
      <c r="B6133" t="s">
        <v>11</v>
      </c>
      <c r="C6133" t="s">
        <v>12</v>
      </c>
      <c r="D6133" t="s">
        <v>17</v>
      </c>
      <c r="E6133">
        <v>8.9891975308641903E-2</v>
      </c>
      <c r="F6133">
        <v>0.75507152166616398</v>
      </c>
      <c r="G6133">
        <v>38.913166522979701</v>
      </c>
      <c r="H6133">
        <v>284</v>
      </c>
      <c r="I6133">
        <v>44</v>
      </c>
      <c r="J6133">
        <v>30</v>
      </c>
    </row>
    <row r="6134" spans="1:10" x14ac:dyDescent="0.25">
      <c r="A6134" t="s">
        <v>26</v>
      </c>
      <c r="B6134" t="s">
        <v>11</v>
      </c>
      <c r="C6134" t="s">
        <v>12</v>
      </c>
      <c r="D6134" t="s">
        <v>17</v>
      </c>
      <c r="E6134">
        <v>9.6836419753086406E-2</v>
      </c>
      <c r="F6134">
        <v>0.75335496341099395</v>
      </c>
      <c r="G6134">
        <v>41.716145992279003</v>
      </c>
      <c r="H6134">
        <v>293</v>
      </c>
      <c r="I6134">
        <v>43</v>
      </c>
      <c r="J6134">
        <v>30</v>
      </c>
    </row>
    <row r="6135" spans="1:10" x14ac:dyDescent="0.25">
      <c r="A6135" t="s">
        <v>26</v>
      </c>
      <c r="B6135" t="s">
        <v>11</v>
      </c>
      <c r="C6135" t="s">
        <v>12</v>
      </c>
      <c r="D6135" t="s">
        <v>17</v>
      </c>
      <c r="E6135">
        <v>0.100694444444444</v>
      </c>
      <c r="F6135">
        <v>0.75622930161720503</v>
      </c>
      <c r="G6135">
        <v>47.587344884872401</v>
      </c>
      <c r="H6135">
        <v>328</v>
      </c>
      <c r="I6135">
        <v>44</v>
      </c>
      <c r="J6135">
        <v>30</v>
      </c>
    </row>
    <row r="6136" spans="1:10" x14ac:dyDescent="0.25">
      <c r="A6136" t="s">
        <v>26</v>
      </c>
      <c r="B6136" t="s">
        <v>11</v>
      </c>
      <c r="C6136" t="s">
        <v>12</v>
      </c>
      <c r="D6136" t="s">
        <v>17</v>
      </c>
      <c r="E6136">
        <v>9.2978395061728294E-2</v>
      </c>
      <c r="F6136">
        <v>0.76016301424961297</v>
      </c>
      <c r="G6136">
        <v>51.498487472534102</v>
      </c>
      <c r="H6136">
        <v>327</v>
      </c>
      <c r="I6136">
        <v>43</v>
      </c>
      <c r="J6136">
        <v>30</v>
      </c>
    </row>
    <row r="6137" spans="1:10" x14ac:dyDescent="0.25">
      <c r="A6137" t="s">
        <v>26</v>
      </c>
      <c r="B6137" t="s">
        <v>11</v>
      </c>
      <c r="C6137" t="s">
        <v>12</v>
      </c>
      <c r="D6137" t="s">
        <v>17</v>
      </c>
      <c r="E6137">
        <v>9.0277777777777707E-2</v>
      </c>
      <c r="F6137">
        <v>0.75276529024633299</v>
      </c>
      <c r="G6137">
        <v>52.666741847991901</v>
      </c>
      <c r="H6137">
        <v>374</v>
      </c>
      <c r="I6137">
        <v>44</v>
      </c>
      <c r="J6137">
        <v>30</v>
      </c>
    </row>
    <row r="6138" spans="1:10" x14ac:dyDescent="0.25">
      <c r="A6138" t="s">
        <v>26</v>
      </c>
      <c r="B6138" t="s">
        <v>11</v>
      </c>
      <c r="C6138" t="s">
        <v>12</v>
      </c>
      <c r="D6138" t="s">
        <v>17</v>
      </c>
      <c r="E6138">
        <v>9.1820987654320896E-2</v>
      </c>
      <c r="F6138">
        <v>0.75756365523800095</v>
      </c>
      <c r="G6138">
        <v>54.785954713821397</v>
      </c>
      <c r="H6138">
        <v>381</v>
      </c>
      <c r="I6138">
        <v>40</v>
      </c>
      <c r="J6138">
        <v>30</v>
      </c>
    </row>
    <row r="6139" spans="1:10" x14ac:dyDescent="0.25">
      <c r="A6139" t="s">
        <v>26</v>
      </c>
      <c r="B6139" t="s">
        <v>11</v>
      </c>
      <c r="C6139" t="s">
        <v>12</v>
      </c>
      <c r="D6139" t="s">
        <v>17</v>
      </c>
      <c r="E6139">
        <v>8.8734567901234504E-2</v>
      </c>
      <c r="F6139">
        <v>0.75297929973526101</v>
      </c>
      <c r="G6139">
        <v>56.425262928008998</v>
      </c>
      <c r="H6139">
        <v>443</v>
      </c>
      <c r="I6139">
        <v>44</v>
      </c>
      <c r="J6139">
        <v>30</v>
      </c>
    </row>
    <row r="6140" spans="1:10" x14ac:dyDescent="0.25">
      <c r="A6140" t="s">
        <v>26</v>
      </c>
      <c r="B6140" t="s">
        <v>11</v>
      </c>
      <c r="C6140" t="s">
        <v>12</v>
      </c>
      <c r="D6140" t="s">
        <v>17</v>
      </c>
      <c r="E6140">
        <v>0.103009259259259</v>
      </c>
      <c r="F6140">
        <v>0.75845828688275296</v>
      </c>
      <c r="G6140">
        <v>61.860357522964399</v>
      </c>
      <c r="H6140">
        <v>436</v>
      </c>
      <c r="I6140">
        <v>45</v>
      </c>
      <c r="J6140">
        <v>30</v>
      </c>
    </row>
    <row r="6141" spans="1:10" x14ac:dyDescent="0.25">
      <c r="A6141" t="s">
        <v>26</v>
      </c>
      <c r="B6141" t="s">
        <v>11</v>
      </c>
      <c r="C6141" t="s">
        <v>12</v>
      </c>
      <c r="D6141" t="s">
        <v>17</v>
      </c>
      <c r="E6141">
        <v>9.8379629629629595E-2</v>
      </c>
      <c r="F6141">
        <v>0.75411866972650299</v>
      </c>
      <c r="G6141">
        <v>63.676435232162397</v>
      </c>
      <c r="H6141">
        <v>472</v>
      </c>
      <c r="I6141">
        <v>43</v>
      </c>
      <c r="J6141">
        <v>30</v>
      </c>
    </row>
    <row r="6142" spans="1:10" x14ac:dyDescent="0.25">
      <c r="A6142" t="s">
        <v>26</v>
      </c>
      <c r="B6142" t="s">
        <v>11</v>
      </c>
      <c r="C6142" t="s">
        <v>12</v>
      </c>
      <c r="D6142" t="s">
        <v>17</v>
      </c>
      <c r="E6142">
        <v>0.16782407407407399</v>
      </c>
      <c r="F6142">
        <v>0.76428098484648799</v>
      </c>
      <c r="G6142">
        <v>69.774833440780597</v>
      </c>
      <c r="H6142">
        <v>610</v>
      </c>
      <c r="I6142">
        <v>45</v>
      </c>
      <c r="J6142">
        <v>30</v>
      </c>
    </row>
    <row r="6143" spans="1:10" x14ac:dyDescent="0.25">
      <c r="A6143" t="s">
        <v>26</v>
      </c>
      <c r="B6143" t="s">
        <v>11</v>
      </c>
      <c r="C6143" t="s">
        <v>12</v>
      </c>
      <c r="D6143" t="s">
        <v>17</v>
      </c>
      <c r="E6143">
        <v>0.133873456790123</v>
      </c>
      <c r="F6143">
        <v>0.75998688614841703</v>
      </c>
      <c r="G6143">
        <v>70.837238311767507</v>
      </c>
      <c r="H6143">
        <v>599</v>
      </c>
      <c r="I6143">
        <v>45</v>
      </c>
      <c r="J6143">
        <v>30</v>
      </c>
    </row>
    <row r="6144" spans="1:10" x14ac:dyDescent="0.25">
      <c r="A6144" t="s">
        <v>26</v>
      </c>
      <c r="B6144" t="s">
        <v>11</v>
      </c>
      <c r="C6144" t="s">
        <v>12</v>
      </c>
      <c r="D6144" t="s">
        <v>17</v>
      </c>
      <c r="E6144">
        <v>0.209876543209876</v>
      </c>
      <c r="F6144">
        <v>0.75167149207017603</v>
      </c>
      <c r="G6144">
        <v>81.396518945693899</v>
      </c>
      <c r="H6144">
        <v>897</v>
      </c>
      <c r="I6144">
        <v>44</v>
      </c>
      <c r="J6144">
        <v>30</v>
      </c>
    </row>
    <row r="6145" spans="1:10" x14ac:dyDescent="0.25">
      <c r="A6145" t="s">
        <v>26</v>
      </c>
      <c r="B6145" t="s">
        <v>11</v>
      </c>
      <c r="C6145" t="s">
        <v>12</v>
      </c>
      <c r="D6145" t="s">
        <v>17</v>
      </c>
      <c r="E6145">
        <v>0.27237654320987598</v>
      </c>
      <c r="F6145">
        <v>0.75136515254563896</v>
      </c>
      <c r="G6145">
        <v>81.331700563430701</v>
      </c>
      <c r="H6145">
        <v>988</v>
      </c>
      <c r="I6145">
        <v>47</v>
      </c>
      <c r="J6145">
        <v>30</v>
      </c>
    </row>
    <row r="6146" spans="1:10" x14ac:dyDescent="0.25">
      <c r="A6146" t="s">
        <v>26</v>
      </c>
      <c r="B6146" t="s">
        <v>11</v>
      </c>
      <c r="C6146" t="s">
        <v>12</v>
      </c>
      <c r="D6146" t="s">
        <v>17</v>
      </c>
      <c r="E6146">
        <v>0.13464506172839499</v>
      </c>
      <c r="F6146">
        <v>0.74683596779328598</v>
      </c>
      <c r="G6146">
        <v>84.3672647476196</v>
      </c>
      <c r="H6146">
        <v>931</v>
      </c>
      <c r="I6146">
        <v>48</v>
      </c>
      <c r="J6146">
        <v>30</v>
      </c>
    </row>
    <row r="6147" spans="1:10" x14ac:dyDescent="0.25">
      <c r="A6147" t="s">
        <v>26</v>
      </c>
      <c r="B6147" t="s">
        <v>11</v>
      </c>
      <c r="C6147" t="s">
        <v>12</v>
      </c>
      <c r="D6147" t="s">
        <v>17</v>
      </c>
      <c r="E6147">
        <v>0.20679012345678999</v>
      </c>
      <c r="F6147">
        <v>0.76143852743757501</v>
      </c>
      <c r="G6147">
        <v>97.571906805038395</v>
      </c>
      <c r="H6147">
        <v>1021</v>
      </c>
      <c r="I6147">
        <v>48</v>
      </c>
      <c r="J6147">
        <v>30</v>
      </c>
    </row>
    <row r="6148" spans="1:10" x14ac:dyDescent="0.25">
      <c r="A6148" t="s">
        <v>26</v>
      </c>
      <c r="B6148" t="s">
        <v>11</v>
      </c>
      <c r="C6148" t="s">
        <v>12</v>
      </c>
      <c r="D6148" t="s">
        <v>17</v>
      </c>
      <c r="E6148">
        <v>0.26388888888888801</v>
      </c>
      <c r="F6148">
        <v>0.72439271608741895</v>
      </c>
      <c r="G6148">
        <v>103.111324310302</v>
      </c>
      <c r="H6148">
        <v>1437</v>
      </c>
      <c r="I6148">
        <v>47</v>
      </c>
      <c r="J6148">
        <v>30</v>
      </c>
    </row>
    <row r="6149" spans="1:10" x14ac:dyDescent="0.25">
      <c r="A6149" t="s">
        <v>26</v>
      </c>
      <c r="B6149" t="s">
        <v>11</v>
      </c>
      <c r="C6149" t="s">
        <v>12</v>
      </c>
      <c r="D6149" t="s">
        <v>17</v>
      </c>
      <c r="E6149">
        <v>0.22608024691358</v>
      </c>
      <c r="F6149">
        <v>0.75193363086832499</v>
      </c>
      <c r="G6149">
        <v>106.638619184494</v>
      </c>
      <c r="H6149">
        <v>1096</v>
      </c>
      <c r="I6149">
        <v>49</v>
      </c>
      <c r="J6149">
        <v>30</v>
      </c>
    </row>
    <row r="6150" spans="1:10" x14ac:dyDescent="0.25">
      <c r="A6150" t="s">
        <v>26</v>
      </c>
      <c r="B6150" t="s">
        <v>11</v>
      </c>
      <c r="C6150" t="s">
        <v>12</v>
      </c>
      <c r="D6150" t="s">
        <v>17</v>
      </c>
      <c r="E6150">
        <v>0.31790123456790098</v>
      </c>
      <c r="F6150">
        <v>0.75156854059517597</v>
      </c>
      <c r="G6150">
        <v>107.473004579544</v>
      </c>
      <c r="H6150">
        <v>1312</v>
      </c>
      <c r="I6150">
        <v>50</v>
      </c>
      <c r="J6150">
        <v>30</v>
      </c>
    </row>
    <row r="6151" spans="1:10" x14ac:dyDescent="0.25">
      <c r="A6151" t="s">
        <v>26</v>
      </c>
      <c r="B6151" t="s">
        <v>11</v>
      </c>
      <c r="C6151" t="s">
        <v>12</v>
      </c>
      <c r="D6151" t="s">
        <v>17</v>
      </c>
      <c r="E6151">
        <v>0.58140432098765404</v>
      </c>
      <c r="F6151">
        <v>0.77378007939930205</v>
      </c>
      <c r="G6151">
        <v>118.593774318695</v>
      </c>
      <c r="H6151">
        <v>1655</v>
      </c>
      <c r="I6151">
        <v>51</v>
      </c>
      <c r="J6151">
        <v>30</v>
      </c>
    </row>
    <row r="6152" spans="1:10" x14ac:dyDescent="0.25">
      <c r="A6152" t="s">
        <v>26</v>
      </c>
      <c r="B6152" t="s">
        <v>11</v>
      </c>
      <c r="C6152" t="s">
        <v>18</v>
      </c>
      <c r="D6152" t="s">
        <v>13</v>
      </c>
      <c r="E6152">
        <v>0.92554012345679004</v>
      </c>
      <c r="F6152">
        <v>0.93769004483128704</v>
      </c>
      <c r="G6152">
        <v>2.8739483356475799</v>
      </c>
      <c r="H6152">
        <v>31</v>
      </c>
      <c r="I6152">
        <v>19</v>
      </c>
      <c r="J6152">
        <v>30</v>
      </c>
    </row>
    <row r="6153" spans="1:10" x14ac:dyDescent="0.25">
      <c r="A6153" t="s">
        <v>26</v>
      </c>
      <c r="B6153" t="s">
        <v>11</v>
      </c>
      <c r="C6153" t="s">
        <v>18</v>
      </c>
      <c r="D6153" t="s">
        <v>13</v>
      </c>
      <c r="E6153">
        <v>0.92438271604938205</v>
      </c>
      <c r="F6153">
        <v>0.93621739697391904</v>
      </c>
      <c r="G6153">
        <v>2.9491803646087602</v>
      </c>
      <c r="H6153">
        <v>27</v>
      </c>
      <c r="I6153">
        <v>15</v>
      </c>
      <c r="J6153">
        <v>30</v>
      </c>
    </row>
    <row r="6154" spans="1:10" x14ac:dyDescent="0.25">
      <c r="A6154" t="s">
        <v>26</v>
      </c>
      <c r="B6154" t="s">
        <v>11</v>
      </c>
      <c r="C6154" t="s">
        <v>18</v>
      </c>
      <c r="D6154" t="s">
        <v>13</v>
      </c>
      <c r="E6154">
        <v>0.93904320987654299</v>
      </c>
      <c r="F6154">
        <v>0.94546361149390401</v>
      </c>
      <c r="G6154">
        <v>3.3070394992828298</v>
      </c>
      <c r="H6154">
        <v>26</v>
      </c>
      <c r="I6154">
        <v>18</v>
      </c>
      <c r="J6154">
        <v>30</v>
      </c>
    </row>
    <row r="6155" spans="1:10" x14ac:dyDescent="0.25">
      <c r="A6155" t="s">
        <v>26</v>
      </c>
      <c r="B6155" t="s">
        <v>11</v>
      </c>
      <c r="C6155" t="s">
        <v>18</v>
      </c>
      <c r="D6155" t="s">
        <v>13</v>
      </c>
      <c r="E6155">
        <v>0.93557098765432101</v>
      </c>
      <c r="F6155">
        <v>0.94634307834050801</v>
      </c>
      <c r="G6155">
        <v>3.1984500885009699</v>
      </c>
      <c r="H6155">
        <v>37</v>
      </c>
      <c r="I6155">
        <v>18</v>
      </c>
      <c r="J6155">
        <v>30</v>
      </c>
    </row>
    <row r="6156" spans="1:10" x14ac:dyDescent="0.25">
      <c r="A6156" t="s">
        <v>26</v>
      </c>
      <c r="B6156" t="s">
        <v>11</v>
      </c>
      <c r="C6156" t="s">
        <v>18</v>
      </c>
      <c r="D6156" t="s">
        <v>13</v>
      </c>
      <c r="E6156">
        <v>0.92631172839506104</v>
      </c>
      <c r="F6156">
        <v>0.93781740803371705</v>
      </c>
      <c r="G6156">
        <v>3.1301798820495601</v>
      </c>
      <c r="H6156">
        <v>35</v>
      </c>
      <c r="I6156">
        <v>20</v>
      </c>
      <c r="J6156">
        <v>30</v>
      </c>
    </row>
    <row r="6157" spans="1:10" x14ac:dyDescent="0.25">
      <c r="A6157" t="s">
        <v>26</v>
      </c>
      <c r="B6157" t="s">
        <v>11</v>
      </c>
      <c r="C6157" t="s">
        <v>18</v>
      </c>
      <c r="D6157" t="s">
        <v>13</v>
      </c>
      <c r="E6157">
        <v>0.92438271604938205</v>
      </c>
      <c r="F6157">
        <v>0.93636530075046098</v>
      </c>
      <c r="G6157">
        <v>3.3999059200286799</v>
      </c>
      <c r="H6157">
        <v>32</v>
      </c>
      <c r="I6157">
        <v>19</v>
      </c>
      <c r="J6157">
        <v>30</v>
      </c>
    </row>
    <row r="6158" spans="1:10" x14ac:dyDescent="0.25">
      <c r="A6158" t="s">
        <v>26</v>
      </c>
      <c r="B6158" t="s">
        <v>11</v>
      </c>
      <c r="C6158" t="s">
        <v>18</v>
      </c>
      <c r="D6158" t="s">
        <v>13</v>
      </c>
      <c r="E6158">
        <v>0.93479938271604901</v>
      </c>
      <c r="F6158">
        <v>0.94334017959286198</v>
      </c>
      <c r="G6158">
        <v>3.4130365848541202</v>
      </c>
      <c r="H6158">
        <v>31</v>
      </c>
      <c r="I6158">
        <v>16</v>
      </c>
      <c r="J6158">
        <v>30</v>
      </c>
    </row>
    <row r="6159" spans="1:10" x14ac:dyDescent="0.25">
      <c r="A6159" t="s">
        <v>26</v>
      </c>
      <c r="B6159" t="s">
        <v>11</v>
      </c>
      <c r="C6159" t="s">
        <v>18</v>
      </c>
      <c r="D6159" t="s">
        <v>13</v>
      </c>
      <c r="E6159">
        <v>0.93942901234567899</v>
      </c>
      <c r="F6159">
        <v>0.946982787328009</v>
      </c>
      <c r="G6159">
        <v>3.45868563652038</v>
      </c>
      <c r="H6159">
        <v>32</v>
      </c>
      <c r="I6159">
        <v>22</v>
      </c>
      <c r="J6159">
        <v>30</v>
      </c>
    </row>
    <row r="6160" spans="1:10" x14ac:dyDescent="0.25">
      <c r="A6160" t="s">
        <v>26</v>
      </c>
      <c r="B6160" t="s">
        <v>11</v>
      </c>
      <c r="C6160" t="s">
        <v>18</v>
      </c>
      <c r="D6160" t="s">
        <v>13</v>
      </c>
      <c r="E6160">
        <v>0.91512345679012297</v>
      </c>
      <c r="F6160">
        <v>0.92912853516500704</v>
      </c>
      <c r="G6160">
        <v>3.1778497695922798</v>
      </c>
      <c r="H6160">
        <v>28</v>
      </c>
      <c r="I6160">
        <v>16</v>
      </c>
      <c r="J6160">
        <v>30</v>
      </c>
    </row>
    <row r="6161" spans="1:10" x14ac:dyDescent="0.25">
      <c r="A6161" t="s">
        <v>26</v>
      </c>
      <c r="B6161" t="s">
        <v>11</v>
      </c>
      <c r="C6161" t="s">
        <v>18</v>
      </c>
      <c r="D6161" t="s">
        <v>13</v>
      </c>
      <c r="E6161">
        <v>0.94637345679012297</v>
      </c>
      <c r="F6161">
        <v>0.95159131083776904</v>
      </c>
      <c r="G6161">
        <v>3.5725228786468501</v>
      </c>
      <c r="H6161">
        <v>38</v>
      </c>
      <c r="I6161">
        <v>23</v>
      </c>
      <c r="J6161">
        <v>30</v>
      </c>
    </row>
    <row r="6162" spans="1:10" x14ac:dyDescent="0.25">
      <c r="A6162" t="s">
        <v>26</v>
      </c>
      <c r="B6162" t="s">
        <v>11</v>
      </c>
      <c r="C6162" t="s">
        <v>18</v>
      </c>
      <c r="D6162" t="s">
        <v>13</v>
      </c>
      <c r="E6162">
        <v>0.936728395061728</v>
      </c>
      <c r="F6162">
        <v>0.944271711196218</v>
      </c>
      <c r="G6162">
        <v>3.6323647499084402</v>
      </c>
      <c r="H6162">
        <v>36</v>
      </c>
      <c r="I6162">
        <v>25</v>
      </c>
      <c r="J6162">
        <v>30</v>
      </c>
    </row>
    <row r="6163" spans="1:10" x14ac:dyDescent="0.25">
      <c r="A6163" t="s">
        <v>26</v>
      </c>
      <c r="B6163" t="s">
        <v>11</v>
      </c>
      <c r="C6163" t="s">
        <v>18</v>
      </c>
      <c r="D6163" t="s">
        <v>13</v>
      </c>
      <c r="E6163">
        <v>0.94097222222222199</v>
      </c>
      <c r="F6163">
        <v>0.94717303355586402</v>
      </c>
      <c r="G6163">
        <v>3.29693603515625</v>
      </c>
      <c r="H6163">
        <v>34</v>
      </c>
      <c r="I6163">
        <v>17</v>
      </c>
      <c r="J6163">
        <v>30</v>
      </c>
    </row>
    <row r="6164" spans="1:10" x14ac:dyDescent="0.25">
      <c r="A6164" t="s">
        <v>26</v>
      </c>
      <c r="B6164" t="s">
        <v>11</v>
      </c>
      <c r="C6164" t="s">
        <v>18</v>
      </c>
      <c r="D6164" t="s">
        <v>13</v>
      </c>
      <c r="E6164">
        <v>0.95293209876543195</v>
      </c>
      <c r="F6164">
        <v>0.95697709669513797</v>
      </c>
      <c r="G6164">
        <v>3.5535602569579998</v>
      </c>
      <c r="H6164">
        <v>40</v>
      </c>
      <c r="I6164">
        <v>26</v>
      </c>
      <c r="J6164">
        <v>30</v>
      </c>
    </row>
    <row r="6165" spans="1:10" x14ac:dyDescent="0.25">
      <c r="A6165" t="s">
        <v>26</v>
      </c>
      <c r="B6165" t="s">
        <v>11</v>
      </c>
      <c r="C6165" t="s">
        <v>18</v>
      </c>
      <c r="D6165" t="s">
        <v>13</v>
      </c>
      <c r="E6165">
        <v>0.94097222222222199</v>
      </c>
      <c r="F6165">
        <v>0.94776442527461302</v>
      </c>
      <c r="G6165">
        <v>3.29981017112731</v>
      </c>
      <c r="H6165">
        <v>35</v>
      </c>
      <c r="I6165">
        <v>20</v>
      </c>
      <c r="J6165">
        <v>30</v>
      </c>
    </row>
    <row r="6166" spans="1:10" x14ac:dyDescent="0.25">
      <c r="A6166" t="s">
        <v>26</v>
      </c>
      <c r="B6166" t="s">
        <v>11</v>
      </c>
      <c r="C6166" t="s">
        <v>18</v>
      </c>
      <c r="D6166" t="s">
        <v>13</v>
      </c>
      <c r="E6166">
        <v>0.94290123456790098</v>
      </c>
      <c r="F6166">
        <v>0.94883234826986795</v>
      </c>
      <c r="G6166">
        <v>3.2115957736968901</v>
      </c>
      <c r="H6166">
        <v>33</v>
      </c>
      <c r="I6166">
        <v>16</v>
      </c>
      <c r="J6166">
        <v>30</v>
      </c>
    </row>
    <row r="6167" spans="1:10" x14ac:dyDescent="0.25">
      <c r="A6167" t="s">
        <v>26</v>
      </c>
      <c r="B6167" t="s">
        <v>11</v>
      </c>
      <c r="C6167" t="s">
        <v>18</v>
      </c>
      <c r="D6167" t="s">
        <v>13</v>
      </c>
      <c r="E6167">
        <v>0.93055555555555503</v>
      </c>
      <c r="F6167">
        <v>0.94045507139976703</v>
      </c>
      <c r="G6167">
        <v>3.5578720569610498</v>
      </c>
      <c r="H6167">
        <v>35</v>
      </c>
      <c r="I6167">
        <v>22</v>
      </c>
      <c r="J6167">
        <v>30</v>
      </c>
    </row>
    <row r="6168" spans="1:10" x14ac:dyDescent="0.25">
      <c r="A6168" t="s">
        <v>26</v>
      </c>
      <c r="B6168" t="s">
        <v>11</v>
      </c>
      <c r="C6168" t="s">
        <v>18</v>
      </c>
      <c r="D6168" t="s">
        <v>13</v>
      </c>
      <c r="E6168">
        <v>0.93904320987654299</v>
      </c>
      <c r="F6168">
        <v>0.94578102129189801</v>
      </c>
      <c r="G6168">
        <v>3.6233572959899898</v>
      </c>
      <c r="H6168">
        <v>39</v>
      </c>
      <c r="I6168">
        <v>22</v>
      </c>
      <c r="J6168">
        <v>30</v>
      </c>
    </row>
    <row r="6169" spans="1:10" x14ac:dyDescent="0.25">
      <c r="A6169" t="s">
        <v>26</v>
      </c>
      <c r="B6169" t="s">
        <v>11</v>
      </c>
      <c r="C6169" t="s">
        <v>18</v>
      </c>
      <c r="D6169" t="s">
        <v>13</v>
      </c>
      <c r="E6169">
        <v>0.95370370370370305</v>
      </c>
      <c r="F6169">
        <v>0.95806843191415803</v>
      </c>
      <c r="G6169">
        <v>3.69459676742553</v>
      </c>
      <c r="H6169">
        <v>34</v>
      </c>
      <c r="I6169">
        <v>23</v>
      </c>
      <c r="J6169">
        <v>30</v>
      </c>
    </row>
    <row r="6170" spans="1:10" x14ac:dyDescent="0.25">
      <c r="A6170" t="s">
        <v>26</v>
      </c>
      <c r="B6170" t="s">
        <v>11</v>
      </c>
      <c r="C6170" t="s">
        <v>18</v>
      </c>
      <c r="D6170" t="s">
        <v>13</v>
      </c>
      <c r="E6170">
        <v>0.93904320987654299</v>
      </c>
      <c r="F6170">
        <v>0.94784553042391895</v>
      </c>
      <c r="G6170">
        <v>3.7959520816802899</v>
      </c>
      <c r="H6170">
        <v>39</v>
      </c>
      <c r="I6170">
        <v>21</v>
      </c>
      <c r="J6170">
        <v>30</v>
      </c>
    </row>
    <row r="6171" spans="1:10" x14ac:dyDescent="0.25">
      <c r="A6171" t="s">
        <v>26</v>
      </c>
      <c r="B6171" t="s">
        <v>11</v>
      </c>
      <c r="C6171" t="s">
        <v>18</v>
      </c>
      <c r="D6171" t="s">
        <v>13</v>
      </c>
      <c r="E6171">
        <v>0.92399691358024605</v>
      </c>
      <c r="F6171">
        <v>0.93636737316601304</v>
      </c>
      <c r="G6171">
        <v>3.4981226921081499</v>
      </c>
      <c r="H6171">
        <v>32</v>
      </c>
      <c r="I6171">
        <v>17</v>
      </c>
      <c r="J6171">
        <v>30</v>
      </c>
    </row>
    <row r="6172" spans="1:10" x14ac:dyDescent="0.25">
      <c r="A6172" t="s">
        <v>26</v>
      </c>
      <c r="B6172" t="s">
        <v>11</v>
      </c>
      <c r="C6172" t="s">
        <v>18</v>
      </c>
      <c r="D6172" t="s">
        <v>13</v>
      </c>
      <c r="E6172">
        <v>0.94097222222222199</v>
      </c>
      <c r="F6172">
        <v>0.94866767753707404</v>
      </c>
      <c r="G6172">
        <v>3.5619487762451101</v>
      </c>
      <c r="H6172">
        <v>32</v>
      </c>
      <c r="I6172">
        <v>18</v>
      </c>
      <c r="J6172">
        <v>30</v>
      </c>
    </row>
    <row r="6173" spans="1:10" x14ac:dyDescent="0.25">
      <c r="A6173" t="s">
        <v>26</v>
      </c>
      <c r="B6173" t="s">
        <v>11</v>
      </c>
      <c r="C6173" t="s">
        <v>18</v>
      </c>
      <c r="D6173" t="s">
        <v>13</v>
      </c>
      <c r="E6173">
        <v>0.93981481481481399</v>
      </c>
      <c r="F6173">
        <v>0.94637154666319401</v>
      </c>
      <c r="G6173">
        <v>3.42334628105163</v>
      </c>
      <c r="H6173">
        <v>34</v>
      </c>
      <c r="I6173">
        <v>19</v>
      </c>
      <c r="J6173">
        <v>30</v>
      </c>
    </row>
    <row r="6174" spans="1:10" x14ac:dyDescent="0.25">
      <c r="A6174" t="s">
        <v>26</v>
      </c>
      <c r="B6174" t="s">
        <v>11</v>
      </c>
      <c r="C6174" t="s">
        <v>18</v>
      </c>
      <c r="D6174" t="s">
        <v>13</v>
      </c>
      <c r="E6174">
        <v>0.96064814814814803</v>
      </c>
      <c r="F6174">
        <v>0.96315126604147305</v>
      </c>
      <c r="G6174">
        <v>3.6226601600646902</v>
      </c>
      <c r="H6174">
        <v>48</v>
      </c>
      <c r="I6174">
        <v>22</v>
      </c>
      <c r="J6174">
        <v>30</v>
      </c>
    </row>
    <row r="6175" spans="1:10" x14ac:dyDescent="0.25">
      <c r="A6175" t="s">
        <v>26</v>
      </c>
      <c r="B6175" t="s">
        <v>11</v>
      </c>
      <c r="C6175" t="s">
        <v>18</v>
      </c>
      <c r="D6175" t="s">
        <v>13</v>
      </c>
      <c r="E6175">
        <v>0.95833333333333304</v>
      </c>
      <c r="F6175">
        <v>0.96119938179270903</v>
      </c>
      <c r="G6175">
        <v>3.6442408561706499</v>
      </c>
      <c r="H6175">
        <v>40</v>
      </c>
      <c r="I6175">
        <v>22</v>
      </c>
      <c r="J6175">
        <v>30</v>
      </c>
    </row>
    <row r="6176" spans="1:10" x14ac:dyDescent="0.25">
      <c r="A6176" t="s">
        <v>26</v>
      </c>
      <c r="B6176" t="s">
        <v>11</v>
      </c>
      <c r="C6176" t="s">
        <v>18</v>
      </c>
      <c r="D6176" t="s">
        <v>13</v>
      </c>
      <c r="E6176">
        <v>0.936342592592592</v>
      </c>
      <c r="F6176">
        <v>0.94541447980358695</v>
      </c>
      <c r="G6176">
        <v>3.7797317504882799</v>
      </c>
      <c r="H6176">
        <v>29</v>
      </c>
      <c r="I6176">
        <v>16</v>
      </c>
      <c r="J6176">
        <v>30</v>
      </c>
    </row>
    <row r="6177" spans="1:10" x14ac:dyDescent="0.25">
      <c r="A6177" t="s">
        <v>26</v>
      </c>
      <c r="B6177" t="s">
        <v>11</v>
      </c>
      <c r="C6177" t="s">
        <v>18</v>
      </c>
      <c r="D6177" t="s">
        <v>13</v>
      </c>
      <c r="E6177">
        <v>0.94135802469135799</v>
      </c>
      <c r="F6177">
        <v>0.94954276630914203</v>
      </c>
      <c r="G6177">
        <v>3.7333121299743599</v>
      </c>
      <c r="H6177">
        <v>43</v>
      </c>
      <c r="I6177">
        <v>18</v>
      </c>
      <c r="J6177">
        <v>30</v>
      </c>
    </row>
    <row r="6178" spans="1:10" x14ac:dyDescent="0.25">
      <c r="A6178" t="s">
        <v>26</v>
      </c>
      <c r="B6178" t="s">
        <v>11</v>
      </c>
      <c r="C6178" t="s">
        <v>18</v>
      </c>
      <c r="D6178" t="s">
        <v>13</v>
      </c>
      <c r="E6178">
        <v>0.95679012345679004</v>
      </c>
      <c r="F6178">
        <v>0.96038520530701998</v>
      </c>
      <c r="G6178">
        <v>4.3297553062438903</v>
      </c>
      <c r="H6178">
        <v>58</v>
      </c>
      <c r="I6178">
        <v>28</v>
      </c>
      <c r="J6178">
        <v>30</v>
      </c>
    </row>
    <row r="6179" spans="1:10" x14ac:dyDescent="0.25">
      <c r="A6179" t="s">
        <v>26</v>
      </c>
      <c r="B6179" t="s">
        <v>11</v>
      </c>
      <c r="C6179" t="s">
        <v>18</v>
      </c>
      <c r="D6179" t="s">
        <v>13</v>
      </c>
      <c r="E6179">
        <v>0.94174382716049299</v>
      </c>
      <c r="F6179">
        <v>0.94926745955636505</v>
      </c>
      <c r="G6179">
        <v>3.8821542263031001</v>
      </c>
      <c r="H6179">
        <v>34</v>
      </c>
      <c r="I6179">
        <v>18</v>
      </c>
      <c r="J6179">
        <v>30</v>
      </c>
    </row>
    <row r="6180" spans="1:10" x14ac:dyDescent="0.25">
      <c r="A6180" t="s">
        <v>26</v>
      </c>
      <c r="B6180" t="s">
        <v>11</v>
      </c>
      <c r="C6180" t="s">
        <v>18</v>
      </c>
      <c r="D6180" t="s">
        <v>13</v>
      </c>
      <c r="E6180">
        <v>0.937114197530864</v>
      </c>
      <c r="F6180">
        <v>0.94501886568761495</v>
      </c>
      <c r="G6180">
        <v>3.9291360378265301</v>
      </c>
      <c r="H6180">
        <v>33</v>
      </c>
      <c r="I6180">
        <v>18</v>
      </c>
      <c r="J6180">
        <v>30</v>
      </c>
    </row>
    <row r="6181" spans="1:10" x14ac:dyDescent="0.25">
      <c r="A6181" t="s">
        <v>26</v>
      </c>
      <c r="B6181" t="s">
        <v>11</v>
      </c>
      <c r="C6181" t="s">
        <v>18</v>
      </c>
      <c r="D6181" t="s">
        <v>13</v>
      </c>
      <c r="E6181">
        <v>0.93364197530864201</v>
      </c>
      <c r="F6181">
        <v>0.94193834679506105</v>
      </c>
      <c r="G6181">
        <v>4.2171452045440603</v>
      </c>
      <c r="H6181">
        <v>39</v>
      </c>
      <c r="I6181">
        <v>21</v>
      </c>
      <c r="J6181">
        <v>30</v>
      </c>
    </row>
    <row r="6182" spans="1:10" x14ac:dyDescent="0.25">
      <c r="A6182" t="s">
        <v>26</v>
      </c>
      <c r="B6182" t="s">
        <v>11</v>
      </c>
      <c r="C6182" t="s">
        <v>18</v>
      </c>
      <c r="D6182" t="s">
        <v>14</v>
      </c>
      <c r="E6182">
        <v>0.88657407407407396</v>
      </c>
      <c r="F6182">
        <v>0.90745995107881905</v>
      </c>
      <c r="G6182">
        <v>0.60115551948547297</v>
      </c>
      <c r="H6182">
        <v>10</v>
      </c>
      <c r="I6182">
        <v>10</v>
      </c>
      <c r="J6182">
        <v>30</v>
      </c>
    </row>
    <row r="6183" spans="1:10" x14ac:dyDescent="0.25">
      <c r="A6183" t="s">
        <v>26</v>
      </c>
      <c r="B6183" t="s">
        <v>11</v>
      </c>
      <c r="C6183" t="s">
        <v>18</v>
      </c>
      <c r="D6183" t="s">
        <v>14</v>
      </c>
      <c r="E6183">
        <v>0.88001543209876498</v>
      </c>
      <c r="F6183">
        <v>0.90266142532777804</v>
      </c>
      <c r="G6183">
        <v>0.63723731040954501</v>
      </c>
      <c r="H6183">
        <v>10</v>
      </c>
      <c r="I6183">
        <v>11</v>
      </c>
      <c r="J6183">
        <v>30</v>
      </c>
    </row>
    <row r="6184" spans="1:10" x14ac:dyDescent="0.25">
      <c r="A6184" t="s">
        <v>26</v>
      </c>
      <c r="B6184" t="s">
        <v>11</v>
      </c>
      <c r="C6184" t="s">
        <v>18</v>
      </c>
      <c r="D6184" t="s">
        <v>14</v>
      </c>
      <c r="E6184">
        <v>0.88618827160493796</v>
      </c>
      <c r="F6184">
        <v>0.90698364059413705</v>
      </c>
      <c r="G6184">
        <v>0.653816938400268</v>
      </c>
      <c r="H6184">
        <v>11</v>
      </c>
      <c r="I6184">
        <v>11</v>
      </c>
      <c r="J6184">
        <v>30</v>
      </c>
    </row>
    <row r="6185" spans="1:10" x14ac:dyDescent="0.25">
      <c r="A6185" t="s">
        <v>26</v>
      </c>
      <c r="B6185" t="s">
        <v>11</v>
      </c>
      <c r="C6185" t="s">
        <v>18</v>
      </c>
      <c r="D6185" t="s">
        <v>14</v>
      </c>
      <c r="E6185">
        <v>0.88078703703703698</v>
      </c>
      <c r="F6185">
        <v>0.905054623065354</v>
      </c>
      <c r="G6185">
        <v>0.64827442169189398</v>
      </c>
      <c r="H6185">
        <v>9</v>
      </c>
      <c r="I6185">
        <v>9</v>
      </c>
      <c r="J6185">
        <v>30</v>
      </c>
    </row>
    <row r="6186" spans="1:10" x14ac:dyDescent="0.25">
      <c r="A6186" t="s">
        <v>26</v>
      </c>
      <c r="B6186" t="s">
        <v>11</v>
      </c>
      <c r="C6186" t="s">
        <v>18</v>
      </c>
      <c r="D6186" t="s">
        <v>14</v>
      </c>
      <c r="E6186">
        <v>0.89390432098765404</v>
      </c>
      <c r="F6186">
        <v>0.910960310283216</v>
      </c>
      <c r="G6186">
        <v>0.72616434097289995</v>
      </c>
      <c r="H6186">
        <v>12</v>
      </c>
      <c r="I6186">
        <v>13</v>
      </c>
      <c r="J6186">
        <v>30</v>
      </c>
    </row>
    <row r="6187" spans="1:10" x14ac:dyDescent="0.25">
      <c r="A6187" t="s">
        <v>26</v>
      </c>
      <c r="B6187" t="s">
        <v>11</v>
      </c>
      <c r="C6187" t="s">
        <v>18</v>
      </c>
      <c r="D6187" t="s">
        <v>14</v>
      </c>
      <c r="E6187">
        <v>0.87847222222222199</v>
      </c>
      <c r="F6187">
        <v>0.90145075085864201</v>
      </c>
      <c r="G6187">
        <v>0.74531674385070801</v>
      </c>
      <c r="H6187">
        <v>13</v>
      </c>
      <c r="I6187">
        <v>14</v>
      </c>
      <c r="J6187">
        <v>30</v>
      </c>
    </row>
    <row r="6188" spans="1:10" x14ac:dyDescent="0.25">
      <c r="A6188" t="s">
        <v>26</v>
      </c>
      <c r="B6188" t="s">
        <v>11</v>
      </c>
      <c r="C6188" t="s">
        <v>18</v>
      </c>
      <c r="D6188" t="s">
        <v>14</v>
      </c>
      <c r="E6188">
        <v>0.88464506172839497</v>
      </c>
      <c r="F6188">
        <v>0.90513698488244299</v>
      </c>
      <c r="G6188">
        <v>0.77497220039367598</v>
      </c>
      <c r="H6188">
        <v>12</v>
      </c>
      <c r="I6188">
        <v>13</v>
      </c>
      <c r="J6188">
        <v>30</v>
      </c>
    </row>
    <row r="6189" spans="1:10" x14ac:dyDescent="0.25">
      <c r="A6189" t="s">
        <v>26</v>
      </c>
      <c r="B6189" t="s">
        <v>11</v>
      </c>
      <c r="C6189" t="s">
        <v>18</v>
      </c>
      <c r="D6189" t="s">
        <v>14</v>
      </c>
      <c r="E6189">
        <v>0.89004629629629595</v>
      </c>
      <c r="F6189">
        <v>0.90925970532036804</v>
      </c>
      <c r="G6189">
        <v>0.81861972808837802</v>
      </c>
      <c r="H6189">
        <v>13</v>
      </c>
      <c r="I6189">
        <v>14</v>
      </c>
      <c r="J6189">
        <v>30</v>
      </c>
    </row>
    <row r="6190" spans="1:10" x14ac:dyDescent="0.25">
      <c r="A6190" t="s">
        <v>26</v>
      </c>
      <c r="B6190" t="s">
        <v>11</v>
      </c>
      <c r="C6190" t="s">
        <v>18</v>
      </c>
      <c r="D6190" t="s">
        <v>14</v>
      </c>
      <c r="E6190">
        <v>0.87924382716049299</v>
      </c>
      <c r="F6190">
        <v>0.90363874027580804</v>
      </c>
      <c r="G6190">
        <v>0.77294039726257302</v>
      </c>
      <c r="H6190">
        <v>11</v>
      </c>
      <c r="I6190">
        <v>11</v>
      </c>
      <c r="J6190">
        <v>30</v>
      </c>
    </row>
    <row r="6191" spans="1:10" x14ac:dyDescent="0.25">
      <c r="A6191" t="s">
        <v>26</v>
      </c>
      <c r="B6191" t="s">
        <v>11</v>
      </c>
      <c r="C6191" t="s">
        <v>18</v>
      </c>
      <c r="D6191" t="s">
        <v>14</v>
      </c>
      <c r="E6191">
        <v>0.89236111111111105</v>
      </c>
      <c r="F6191">
        <v>0.91178099633113296</v>
      </c>
      <c r="G6191">
        <v>0.77594447135925204</v>
      </c>
      <c r="H6191">
        <v>11</v>
      </c>
      <c r="I6191">
        <v>11</v>
      </c>
      <c r="J6191">
        <v>30</v>
      </c>
    </row>
    <row r="6192" spans="1:10" x14ac:dyDescent="0.25">
      <c r="A6192" t="s">
        <v>26</v>
      </c>
      <c r="B6192" t="s">
        <v>11</v>
      </c>
      <c r="C6192" t="s">
        <v>18</v>
      </c>
      <c r="D6192" t="s">
        <v>14</v>
      </c>
      <c r="E6192">
        <v>0.87692901234567899</v>
      </c>
      <c r="F6192">
        <v>0.90180471742766</v>
      </c>
      <c r="G6192">
        <v>0.78095817565917902</v>
      </c>
      <c r="H6192">
        <v>10</v>
      </c>
      <c r="I6192">
        <v>11</v>
      </c>
      <c r="J6192">
        <v>30</v>
      </c>
    </row>
    <row r="6193" spans="1:10" x14ac:dyDescent="0.25">
      <c r="A6193" t="s">
        <v>26</v>
      </c>
      <c r="B6193" t="s">
        <v>11</v>
      </c>
      <c r="C6193" t="s">
        <v>18</v>
      </c>
      <c r="D6193" t="s">
        <v>14</v>
      </c>
      <c r="E6193">
        <v>0.87808641975308599</v>
      </c>
      <c r="F6193">
        <v>0.901711787868129</v>
      </c>
      <c r="G6193">
        <v>0.77694678306579501</v>
      </c>
      <c r="H6193">
        <v>11</v>
      </c>
      <c r="I6193">
        <v>11</v>
      </c>
      <c r="J6193">
        <v>30</v>
      </c>
    </row>
    <row r="6194" spans="1:10" x14ac:dyDescent="0.25">
      <c r="A6194" t="s">
        <v>26</v>
      </c>
      <c r="B6194" t="s">
        <v>11</v>
      </c>
      <c r="C6194" t="s">
        <v>18</v>
      </c>
      <c r="D6194" t="s">
        <v>14</v>
      </c>
      <c r="E6194">
        <v>0.86072530864197505</v>
      </c>
      <c r="F6194">
        <v>0.89183273109888195</v>
      </c>
      <c r="G6194">
        <v>0.55597066879272405</v>
      </c>
      <c r="H6194">
        <v>5</v>
      </c>
      <c r="I6194">
        <v>5</v>
      </c>
      <c r="J6194">
        <v>30</v>
      </c>
    </row>
    <row r="6195" spans="1:10" x14ac:dyDescent="0.25">
      <c r="A6195" t="s">
        <v>26</v>
      </c>
      <c r="B6195" t="s">
        <v>11</v>
      </c>
      <c r="C6195" t="s">
        <v>18</v>
      </c>
      <c r="D6195" t="s">
        <v>14</v>
      </c>
      <c r="E6195">
        <v>0.88271604938271597</v>
      </c>
      <c r="F6195">
        <v>0.903869782838849</v>
      </c>
      <c r="G6195">
        <v>0.78142142295837402</v>
      </c>
      <c r="H6195">
        <v>11</v>
      </c>
      <c r="I6195">
        <v>11</v>
      </c>
      <c r="J6195">
        <v>30</v>
      </c>
    </row>
    <row r="6196" spans="1:10" x14ac:dyDescent="0.25">
      <c r="A6196" t="s">
        <v>26</v>
      </c>
      <c r="B6196" t="s">
        <v>11</v>
      </c>
      <c r="C6196" t="s">
        <v>18</v>
      </c>
      <c r="D6196" t="s">
        <v>14</v>
      </c>
      <c r="E6196">
        <v>0.875</v>
      </c>
      <c r="F6196">
        <v>0.90041025529294005</v>
      </c>
      <c r="G6196">
        <v>0.70053482055663996</v>
      </c>
      <c r="H6196">
        <v>10</v>
      </c>
      <c r="I6196">
        <v>11</v>
      </c>
      <c r="J6196">
        <v>30</v>
      </c>
    </row>
    <row r="6197" spans="1:10" x14ac:dyDescent="0.25">
      <c r="A6197" t="s">
        <v>26</v>
      </c>
      <c r="B6197" t="s">
        <v>11</v>
      </c>
      <c r="C6197" t="s">
        <v>18</v>
      </c>
      <c r="D6197" t="s">
        <v>14</v>
      </c>
      <c r="E6197">
        <v>0.88503086419752997</v>
      </c>
      <c r="F6197">
        <v>0.90644481176296199</v>
      </c>
      <c r="G6197">
        <v>0.82455611228942804</v>
      </c>
      <c r="H6197">
        <v>11</v>
      </c>
      <c r="I6197">
        <v>11</v>
      </c>
      <c r="J6197">
        <v>30</v>
      </c>
    </row>
    <row r="6198" spans="1:10" x14ac:dyDescent="0.25">
      <c r="A6198" t="s">
        <v>26</v>
      </c>
      <c r="B6198" t="s">
        <v>11</v>
      </c>
      <c r="C6198" t="s">
        <v>18</v>
      </c>
      <c r="D6198" t="s">
        <v>14</v>
      </c>
      <c r="E6198">
        <v>0.88850308641975295</v>
      </c>
      <c r="F6198">
        <v>0.90844384837827896</v>
      </c>
      <c r="G6198">
        <v>0.79441237449645996</v>
      </c>
      <c r="H6198">
        <v>11</v>
      </c>
      <c r="I6198">
        <v>11</v>
      </c>
      <c r="J6198">
        <v>30</v>
      </c>
    </row>
    <row r="6199" spans="1:10" x14ac:dyDescent="0.25">
      <c r="A6199" t="s">
        <v>26</v>
      </c>
      <c r="B6199" t="s">
        <v>11</v>
      </c>
      <c r="C6199" t="s">
        <v>18</v>
      </c>
      <c r="D6199" t="s">
        <v>14</v>
      </c>
      <c r="E6199">
        <v>0.88271604938271597</v>
      </c>
      <c r="F6199">
        <v>0.90465299875717298</v>
      </c>
      <c r="G6199">
        <v>0.79139876365661599</v>
      </c>
      <c r="H6199">
        <v>13</v>
      </c>
      <c r="I6199">
        <v>14</v>
      </c>
      <c r="J6199">
        <v>30</v>
      </c>
    </row>
    <row r="6200" spans="1:10" x14ac:dyDescent="0.25">
      <c r="A6200" t="s">
        <v>26</v>
      </c>
      <c r="B6200" t="s">
        <v>11</v>
      </c>
      <c r="C6200" t="s">
        <v>18</v>
      </c>
      <c r="D6200" t="s">
        <v>14</v>
      </c>
      <c r="E6200">
        <v>0.873842592592592</v>
      </c>
      <c r="F6200">
        <v>0.90003563636550898</v>
      </c>
      <c r="G6200">
        <v>0.575955390930175</v>
      </c>
      <c r="H6200">
        <v>8</v>
      </c>
      <c r="I6200">
        <v>8</v>
      </c>
      <c r="J6200">
        <v>30</v>
      </c>
    </row>
    <row r="6201" spans="1:10" x14ac:dyDescent="0.25">
      <c r="A6201" t="s">
        <v>26</v>
      </c>
      <c r="B6201" t="s">
        <v>11</v>
      </c>
      <c r="C6201" t="s">
        <v>18</v>
      </c>
      <c r="D6201" t="s">
        <v>14</v>
      </c>
      <c r="E6201">
        <v>0.88078703703703698</v>
      </c>
      <c r="F6201">
        <v>0.90378446242588495</v>
      </c>
      <c r="G6201">
        <v>0.72356104850768999</v>
      </c>
      <c r="H6201">
        <v>11</v>
      </c>
      <c r="I6201">
        <v>11</v>
      </c>
      <c r="J6201">
        <v>30</v>
      </c>
    </row>
    <row r="6202" spans="1:10" x14ac:dyDescent="0.25">
      <c r="A6202" t="s">
        <v>26</v>
      </c>
      <c r="B6202" t="s">
        <v>11</v>
      </c>
      <c r="C6202" t="s">
        <v>18</v>
      </c>
      <c r="D6202" t="s">
        <v>14</v>
      </c>
      <c r="E6202">
        <v>0.87808641975308599</v>
      </c>
      <c r="F6202">
        <v>0.90176239773236799</v>
      </c>
      <c r="G6202">
        <v>0.74773097038268999</v>
      </c>
      <c r="H6202">
        <v>11</v>
      </c>
      <c r="I6202">
        <v>11</v>
      </c>
      <c r="J6202">
        <v>30</v>
      </c>
    </row>
    <row r="6203" spans="1:10" x14ac:dyDescent="0.25">
      <c r="A6203" t="s">
        <v>26</v>
      </c>
      <c r="B6203" t="s">
        <v>11</v>
      </c>
      <c r="C6203" t="s">
        <v>18</v>
      </c>
      <c r="D6203" t="s">
        <v>14</v>
      </c>
      <c r="E6203">
        <v>0.88580246913580196</v>
      </c>
      <c r="F6203">
        <v>0.90713317666647297</v>
      </c>
      <c r="G6203">
        <v>0.79343962669372503</v>
      </c>
      <c r="H6203">
        <v>10</v>
      </c>
      <c r="I6203">
        <v>10</v>
      </c>
      <c r="J6203">
        <v>30</v>
      </c>
    </row>
    <row r="6204" spans="1:10" x14ac:dyDescent="0.25">
      <c r="A6204" t="s">
        <v>26</v>
      </c>
      <c r="B6204" t="s">
        <v>11</v>
      </c>
      <c r="C6204" t="s">
        <v>18</v>
      </c>
      <c r="D6204" t="s">
        <v>14</v>
      </c>
      <c r="E6204">
        <v>0.88734567901234496</v>
      </c>
      <c r="F6204">
        <v>0.90743179559945797</v>
      </c>
      <c r="G6204">
        <v>0.72112464904785101</v>
      </c>
      <c r="H6204">
        <v>11</v>
      </c>
      <c r="I6204">
        <v>11</v>
      </c>
      <c r="J6204">
        <v>30</v>
      </c>
    </row>
    <row r="6205" spans="1:10" x14ac:dyDescent="0.25">
      <c r="A6205" t="s">
        <v>26</v>
      </c>
      <c r="B6205" t="s">
        <v>11</v>
      </c>
      <c r="C6205" t="s">
        <v>18</v>
      </c>
      <c r="D6205" t="s">
        <v>14</v>
      </c>
      <c r="E6205">
        <v>0.87847222222222199</v>
      </c>
      <c r="F6205">
        <v>0.90224973344255299</v>
      </c>
      <c r="G6205">
        <v>0.66582202911376898</v>
      </c>
      <c r="H6205">
        <v>10</v>
      </c>
      <c r="I6205">
        <v>11</v>
      </c>
      <c r="J6205">
        <v>30</v>
      </c>
    </row>
    <row r="6206" spans="1:10" x14ac:dyDescent="0.25">
      <c r="A6206" t="s">
        <v>26</v>
      </c>
      <c r="B6206" t="s">
        <v>11</v>
      </c>
      <c r="C6206" t="s">
        <v>18</v>
      </c>
      <c r="D6206" t="s">
        <v>14</v>
      </c>
      <c r="E6206">
        <v>0.87770061728394999</v>
      </c>
      <c r="F6206">
        <v>0.90179789350431905</v>
      </c>
      <c r="G6206">
        <v>0.59761261940002397</v>
      </c>
      <c r="H6206">
        <v>10</v>
      </c>
      <c r="I6206">
        <v>10</v>
      </c>
      <c r="J6206">
        <v>30</v>
      </c>
    </row>
    <row r="6207" spans="1:10" x14ac:dyDescent="0.25">
      <c r="A6207" t="s">
        <v>26</v>
      </c>
      <c r="B6207" t="s">
        <v>11</v>
      </c>
      <c r="C6207" t="s">
        <v>18</v>
      </c>
      <c r="D6207" t="s">
        <v>14</v>
      </c>
      <c r="E6207">
        <v>0.88310185185185097</v>
      </c>
      <c r="F6207">
        <v>0.90546571888040095</v>
      </c>
      <c r="G6207">
        <v>0.64274239540100098</v>
      </c>
      <c r="H6207">
        <v>10</v>
      </c>
      <c r="I6207">
        <v>10</v>
      </c>
      <c r="J6207">
        <v>30</v>
      </c>
    </row>
    <row r="6208" spans="1:10" x14ac:dyDescent="0.25">
      <c r="A6208" t="s">
        <v>26</v>
      </c>
      <c r="B6208" t="s">
        <v>11</v>
      </c>
      <c r="C6208" t="s">
        <v>18</v>
      </c>
      <c r="D6208" t="s">
        <v>14</v>
      </c>
      <c r="E6208">
        <v>0.88233024691357997</v>
      </c>
      <c r="F6208">
        <v>0.905393000911766</v>
      </c>
      <c r="G6208">
        <v>0.59674763679504395</v>
      </c>
      <c r="H6208">
        <v>11</v>
      </c>
      <c r="I6208">
        <v>11</v>
      </c>
      <c r="J6208">
        <v>30</v>
      </c>
    </row>
    <row r="6209" spans="1:10" x14ac:dyDescent="0.25">
      <c r="A6209" t="s">
        <v>26</v>
      </c>
      <c r="B6209" t="s">
        <v>11</v>
      </c>
      <c r="C6209" t="s">
        <v>18</v>
      </c>
      <c r="D6209" t="s">
        <v>14</v>
      </c>
      <c r="E6209">
        <v>0.89197530864197505</v>
      </c>
      <c r="F6209">
        <v>0.91170038057746705</v>
      </c>
      <c r="G6209">
        <v>0.77799892425537098</v>
      </c>
      <c r="H6209">
        <v>11</v>
      </c>
      <c r="I6209">
        <v>10</v>
      </c>
      <c r="J6209">
        <v>30</v>
      </c>
    </row>
    <row r="6210" spans="1:10" x14ac:dyDescent="0.25">
      <c r="A6210" t="s">
        <v>26</v>
      </c>
      <c r="B6210" t="s">
        <v>11</v>
      </c>
      <c r="C6210" t="s">
        <v>18</v>
      </c>
      <c r="D6210" t="s">
        <v>14</v>
      </c>
      <c r="E6210">
        <v>0.89814814814814803</v>
      </c>
      <c r="F6210">
        <v>0.91515702242993702</v>
      </c>
      <c r="G6210">
        <v>0.67002868652343694</v>
      </c>
      <c r="H6210">
        <v>11</v>
      </c>
      <c r="I6210">
        <v>10</v>
      </c>
      <c r="J6210">
        <v>30</v>
      </c>
    </row>
    <row r="6211" spans="1:10" x14ac:dyDescent="0.25">
      <c r="A6211" t="s">
        <v>26</v>
      </c>
      <c r="B6211" t="s">
        <v>11</v>
      </c>
      <c r="C6211" t="s">
        <v>18</v>
      </c>
      <c r="D6211" t="s">
        <v>14</v>
      </c>
      <c r="E6211">
        <v>0.86921296296296202</v>
      </c>
      <c r="F6211">
        <v>0.89552439938888595</v>
      </c>
      <c r="G6211">
        <v>0.64087891578674305</v>
      </c>
      <c r="H6211">
        <v>11</v>
      </c>
      <c r="I6211">
        <v>11</v>
      </c>
      <c r="J6211">
        <v>30</v>
      </c>
    </row>
    <row r="6212" spans="1:10" x14ac:dyDescent="0.25">
      <c r="A6212" t="s">
        <v>26</v>
      </c>
      <c r="B6212" t="s">
        <v>11</v>
      </c>
      <c r="C6212" t="s">
        <v>18</v>
      </c>
      <c r="D6212" t="s">
        <v>15</v>
      </c>
      <c r="E6212">
        <v>0</v>
      </c>
      <c r="F6212">
        <v>0.75</v>
      </c>
      <c r="G6212">
        <v>0.11434125900268501</v>
      </c>
      <c r="H6212">
        <v>0</v>
      </c>
      <c r="I6212">
        <v>0</v>
      </c>
      <c r="J6212">
        <v>30</v>
      </c>
    </row>
    <row r="6213" spans="1:10" x14ac:dyDescent="0.25">
      <c r="A6213" t="s">
        <v>26</v>
      </c>
      <c r="B6213" t="s">
        <v>11</v>
      </c>
      <c r="C6213" t="s">
        <v>18</v>
      </c>
      <c r="D6213" t="s">
        <v>15</v>
      </c>
      <c r="E6213">
        <v>0</v>
      </c>
      <c r="F6213">
        <v>0.75</v>
      </c>
      <c r="G6213">
        <v>0.13428950309753401</v>
      </c>
      <c r="H6213">
        <v>0</v>
      </c>
      <c r="I6213">
        <v>0</v>
      </c>
      <c r="J6213">
        <v>30</v>
      </c>
    </row>
    <row r="6214" spans="1:10" x14ac:dyDescent="0.25">
      <c r="A6214" t="s">
        <v>26</v>
      </c>
      <c r="B6214" t="s">
        <v>11</v>
      </c>
      <c r="C6214" t="s">
        <v>18</v>
      </c>
      <c r="D6214" t="s">
        <v>15</v>
      </c>
      <c r="E6214">
        <v>0</v>
      </c>
      <c r="F6214">
        <v>0.75</v>
      </c>
      <c r="G6214">
        <v>0.134362697601318</v>
      </c>
      <c r="H6214">
        <v>0</v>
      </c>
      <c r="I6214">
        <v>0</v>
      </c>
      <c r="J6214">
        <v>30</v>
      </c>
    </row>
    <row r="6215" spans="1:10" x14ac:dyDescent="0.25">
      <c r="A6215" t="s">
        <v>26</v>
      </c>
      <c r="B6215" t="s">
        <v>11</v>
      </c>
      <c r="C6215" t="s">
        <v>18</v>
      </c>
      <c r="D6215" t="s">
        <v>15</v>
      </c>
      <c r="E6215">
        <v>0</v>
      </c>
      <c r="F6215">
        <v>0.75</v>
      </c>
      <c r="G6215">
        <v>0.13137316703796301</v>
      </c>
      <c r="H6215">
        <v>0</v>
      </c>
      <c r="I6215">
        <v>0</v>
      </c>
      <c r="J6215">
        <v>30</v>
      </c>
    </row>
    <row r="6216" spans="1:10" x14ac:dyDescent="0.25">
      <c r="A6216" t="s">
        <v>26</v>
      </c>
      <c r="B6216" t="s">
        <v>11</v>
      </c>
      <c r="C6216" t="s">
        <v>18</v>
      </c>
      <c r="D6216" t="s">
        <v>15</v>
      </c>
      <c r="E6216">
        <v>0</v>
      </c>
      <c r="F6216">
        <v>0.75</v>
      </c>
      <c r="G6216">
        <v>0.119088649749755</v>
      </c>
      <c r="H6216">
        <v>0</v>
      </c>
      <c r="I6216">
        <v>0</v>
      </c>
      <c r="J6216">
        <v>30</v>
      </c>
    </row>
    <row r="6217" spans="1:10" x14ac:dyDescent="0.25">
      <c r="A6217" t="s">
        <v>26</v>
      </c>
      <c r="B6217" t="s">
        <v>11</v>
      </c>
      <c r="C6217" t="s">
        <v>18</v>
      </c>
      <c r="D6217" t="s">
        <v>15</v>
      </c>
      <c r="E6217">
        <v>0</v>
      </c>
      <c r="F6217">
        <v>0.75</v>
      </c>
      <c r="G6217">
        <v>0.121527671813964</v>
      </c>
      <c r="H6217">
        <v>0</v>
      </c>
      <c r="I6217">
        <v>0</v>
      </c>
      <c r="J6217">
        <v>30</v>
      </c>
    </row>
    <row r="6218" spans="1:10" x14ac:dyDescent="0.25">
      <c r="A6218" t="s">
        <v>26</v>
      </c>
      <c r="B6218" t="s">
        <v>11</v>
      </c>
      <c r="C6218" t="s">
        <v>18</v>
      </c>
      <c r="D6218" t="s">
        <v>15</v>
      </c>
      <c r="E6218">
        <v>0</v>
      </c>
      <c r="F6218">
        <v>0.75</v>
      </c>
      <c r="G6218">
        <v>0.15830373764038</v>
      </c>
      <c r="H6218">
        <v>0</v>
      </c>
      <c r="I6218">
        <v>0</v>
      </c>
      <c r="J6218">
        <v>30</v>
      </c>
    </row>
    <row r="6219" spans="1:10" x14ac:dyDescent="0.25">
      <c r="A6219" t="s">
        <v>26</v>
      </c>
      <c r="B6219" t="s">
        <v>11</v>
      </c>
      <c r="C6219" t="s">
        <v>18</v>
      </c>
      <c r="D6219" t="s">
        <v>15</v>
      </c>
      <c r="E6219">
        <v>0</v>
      </c>
      <c r="F6219">
        <v>0.75</v>
      </c>
      <c r="G6219">
        <v>0.13406682014465299</v>
      </c>
      <c r="H6219">
        <v>0</v>
      </c>
      <c r="I6219">
        <v>0</v>
      </c>
      <c r="J6219">
        <v>30</v>
      </c>
    </row>
    <row r="6220" spans="1:10" x14ac:dyDescent="0.25">
      <c r="A6220" t="s">
        <v>26</v>
      </c>
      <c r="B6220" t="s">
        <v>11</v>
      </c>
      <c r="C6220" t="s">
        <v>18</v>
      </c>
      <c r="D6220" t="s">
        <v>15</v>
      </c>
      <c r="E6220">
        <v>0</v>
      </c>
      <c r="F6220">
        <v>0.75</v>
      </c>
      <c r="G6220">
        <v>0.266345024108886</v>
      </c>
      <c r="H6220">
        <v>1</v>
      </c>
      <c r="I6220">
        <v>8</v>
      </c>
      <c r="J6220">
        <v>30</v>
      </c>
    </row>
    <row r="6221" spans="1:10" x14ac:dyDescent="0.25">
      <c r="A6221" t="s">
        <v>26</v>
      </c>
      <c r="B6221" t="s">
        <v>11</v>
      </c>
      <c r="C6221" t="s">
        <v>18</v>
      </c>
      <c r="D6221" t="s">
        <v>15</v>
      </c>
      <c r="E6221">
        <v>0</v>
      </c>
      <c r="F6221">
        <v>0.75</v>
      </c>
      <c r="G6221">
        <v>0.17734146118163999</v>
      </c>
      <c r="H6221">
        <v>0</v>
      </c>
      <c r="I6221">
        <v>0</v>
      </c>
      <c r="J6221">
        <v>30</v>
      </c>
    </row>
    <row r="6222" spans="1:10" x14ac:dyDescent="0.25">
      <c r="A6222" t="s">
        <v>26</v>
      </c>
      <c r="B6222" t="s">
        <v>11</v>
      </c>
      <c r="C6222" t="s">
        <v>18</v>
      </c>
      <c r="D6222" t="s">
        <v>15</v>
      </c>
      <c r="E6222">
        <v>0</v>
      </c>
      <c r="F6222">
        <v>0.74995949074073998</v>
      </c>
      <c r="G6222">
        <v>0.325547695159912</v>
      </c>
      <c r="H6222">
        <v>1</v>
      </c>
      <c r="I6222">
        <v>5</v>
      </c>
      <c r="J6222">
        <v>30</v>
      </c>
    </row>
    <row r="6223" spans="1:10" x14ac:dyDescent="0.25">
      <c r="A6223" t="s">
        <v>26</v>
      </c>
      <c r="B6223" t="s">
        <v>11</v>
      </c>
      <c r="C6223" t="s">
        <v>18</v>
      </c>
      <c r="D6223" t="s">
        <v>15</v>
      </c>
      <c r="E6223">
        <v>0</v>
      </c>
      <c r="F6223">
        <v>0.75</v>
      </c>
      <c r="G6223">
        <v>0.18234300613403301</v>
      </c>
      <c r="H6223">
        <v>0</v>
      </c>
      <c r="I6223">
        <v>0</v>
      </c>
      <c r="J6223">
        <v>30</v>
      </c>
    </row>
    <row r="6224" spans="1:10" x14ac:dyDescent="0.25">
      <c r="A6224" t="s">
        <v>26</v>
      </c>
      <c r="B6224" t="s">
        <v>11</v>
      </c>
      <c r="C6224" t="s">
        <v>18</v>
      </c>
      <c r="D6224" t="s">
        <v>15</v>
      </c>
      <c r="E6224">
        <v>0</v>
      </c>
      <c r="F6224">
        <v>0.75</v>
      </c>
      <c r="G6224">
        <v>0.47702741622924799</v>
      </c>
      <c r="H6224">
        <v>1</v>
      </c>
      <c r="I6224">
        <v>8</v>
      </c>
      <c r="J6224">
        <v>30</v>
      </c>
    </row>
    <row r="6225" spans="1:10" x14ac:dyDescent="0.25">
      <c r="A6225" t="s">
        <v>26</v>
      </c>
      <c r="B6225" t="s">
        <v>11</v>
      </c>
      <c r="C6225" t="s">
        <v>18</v>
      </c>
      <c r="D6225" t="s">
        <v>15</v>
      </c>
      <c r="E6225">
        <v>0</v>
      </c>
      <c r="F6225">
        <v>0.75</v>
      </c>
      <c r="G6225">
        <v>0.37533617019653298</v>
      </c>
      <c r="H6225">
        <v>1</v>
      </c>
      <c r="I6225">
        <v>9</v>
      </c>
      <c r="J6225">
        <v>30</v>
      </c>
    </row>
    <row r="6226" spans="1:10" x14ac:dyDescent="0.25">
      <c r="A6226" t="s">
        <v>26</v>
      </c>
      <c r="B6226" t="s">
        <v>11</v>
      </c>
      <c r="C6226" t="s">
        <v>18</v>
      </c>
      <c r="D6226" t="s">
        <v>15</v>
      </c>
      <c r="E6226">
        <v>0</v>
      </c>
      <c r="F6226">
        <v>0.75</v>
      </c>
      <c r="G6226">
        <v>0.21171474456787101</v>
      </c>
      <c r="H6226">
        <v>0</v>
      </c>
      <c r="I6226">
        <v>0</v>
      </c>
      <c r="J6226">
        <v>30</v>
      </c>
    </row>
    <row r="6227" spans="1:10" x14ac:dyDescent="0.25">
      <c r="A6227" t="s">
        <v>26</v>
      </c>
      <c r="B6227" t="s">
        <v>11</v>
      </c>
      <c r="C6227" t="s">
        <v>18</v>
      </c>
      <c r="D6227" t="s">
        <v>15</v>
      </c>
      <c r="E6227">
        <v>0</v>
      </c>
      <c r="F6227">
        <v>0.75</v>
      </c>
      <c r="G6227">
        <v>0.172977924346923</v>
      </c>
      <c r="H6227">
        <v>0</v>
      </c>
      <c r="I6227">
        <v>0</v>
      </c>
      <c r="J6227">
        <v>30</v>
      </c>
    </row>
    <row r="6228" spans="1:10" x14ac:dyDescent="0.25">
      <c r="A6228" t="s">
        <v>26</v>
      </c>
      <c r="B6228" t="s">
        <v>11</v>
      </c>
      <c r="C6228" t="s">
        <v>18</v>
      </c>
      <c r="D6228" t="s">
        <v>15</v>
      </c>
      <c r="E6228">
        <v>0</v>
      </c>
      <c r="F6228">
        <v>0.75</v>
      </c>
      <c r="G6228">
        <v>0.14240074157714799</v>
      </c>
      <c r="H6228">
        <v>0</v>
      </c>
      <c r="I6228">
        <v>0</v>
      </c>
      <c r="J6228">
        <v>30</v>
      </c>
    </row>
    <row r="6229" spans="1:10" x14ac:dyDescent="0.25">
      <c r="A6229" t="s">
        <v>26</v>
      </c>
      <c r="B6229" t="s">
        <v>11</v>
      </c>
      <c r="C6229" t="s">
        <v>18</v>
      </c>
      <c r="D6229" t="s">
        <v>15</v>
      </c>
      <c r="E6229">
        <v>0</v>
      </c>
      <c r="F6229">
        <v>0.75</v>
      </c>
      <c r="G6229">
        <v>0.34326171875</v>
      </c>
      <c r="H6229">
        <v>1</v>
      </c>
      <c r="I6229">
        <v>7</v>
      </c>
      <c r="J6229">
        <v>30</v>
      </c>
    </row>
    <row r="6230" spans="1:10" x14ac:dyDescent="0.25">
      <c r="A6230" t="s">
        <v>26</v>
      </c>
      <c r="B6230" t="s">
        <v>11</v>
      </c>
      <c r="C6230" t="s">
        <v>18</v>
      </c>
      <c r="D6230" t="s">
        <v>15</v>
      </c>
      <c r="E6230">
        <v>0</v>
      </c>
      <c r="F6230">
        <v>0.75</v>
      </c>
      <c r="G6230">
        <v>0.31266951560974099</v>
      </c>
      <c r="H6230">
        <v>1</v>
      </c>
      <c r="I6230">
        <v>8</v>
      </c>
      <c r="J6230">
        <v>30</v>
      </c>
    </row>
    <row r="6231" spans="1:10" x14ac:dyDescent="0.25">
      <c r="A6231" t="s">
        <v>26</v>
      </c>
      <c r="B6231" t="s">
        <v>11</v>
      </c>
      <c r="C6231" t="s">
        <v>18</v>
      </c>
      <c r="D6231" t="s">
        <v>15</v>
      </c>
      <c r="E6231">
        <v>0</v>
      </c>
      <c r="F6231">
        <v>0.74995949074073998</v>
      </c>
      <c r="G6231">
        <v>0.488468408584594</v>
      </c>
      <c r="H6231">
        <v>2</v>
      </c>
      <c r="I6231">
        <v>12</v>
      </c>
      <c r="J6231">
        <v>30</v>
      </c>
    </row>
    <row r="6232" spans="1:10" x14ac:dyDescent="0.25">
      <c r="A6232" t="s">
        <v>26</v>
      </c>
      <c r="B6232" t="s">
        <v>11</v>
      </c>
      <c r="C6232" t="s">
        <v>18</v>
      </c>
      <c r="D6232" t="s">
        <v>15</v>
      </c>
      <c r="E6232">
        <v>0</v>
      </c>
      <c r="F6232">
        <v>0.75</v>
      </c>
      <c r="G6232">
        <v>0.41414356231689398</v>
      </c>
      <c r="H6232">
        <v>1</v>
      </c>
      <c r="I6232">
        <v>7</v>
      </c>
      <c r="J6232">
        <v>30</v>
      </c>
    </row>
    <row r="6233" spans="1:10" x14ac:dyDescent="0.25">
      <c r="A6233" t="s">
        <v>26</v>
      </c>
      <c r="B6233" t="s">
        <v>11</v>
      </c>
      <c r="C6233" t="s">
        <v>18</v>
      </c>
      <c r="D6233" t="s">
        <v>15</v>
      </c>
      <c r="E6233">
        <v>0</v>
      </c>
      <c r="F6233">
        <v>0.74994976112395795</v>
      </c>
      <c r="G6233">
        <v>0.59747982025146396</v>
      </c>
      <c r="H6233">
        <v>3</v>
      </c>
      <c r="I6233">
        <v>14</v>
      </c>
      <c r="J6233">
        <v>30</v>
      </c>
    </row>
    <row r="6234" spans="1:10" x14ac:dyDescent="0.25">
      <c r="A6234" t="s">
        <v>26</v>
      </c>
      <c r="B6234" t="s">
        <v>11</v>
      </c>
      <c r="C6234" t="s">
        <v>18</v>
      </c>
      <c r="D6234" t="s">
        <v>15</v>
      </c>
      <c r="E6234">
        <v>0</v>
      </c>
      <c r="F6234">
        <v>0.75</v>
      </c>
      <c r="G6234">
        <v>0.33926367759704501</v>
      </c>
      <c r="H6234">
        <v>1</v>
      </c>
      <c r="I6234">
        <v>8</v>
      </c>
      <c r="J6234">
        <v>30</v>
      </c>
    </row>
    <row r="6235" spans="1:10" x14ac:dyDescent="0.25">
      <c r="A6235" t="s">
        <v>26</v>
      </c>
      <c r="B6235" t="s">
        <v>11</v>
      </c>
      <c r="C6235" t="s">
        <v>18</v>
      </c>
      <c r="D6235" t="s">
        <v>15</v>
      </c>
      <c r="E6235">
        <v>0</v>
      </c>
      <c r="F6235">
        <v>0.75</v>
      </c>
      <c r="G6235">
        <v>0.28754687309265098</v>
      </c>
      <c r="H6235">
        <v>1</v>
      </c>
      <c r="I6235">
        <v>8</v>
      </c>
      <c r="J6235">
        <v>30</v>
      </c>
    </row>
    <row r="6236" spans="1:10" x14ac:dyDescent="0.25">
      <c r="A6236" t="s">
        <v>26</v>
      </c>
      <c r="B6236" t="s">
        <v>11</v>
      </c>
      <c r="C6236" t="s">
        <v>18</v>
      </c>
      <c r="D6236" t="s">
        <v>15</v>
      </c>
      <c r="E6236">
        <v>0</v>
      </c>
      <c r="F6236">
        <v>0.75</v>
      </c>
      <c r="G6236">
        <v>0.30204939842224099</v>
      </c>
      <c r="H6236">
        <v>1</v>
      </c>
      <c r="I6236">
        <v>9</v>
      </c>
      <c r="J6236">
        <v>30</v>
      </c>
    </row>
    <row r="6237" spans="1:10" x14ac:dyDescent="0.25">
      <c r="A6237" t="s">
        <v>26</v>
      </c>
      <c r="B6237" t="s">
        <v>11</v>
      </c>
      <c r="C6237" t="s">
        <v>18</v>
      </c>
      <c r="D6237" t="s">
        <v>15</v>
      </c>
      <c r="E6237">
        <v>0</v>
      </c>
      <c r="F6237">
        <v>0.75</v>
      </c>
      <c r="G6237">
        <v>0.81317019462585405</v>
      </c>
      <c r="H6237">
        <v>4</v>
      </c>
      <c r="I6237">
        <v>15</v>
      </c>
      <c r="J6237">
        <v>30</v>
      </c>
    </row>
    <row r="6238" spans="1:10" x14ac:dyDescent="0.25">
      <c r="A6238" t="s">
        <v>26</v>
      </c>
      <c r="B6238" t="s">
        <v>11</v>
      </c>
      <c r="C6238" t="s">
        <v>18</v>
      </c>
      <c r="D6238" t="s">
        <v>15</v>
      </c>
      <c r="E6238">
        <v>0</v>
      </c>
      <c r="F6238">
        <v>0.75</v>
      </c>
      <c r="G6238">
        <v>0.59034109115600497</v>
      </c>
      <c r="H6238">
        <v>3</v>
      </c>
      <c r="I6238">
        <v>10</v>
      </c>
      <c r="J6238">
        <v>30</v>
      </c>
    </row>
    <row r="6239" spans="1:10" x14ac:dyDescent="0.25">
      <c r="A6239" t="s">
        <v>26</v>
      </c>
      <c r="B6239" t="s">
        <v>11</v>
      </c>
      <c r="C6239" t="s">
        <v>18</v>
      </c>
      <c r="D6239" t="s">
        <v>15</v>
      </c>
      <c r="E6239">
        <v>0</v>
      </c>
      <c r="F6239">
        <v>0.75</v>
      </c>
      <c r="G6239">
        <v>0.59048962593078602</v>
      </c>
      <c r="H6239">
        <v>2</v>
      </c>
      <c r="I6239">
        <v>12</v>
      </c>
      <c r="J6239">
        <v>30</v>
      </c>
    </row>
    <row r="6240" spans="1:10" x14ac:dyDescent="0.25">
      <c r="A6240" t="s">
        <v>26</v>
      </c>
      <c r="B6240" t="s">
        <v>11</v>
      </c>
      <c r="C6240" t="s">
        <v>18</v>
      </c>
      <c r="D6240" t="s">
        <v>15</v>
      </c>
      <c r="E6240">
        <v>0</v>
      </c>
      <c r="F6240">
        <v>0.75</v>
      </c>
      <c r="G6240">
        <v>0.57534408569335904</v>
      </c>
      <c r="H6240">
        <v>3</v>
      </c>
      <c r="I6240">
        <v>12</v>
      </c>
      <c r="J6240">
        <v>30</v>
      </c>
    </row>
    <row r="6241" spans="1:10" x14ac:dyDescent="0.25">
      <c r="A6241" t="s">
        <v>26</v>
      </c>
      <c r="B6241" t="s">
        <v>11</v>
      </c>
      <c r="C6241" t="s">
        <v>18</v>
      </c>
      <c r="D6241" t="s">
        <v>15</v>
      </c>
      <c r="E6241">
        <v>0</v>
      </c>
      <c r="F6241">
        <v>0.75</v>
      </c>
      <c r="G6241">
        <v>0.74503302574157704</v>
      </c>
      <c r="H6241">
        <v>4</v>
      </c>
      <c r="I6241">
        <v>15</v>
      </c>
      <c r="J6241">
        <v>30</v>
      </c>
    </row>
    <row r="6242" spans="1:10" x14ac:dyDescent="0.25">
      <c r="A6242" t="s">
        <v>26</v>
      </c>
      <c r="B6242" t="s">
        <v>11</v>
      </c>
      <c r="C6242" t="s">
        <v>18</v>
      </c>
      <c r="D6242" t="s">
        <v>16</v>
      </c>
      <c r="E6242">
        <v>0.33449074074073998</v>
      </c>
      <c r="F6242">
        <v>0.83362211989583601</v>
      </c>
      <c r="G6242">
        <v>0.15012693405151301</v>
      </c>
      <c r="H6242">
        <v>1</v>
      </c>
      <c r="I6242">
        <v>1</v>
      </c>
      <c r="J6242">
        <v>30</v>
      </c>
    </row>
    <row r="6243" spans="1:10" x14ac:dyDescent="0.25">
      <c r="A6243" t="s">
        <v>26</v>
      </c>
      <c r="B6243" t="s">
        <v>11</v>
      </c>
      <c r="C6243" t="s">
        <v>18</v>
      </c>
      <c r="D6243" t="s">
        <v>16</v>
      </c>
      <c r="E6243">
        <v>0.32253086419753002</v>
      </c>
      <c r="F6243">
        <v>0.83063217932576905</v>
      </c>
      <c r="G6243">
        <v>0.176968574523925</v>
      </c>
      <c r="H6243">
        <v>1</v>
      </c>
      <c r="I6243">
        <v>1</v>
      </c>
      <c r="J6243">
        <v>30</v>
      </c>
    </row>
    <row r="6244" spans="1:10" x14ac:dyDescent="0.25">
      <c r="A6244" t="s">
        <v>26</v>
      </c>
      <c r="B6244" t="s">
        <v>11</v>
      </c>
      <c r="C6244" t="s">
        <v>18</v>
      </c>
      <c r="D6244" t="s">
        <v>16</v>
      </c>
      <c r="E6244">
        <v>0.33179012345678999</v>
      </c>
      <c r="F6244">
        <v>0.83294697013889096</v>
      </c>
      <c r="G6244">
        <v>0.15842676162719699</v>
      </c>
      <c r="H6244">
        <v>1</v>
      </c>
      <c r="I6244">
        <v>1</v>
      </c>
      <c r="J6244">
        <v>30</v>
      </c>
    </row>
    <row r="6245" spans="1:10" x14ac:dyDescent="0.25">
      <c r="A6245" t="s">
        <v>26</v>
      </c>
      <c r="B6245" t="s">
        <v>11</v>
      </c>
      <c r="C6245" t="s">
        <v>18</v>
      </c>
      <c r="D6245" t="s">
        <v>16</v>
      </c>
      <c r="E6245">
        <v>0.32253086419753002</v>
      </c>
      <c r="F6245">
        <v>0.83063217932576905</v>
      </c>
      <c r="G6245">
        <v>0.16143083572387601</v>
      </c>
      <c r="H6245">
        <v>1</v>
      </c>
      <c r="I6245">
        <v>1</v>
      </c>
      <c r="J6245">
        <v>30</v>
      </c>
    </row>
    <row r="6246" spans="1:10" x14ac:dyDescent="0.25">
      <c r="A6246" t="s">
        <v>26</v>
      </c>
      <c r="B6246" t="s">
        <v>11</v>
      </c>
      <c r="C6246" t="s">
        <v>18</v>
      </c>
      <c r="D6246" t="s">
        <v>16</v>
      </c>
      <c r="E6246">
        <v>0.33294753086419698</v>
      </c>
      <c r="F6246">
        <v>0.83323632003472503</v>
      </c>
      <c r="G6246">
        <v>0.159428119659423</v>
      </c>
      <c r="H6246">
        <v>1</v>
      </c>
      <c r="I6246">
        <v>1</v>
      </c>
      <c r="J6246">
        <v>30</v>
      </c>
    </row>
    <row r="6247" spans="1:10" x14ac:dyDescent="0.25">
      <c r="A6247" t="s">
        <v>26</v>
      </c>
      <c r="B6247" t="s">
        <v>11</v>
      </c>
      <c r="C6247" t="s">
        <v>18</v>
      </c>
      <c r="D6247" t="s">
        <v>16</v>
      </c>
      <c r="E6247">
        <v>0.33024691358024599</v>
      </c>
      <c r="F6247">
        <v>0.83256117027777998</v>
      </c>
      <c r="G6247">
        <v>0.163432836532592</v>
      </c>
      <c r="H6247">
        <v>1</v>
      </c>
      <c r="I6247">
        <v>1</v>
      </c>
      <c r="J6247">
        <v>30</v>
      </c>
    </row>
    <row r="6248" spans="1:10" x14ac:dyDescent="0.25">
      <c r="A6248" t="s">
        <v>26</v>
      </c>
      <c r="B6248" t="s">
        <v>11</v>
      </c>
      <c r="C6248" t="s">
        <v>18</v>
      </c>
      <c r="D6248" t="s">
        <v>16</v>
      </c>
      <c r="E6248">
        <v>0.32677469135802401</v>
      </c>
      <c r="F6248">
        <v>0.83169312905373904</v>
      </c>
      <c r="G6248">
        <v>0.16343259811401301</v>
      </c>
      <c r="H6248">
        <v>1</v>
      </c>
      <c r="I6248">
        <v>1</v>
      </c>
      <c r="J6248">
        <v>30</v>
      </c>
    </row>
    <row r="6249" spans="1:10" x14ac:dyDescent="0.25">
      <c r="A6249" t="s">
        <v>26</v>
      </c>
      <c r="B6249" t="s">
        <v>11</v>
      </c>
      <c r="C6249" t="s">
        <v>18</v>
      </c>
      <c r="D6249" t="s">
        <v>16</v>
      </c>
      <c r="E6249">
        <v>0.33410493827160398</v>
      </c>
      <c r="F6249">
        <v>0.83352566993055799</v>
      </c>
      <c r="G6249">
        <v>0.165888786315917</v>
      </c>
      <c r="H6249">
        <v>1</v>
      </c>
      <c r="I6249">
        <v>1</v>
      </c>
      <c r="J6249">
        <v>30</v>
      </c>
    </row>
    <row r="6250" spans="1:10" x14ac:dyDescent="0.25">
      <c r="A6250" t="s">
        <v>26</v>
      </c>
      <c r="B6250" t="s">
        <v>11</v>
      </c>
      <c r="C6250" t="s">
        <v>18</v>
      </c>
      <c r="D6250" t="s">
        <v>16</v>
      </c>
      <c r="E6250">
        <v>0.328703703703703</v>
      </c>
      <c r="F6250">
        <v>0.83217537893008997</v>
      </c>
      <c r="G6250">
        <v>0.16743564605712799</v>
      </c>
      <c r="H6250">
        <v>1</v>
      </c>
      <c r="I6250">
        <v>1</v>
      </c>
      <c r="J6250">
        <v>30</v>
      </c>
    </row>
    <row r="6251" spans="1:10" x14ac:dyDescent="0.25">
      <c r="A6251" t="s">
        <v>26</v>
      </c>
      <c r="B6251" t="s">
        <v>11</v>
      </c>
      <c r="C6251" t="s">
        <v>18</v>
      </c>
      <c r="D6251" t="s">
        <v>16</v>
      </c>
      <c r="E6251">
        <v>0.33256172839506098</v>
      </c>
      <c r="F6251">
        <v>0.83313987006944601</v>
      </c>
      <c r="G6251">
        <v>0.16895627975463801</v>
      </c>
      <c r="H6251">
        <v>1</v>
      </c>
      <c r="I6251">
        <v>1</v>
      </c>
      <c r="J6251">
        <v>30</v>
      </c>
    </row>
    <row r="6252" spans="1:10" x14ac:dyDescent="0.25">
      <c r="A6252" t="s">
        <v>26</v>
      </c>
      <c r="B6252" t="s">
        <v>11</v>
      </c>
      <c r="C6252" t="s">
        <v>18</v>
      </c>
      <c r="D6252" t="s">
        <v>16</v>
      </c>
      <c r="E6252">
        <v>0.31983024691357997</v>
      </c>
      <c r="F6252">
        <v>0.82995702949887795</v>
      </c>
      <c r="G6252">
        <v>0.170382499694824</v>
      </c>
      <c r="H6252">
        <v>1</v>
      </c>
      <c r="I6252">
        <v>1</v>
      </c>
      <c r="J6252">
        <v>30</v>
      </c>
    </row>
    <row r="6253" spans="1:10" x14ac:dyDescent="0.25">
      <c r="A6253" t="s">
        <v>26</v>
      </c>
      <c r="B6253" t="s">
        <v>11</v>
      </c>
      <c r="C6253" t="s">
        <v>18</v>
      </c>
      <c r="D6253" t="s">
        <v>16</v>
      </c>
      <c r="E6253">
        <v>0.33179012345678999</v>
      </c>
      <c r="F6253">
        <v>0.83294697013889096</v>
      </c>
      <c r="G6253">
        <v>0.176306962966918</v>
      </c>
      <c r="H6253">
        <v>1</v>
      </c>
      <c r="I6253">
        <v>1</v>
      </c>
      <c r="J6253">
        <v>30</v>
      </c>
    </row>
    <row r="6254" spans="1:10" x14ac:dyDescent="0.25">
      <c r="A6254" t="s">
        <v>26</v>
      </c>
      <c r="B6254" t="s">
        <v>11</v>
      </c>
      <c r="C6254" t="s">
        <v>18</v>
      </c>
      <c r="D6254" t="s">
        <v>16</v>
      </c>
      <c r="E6254">
        <v>0.342592592592592</v>
      </c>
      <c r="F6254">
        <v>0.83564756022500297</v>
      </c>
      <c r="G6254">
        <v>0.16875004768371499</v>
      </c>
      <c r="H6254">
        <v>1</v>
      </c>
      <c r="I6254">
        <v>1</v>
      </c>
      <c r="J6254">
        <v>30</v>
      </c>
    </row>
    <row r="6255" spans="1:10" x14ac:dyDescent="0.25">
      <c r="A6255" t="s">
        <v>26</v>
      </c>
      <c r="B6255" t="s">
        <v>11</v>
      </c>
      <c r="C6255" t="s">
        <v>18</v>
      </c>
      <c r="D6255" t="s">
        <v>16</v>
      </c>
      <c r="E6255">
        <v>0.33526234567901197</v>
      </c>
      <c r="F6255">
        <v>0.83381501982639095</v>
      </c>
      <c r="G6255">
        <v>0.17979812622070299</v>
      </c>
      <c r="H6255">
        <v>1</v>
      </c>
      <c r="I6255">
        <v>1</v>
      </c>
      <c r="J6255">
        <v>30</v>
      </c>
    </row>
    <row r="6256" spans="1:10" x14ac:dyDescent="0.25">
      <c r="A6256" t="s">
        <v>26</v>
      </c>
      <c r="B6256" t="s">
        <v>11</v>
      </c>
      <c r="C6256" t="s">
        <v>18</v>
      </c>
      <c r="D6256" t="s">
        <v>16</v>
      </c>
      <c r="E6256">
        <v>0.33101851851851799</v>
      </c>
      <c r="F6256">
        <v>0.83275407020833503</v>
      </c>
      <c r="G6256">
        <v>0.176792383193969</v>
      </c>
      <c r="H6256">
        <v>1</v>
      </c>
      <c r="I6256">
        <v>1</v>
      </c>
      <c r="J6256">
        <v>30</v>
      </c>
    </row>
    <row r="6257" spans="1:10" x14ac:dyDescent="0.25">
      <c r="A6257" t="s">
        <v>26</v>
      </c>
      <c r="B6257" t="s">
        <v>11</v>
      </c>
      <c r="C6257" t="s">
        <v>18</v>
      </c>
      <c r="D6257" t="s">
        <v>16</v>
      </c>
      <c r="E6257">
        <v>0</v>
      </c>
      <c r="F6257">
        <v>0.75</v>
      </c>
      <c r="G6257">
        <v>0.126579999923706</v>
      </c>
      <c r="H6257">
        <v>0</v>
      </c>
      <c r="I6257">
        <v>0</v>
      </c>
      <c r="J6257">
        <v>30</v>
      </c>
    </row>
    <row r="6258" spans="1:10" x14ac:dyDescent="0.25">
      <c r="A6258" t="s">
        <v>26</v>
      </c>
      <c r="B6258" t="s">
        <v>11</v>
      </c>
      <c r="C6258" t="s">
        <v>18</v>
      </c>
      <c r="D6258" t="s">
        <v>16</v>
      </c>
      <c r="E6258">
        <v>0</v>
      </c>
      <c r="F6258">
        <v>0.75</v>
      </c>
      <c r="G6258">
        <v>0.127636909484863</v>
      </c>
      <c r="H6258">
        <v>0</v>
      </c>
      <c r="I6258">
        <v>0</v>
      </c>
      <c r="J6258">
        <v>30</v>
      </c>
    </row>
    <row r="6259" spans="1:10" x14ac:dyDescent="0.25">
      <c r="A6259" t="s">
        <v>26</v>
      </c>
      <c r="B6259" t="s">
        <v>11</v>
      </c>
      <c r="C6259" t="s">
        <v>18</v>
      </c>
      <c r="D6259" t="s">
        <v>16</v>
      </c>
      <c r="E6259">
        <v>0.33140432098765399</v>
      </c>
      <c r="F6259">
        <v>0.83285052017361305</v>
      </c>
      <c r="G6259">
        <v>0.172292470932006</v>
      </c>
      <c r="H6259">
        <v>1</v>
      </c>
      <c r="I6259">
        <v>1</v>
      </c>
      <c r="J6259">
        <v>30</v>
      </c>
    </row>
    <row r="6260" spans="1:10" x14ac:dyDescent="0.25">
      <c r="A6260" t="s">
        <v>26</v>
      </c>
      <c r="B6260" t="s">
        <v>11</v>
      </c>
      <c r="C6260" t="s">
        <v>18</v>
      </c>
      <c r="D6260" t="s">
        <v>16</v>
      </c>
      <c r="E6260">
        <v>0</v>
      </c>
      <c r="F6260">
        <v>0.75</v>
      </c>
      <c r="G6260">
        <v>0.126607656478881</v>
      </c>
      <c r="H6260">
        <v>0</v>
      </c>
      <c r="I6260">
        <v>0</v>
      </c>
      <c r="J6260">
        <v>30</v>
      </c>
    </row>
    <row r="6261" spans="1:10" x14ac:dyDescent="0.25">
      <c r="A6261" t="s">
        <v>26</v>
      </c>
      <c r="B6261" t="s">
        <v>11</v>
      </c>
      <c r="C6261" t="s">
        <v>18</v>
      </c>
      <c r="D6261" t="s">
        <v>16</v>
      </c>
      <c r="E6261">
        <v>0.32600308641975301</v>
      </c>
      <c r="F6261">
        <v>0.83150022910319898</v>
      </c>
      <c r="G6261">
        <v>0.167786359786987</v>
      </c>
      <c r="H6261">
        <v>1</v>
      </c>
      <c r="I6261">
        <v>1</v>
      </c>
      <c r="J6261">
        <v>30</v>
      </c>
    </row>
    <row r="6262" spans="1:10" x14ac:dyDescent="0.25">
      <c r="A6262" t="s">
        <v>26</v>
      </c>
      <c r="B6262" t="s">
        <v>11</v>
      </c>
      <c r="C6262" t="s">
        <v>18</v>
      </c>
      <c r="D6262" t="s">
        <v>16</v>
      </c>
      <c r="E6262">
        <v>0.33526234567901197</v>
      </c>
      <c r="F6262">
        <v>0.83381501982639095</v>
      </c>
      <c r="G6262">
        <v>0.17176365852355899</v>
      </c>
      <c r="H6262">
        <v>1</v>
      </c>
      <c r="I6262">
        <v>1</v>
      </c>
      <c r="J6262">
        <v>30</v>
      </c>
    </row>
    <row r="6263" spans="1:10" x14ac:dyDescent="0.25">
      <c r="A6263" t="s">
        <v>26</v>
      </c>
      <c r="B6263" t="s">
        <v>11</v>
      </c>
      <c r="C6263" t="s">
        <v>18</v>
      </c>
      <c r="D6263" t="s">
        <v>16</v>
      </c>
      <c r="E6263">
        <v>0</v>
      </c>
      <c r="F6263">
        <v>0.75</v>
      </c>
      <c r="G6263">
        <v>0.12595391273498499</v>
      </c>
      <c r="H6263">
        <v>0</v>
      </c>
      <c r="I6263">
        <v>0</v>
      </c>
      <c r="J6263">
        <v>30</v>
      </c>
    </row>
    <row r="6264" spans="1:10" x14ac:dyDescent="0.25">
      <c r="A6264" t="s">
        <v>26</v>
      </c>
      <c r="B6264" t="s">
        <v>11</v>
      </c>
      <c r="C6264" t="s">
        <v>18</v>
      </c>
      <c r="D6264" t="s">
        <v>16</v>
      </c>
      <c r="E6264">
        <v>0.33641975308641903</v>
      </c>
      <c r="F6264">
        <v>0.83410436972222401</v>
      </c>
      <c r="G6264">
        <v>0.175154209136962</v>
      </c>
      <c r="H6264">
        <v>1</v>
      </c>
      <c r="I6264">
        <v>1</v>
      </c>
      <c r="J6264">
        <v>30</v>
      </c>
    </row>
    <row r="6265" spans="1:10" x14ac:dyDescent="0.25">
      <c r="A6265" t="s">
        <v>26</v>
      </c>
      <c r="B6265" t="s">
        <v>11</v>
      </c>
      <c r="C6265" t="s">
        <v>18</v>
      </c>
      <c r="D6265" t="s">
        <v>16</v>
      </c>
      <c r="E6265">
        <v>0.33371913580246898</v>
      </c>
      <c r="F6265">
        <v>0.83342921996527997</v>
      </c>
      <c r="G6265">
        <v>0.17615413665771401</v>
      </c>
      <c r="H6265">
        <v>1</v>
      </c>
      <c r="I6265">
        <v>1</v>
      </c>
      <c r="J6265">
        <v>30</v>
      </c>
    </row>
    <row r="6266" spans="1:10" x14ac:dyDescent="0.25">
      <c r="A6266" t="s">
        <v>26</v>
      </c>
      <c r="B6266" t="s">
        <v>11</v>
      </c>
      <c r="C6266" t="s">
        <v>18</v>
      </c>
      <c r="D6266" t="s">
        <v>16</v>
      </c>
      <c r="E6266">
        <v>0.33834876543209802</v>
      </c>
      <c r="F6266">
        <v>0.83458661954861302</v>
      </c>
      <c r="G6266">
        <v>0.16972804069519001</v>
      </c>
      <c r="H6266">
        <v>1</v>
      </c>
      <c r="I6266">
        <v>1</v>
      </c>
      <c r="J6266">
        <v>30</v>
      </c>
    </row>
    <row r="6267" spans="1:10" x14ac:dyDescent="0.25">
      <c r="A6267" t="s">
        <v>26</v>
      </c>
      <c r="B6267" t="s">
        <v>11</v>
      </c>
      <c r="C6267" t="s">
        <v>18</v>
      </c>
      <c r="D6267" t="s">
        <v>16</v>
      </c>
      <c r="E6267">
        <v>0.33449074074073998</v>
      </c>
      <c r="F6267">
        <v>0.83362211989583601</v>
      </c>
      <c r="G6267">
        <v>0.16173720359802199</v>
      </c>
      <c r="H6267">
        <v>1</v>
      </c>
      <c r="I6267">
        <v>1</v>
      </c>
      <c r="J6267">
        <v>30</v>
      </c>
    </row>
    <row r="6268" spans="1:10" x14ac:dyDescent="0.25">
      <c r="A6268" t="s">
        <v>26</v>
      </c>
      <c r="B6268" t="s">
        <v>11</v>
      </c>
      <c r="C6268" t="s">
        <v>18</v>
      </c>
      <c r="D6268" t="s">
        <v>16</v>
      </c>
      <c r="E6268">
        <v>0.33256172839506098</v>
      </c>
      <c r="F6268">
        <v>0.83313987006944701</v>
      </c>
      <c r="G6268">
        <v>0.15363597869873</v>
      </c>
      <c r="H6268">
        <v>1</v>
      </c>
      <c r="I6268">
        <v>1</v>
      </c>
      <c r="J6268">
        <v>30</v>
      </c>
    </row>
    <row r="6269" spans="1:10" x14ac:dyDescent="0.25">
      <c r="A6269" t="s">
        <v>26</v>
      </c>
      <c r="B6269" t="s">
        <v>11</v>
      </c>
      <c r="C6269" t="s">
        <v>18</v>
      </c>
      <c r="D6269" t="s">
        <v>16</v>
      </c>
      <c r="E6269">
        <v>0.33757716049382702</v>
      </c>
      <c r="F6269">
        <v>0.83439371961805797</v>
      </c>
      <c r="G6269">
        <v>0.18526482582092199</v>
      </c>
      <c r="H6269">
        <v>1</v>
      </c>
      <c r="I6269">
        <v>1</v>
      </c>
      <c r="J6269">
        <v>30</v>
      </c>
    </row>
    <row r="6270" spans="1:10" x14ac:dyDescent="0.25">
      <c r="A6270" t="s">
        <v>26</v>
      </c>
      <c r="B6270" t="s">
        <v>11</v>
      </c>
      <c r="C6270" t="s">
        <v>18</v>
      </c>
      <c r="D6270" t="s">
        <v>16</v>
      </c>
      <c r="E6270">
        <v>0.33256172839506098</v>
      </c>
      <c r="F6270">
        <v>0.83313987006944601</v>
      </c>
      <c r="G6270">
        <v>0.14809775352478</v>
      </c>
      <c r="H6270">
        <v>1</v>
      </c>
      <c r="I6270">
        <v>1</v>
      </c>
      <c r="J6270">
        <v>30</v>
      </c>
    </row>
    <row r="6271" spans="1:10" x14ac:dyDescent="0.25">
      <c r="A6271" t="s">
        <v>26</v>
      </c>
      <c r="B6271" t="s">
        <v>11</v>
      </c>
      <c r="C6271" t="s">
        <v>18</v>
      </c>
      <c r="D6271" t="s">
        <v>16</v>
      </c>
      <c r="E6271">
        <v>0.32677469135802401</v>
      </c>
      <c r="F6271">
        <v>0.83169312905373904</v>
      </c>
      <c r="G6271">
        <v>0.14309716224670399</v>
      </c>
      <c r="H6271">
        <v>1</v>
      </c>
      <c r="I6271">
        <v>1</v>
      </c>
      <c r="J6271">
        <v>30</v>
      </c>
    </row>
    <row r="6272" spans="1:10" x14ac:dyDescent="0.25">
      <c r="A6272" t="s">
        <v>26</v>
      </c>
      <c r="B6272" t="s">
        <v>11</v>
      </c>
      <c r="C6272" t="s">
        <v>18</v>
      </c>
      <c r="D6272" t="s">
        <v>17</v>
      </c>
      <c r="E6272">
        <v>0</v>
      </c>
      <c r="F6272">
        <v>0.74991898148148095</v>
      </c>
      <c r="G6272">
        <v>1.18642830848693</v>
      </c>
      <c r="H6272">
        <v>4</v>
      </c>
      <c r="I6272">
        <v>11</v>
      </c>
      <c r="J6272">
        <v>30</v>
      </c>
    </row>
    <row r="6273" spans="1:10" x14ac:dyDescent="0.25">
      <c r="A6273" t="s">
        <v>26</v>
      </c>
      <c r="B6273" t="s">
        <v>11</v>
      </c>
      <c r="C6273" t="s">
        <v>18</v>
      </c>
      <c r="D6273" t="s">
        <v>17</v>
      </c>
      <c r="E6273">
        <v>0</v>
      </c>
      <c r="F6273">
        <v>0.74979904449583301</v>
      </c>
      <c r="G6273">
        <v>2.4807145595550502</v>
      </c>
      <c r="H6273">
        <v>9</v>
      </c>
      <c r="I6273">
        <v>22</v>
      </c>
      <c r="J6273">
        <v>30</v>
      </c>
    </row>
    <row r="6274" spans="1:10" x14ac:dyDescent="0.25">
      <c r="A6274" t="s">
        <v>26</v>
      </c>
      <c r="B6274" t="s">
        <v>11</v>
      </c>
      <c r="C6274" t="s">
        <v>18</v>
      </c>
      <c r="D6274" t="s">
        <v>17</v>
      </c>
      <c r="E6274">
        <v>3.8580246913580201E-4</v>
      </c>
      <c r="F6274">
        <v>0.74958973251018501</v>
      </c>
      <c r="G6274">
        <v>4.0684401988983101</v>
      </c>
      <c r="H6274">
        <v>15</v>
      </c>
      <c r="I6274">
        <v>22</v>
      </c>
      <c r="J6274">
        <v>30</v>
      </c>
    </row>
    <row r="6275" spans="1:10" x14ac:dyDescent="0.25">
      <c r="A6275" t="s">
        <v>26</v>
      </c>
      <c r="B6275" t="s">
        <v>11</v>
      </c>
      <c r="C6275" t="s">
        <v>18</v>
      </c>
      <c r="D6275" t="s">
        <v>17</v>
      </c>
      <c r="E6275">
        <v>4.6682098765432098E-2</v>
      </c>
      <c r="F6275">
        <v>0.75326220817932099</v>
      </c>
      <c r="G6275">
        <v>10.1146473884582</v>
      </c>
      <c r="H6275">
        <v>40</v>
      </c>
      <c r="I6275">
        <v>31</v>
      </c>
      <c r="J6275">
        <v>30</v>
      </c>
    </row>
    <row r="6276" spans="1:10" x14ac:dyDescent="0.25">
      <c r="A6276" t="s">
        <v>26</v>
      </c>
      <c r="B6276" t="s">
        <v>11</v>
      </c>
      <c r="C6276" t="s">
        <v>18</v>
      </c>
      <c r="D6276" t="s">
        <v>17</v>
      </c>
      <c r="E6276">
        <v>7.7160493827160403E-4</v>
      </c>
      <c r="F6276">
        <v>0.74861272593962103</v>
      </c>
      <c r="G6276">
        <v>10.247845172882</v>
      </c>
      <c r="H6276">
        <v>40</v>
      </c>
      <c r="I6276">
        <v>34</v>
      </c>
      <c r="J6276">
        <v>30</v>
      </c>
    </row>
    <row r="6277" spans="1:10" x14ac:dyDescent="0.25">
      <c r="A6277" t="s">
        <v>26</v>
      </c>
      <c r="B6277" t="s">
        <v>11</v>
      </c>
      <c r="C6277" t="s">
        <v>18</v>
      </c>
      <c r="D6277" t="s">
        <v>17</v>
      </c>
      <c r="E6277">
        <v>5.51697530864197E-2</v>
      </c>
      <c r="F6277">
        <v>0.75068188212727505</v>
      </c>
      <c r="G6277">
        <v>26.918076753616301</v>
      </c>
      <c r="H6277">
        <v>120</v>
      </c>
      <c r="I6277">
        <v>40</v>
      </c>
      <c r="J6277">
        <v>30</v>
      </c>
    </row>
    <row r="6278" spans="1:10" x14ac:dyDescent="0.25">
      <c r="A6278" t="s">
        <v>26</v>
      </c>
      <c r="B6278" t="s">
        <v>11</v>
      </c>
      <c r="C6278" t="s">
        <v>18</v>
      </c>
      <c r="D6278" t="s">
        <v>17</v>
      </c>
      <c r="E6278">
        <v>8.8734567901234504E-2</v>
      </c>
      <c r="F6278">
        <v>0.76109965967210502</v>
      </c>
      <c r="G6278">
        <v>30.000119924545199</v>
      </c>
      <c r="H6278">
        <v>133</v>
      </c>
      <c r="I6278">
        <v>43</v>
      </c>
      <c r="J6278">
        <v>30</v>
      </c>
    </row>
    <row r="6279" spans="1:10" x14ac:dyDescent="0.25">
      <c r="A6279" t="s">
        <v>26</v>
      </c>
      <c r="B6279" t="s">
        <v>11</v>
      </c>
      <c r="C6279" t="s">
        <v>18</v>
      </c>
      <c r="D6279" t="s">
        <v>17</v>
      </c>
      <c r="E6279">
        <v>0.108796296296296</v>
      </c>
      <c r="F6279">
        <v>0.75474532368522396</v>
      </c>
      <c r="G6279">
        <v>40.692156791686998</v>
      </c>
      <c r="H6279">
        <v>189</v>
      </c>
      <c r="I6279">
        <v>39</v>
      </c>
      <c r="J6279">
        <v>30</v>
      </c>
    </row>
    <row r="6280" spans="1:10" x14ac:dyDescent="0.25">
      <c r="A6280" t="s">
        <v>26</v>
      </c>
      <c r="B6280" t="s">
        <v>11</v>
      </c>
      <c r="C6280" t="s">
        <v>18</v>
      </c>
      <c r="D6280" t="s">
        <v>17</v>
      </c>
      <c r="E6280">
        <v>9.7608024691358E-2</v>
      </c>
      <c r="F6280">
        <v>0.76002689117187305</v>
      </c>
      <c r="G6280">
        <v>44.983902931213301</v>
      </c>
      <c r="H6280">
        <v>206</v>
      </c>
      <c r="I6280">
        <v>43</v>
      </c>
      <c r="J6280">
        <v>30</v>
      </c>
    </row>
    <row r="6281" spans="1:10" x14ac:dyDescent="0.25">
      <c r="A6281" t="s">
        <v>26</v>
      </c>
      <c r="B6281" t="s">
        <v>11</v>
      </c>
      <c r="C6281" t="s">
        <v>18</v>
      </c>
      <c r="D6281" t="s">
        <v>17</v>
      </c>
      <c r="E6281">
        <v>9.7993827160493804E-2</v>
      </c>
      <c r="F6281">
        <v>0.75065586469552303</v>
      </c>
      <c r="G6281">
        <v>55.299476623535099</v>
      </c>
      <c r="H6281">
        <v>267</v>
      </c>
      <c r="I6281">
        <v>44</v>
      </c>
      <c r="J6281">
        <v>30</v>
      </c>
    </row>
    <row r="6282" spans="1:10" x14ac:dyDescent="0.25">
      <c r="A6282" t="s">
        <v>26</v>
      </c>
      <c r="B6282" t="s">
        <v>11</v>
      </c>
      <c r="C6282" t="s">
        <v>18</v>
      </c>
      <c r="D6282" t="s">
        <v>17</v>
      </c>
      <c r="E6282">
        <v>0.113811728395061</v>
      </c>
      <c r="F6282">
        <v>0.75830334176022396</v>
      </c>
      <c r="G6282">
        <v>60.905493259429903</v>
      </c>
      <c r="H6282">
        <v>315</v>
      </c>
      <c r="I6282">
        <v>41</v>
      </c>
      <c r="J6282">
        <v>30</v>
      </c>
    </row>
    <row r="6283" spans="1:10" x14ac:dyDescent="0.25">
      <c r="A6283" t="s">
        <v>26</v>
      </c>
      <c r="B6283" t="s">
        <v>11</v>
      </c>
      <c r="C6283" t="s">
        <v>18</v>
      </c>
      <c r="D6283" t="s">
        <v>17</v>
      </c>
      <c r="E6283">
        <v>9.8379629629629595E-2</v>
      </c>
      <c r="F6283">
        <v>0.75703186919139598</v>
      </c>
      <c r="G6283">
        <v>64.798493146896305</v>
      </c>
      <c r="H6283">
        <v>358</v>
      </c>
      <c r="I6283">
        <v>40</v>
      </c>
      <c r="J6283">
        <v>30</v>
      </c>
    </row>
    <row r="6284" spans="1:10" x14ac:dyDescent="0.25">
      <c r="A6284" t="s">
        <v>26</v>
      </c>
      <c r="B6284" t="s">
        <v>11</v>
      </c>
      <c r="C6284" t="s">
        <v>18</v>
      </c>
      <c r="D6284" t="s">
        <v>17</v>
      </c>
      <c r="E6284">
        <v>0.108796296296296</v>
      </c>
      <c r="F6284">
        <v>0.75762157492330195</v>
      </c>
      <c r="G6284">
        <v>66.013741731643606</v>
      </c>
      <c r="H6284">
        <v>363</v>
      </c>
      <c r="I6284">
        <v>44</v>
      </c>
      <c r="J6284">
        <v>30</v>
      </c>
    </row>
    <row r="6285" spans="1:10" x14ac:dyDescent="0.25">
      <c r="A6285" t="s">
        <v>26</v>
      </c>
      <c r="B6285" t="s">
        <v>11</v>
      </c>
      <c r="C6285" t="s">
        <v>18</v>
      </c>
      <c r="D6285" t="s">
        <v>17</v>
      </c>
      <c r="E6285">
        <v>0.101851851851851</v>
      </c>
      <c r="F6285">
        <v>0.75162196528070901</v>
      </c>
      <c r="G6285">
        <v>68.575511455535803</v>
      </c>
      <c r="H6285">
        <v>367</v>
      </c>
      <c r="I6285">
        <v>43</v>
      </c>
      <c r="J6285">
        <v>30</v>
      </c>
    </row>
    <row r="6286" spans="1:10" x14ac:dyDescent="0.25">
      <c r="A6286" t="s">
        <v>26</v>
      </c>
      <c r="B6286" t="s">
        <v>11</v>
      </c>
      <c r="C6286" t="s">
        <v>18</v>
      </c>
      <c r="D6286" t="s">
        <v>17</v>
      </c>
      <c r="E6286">
        <v>0.105324074074074</v>
      </c>
      <c r="F6286">
        <v>0.75640772283290902</v>
      </c>
      <c r="G6286">
        <v>72.289382457733097</v>
      </c>
      <c r="H6286">
        <v>413</v>
      </c>
      <c r="I6286">
        <v>43</v>
      </c>
      <c r="J6286">
        <v>30</v>
      </c>
    </row>
    <row r="6287" spans="1:10" x14ac:dyDescent="0.25">
      <c r="A6287" t="s">
        <v>26</v>
      </c>
      <c r="B6287" t="s">
        <v>11</v>
      </c>
      <c r="C6287" t="s">
        <v>18</v>
      </c>
      <c r="D6287" t="s">
        <v>17</v>
      </c>
      <c r="E6287">
        <v>0.10339506172839499</v>
      </c>
      <c r="F6287">
        <v>0.76079447042469095</v>
      </c>
      <c r="G6287">
        <v>74.921217679977403</v>
      </c>
      <c r="H6287">
        <v>418</v>
      </c>
      <c r="I6287">
        <v>43</v>
      </c>
      <c r="J6287">
        <v>30</v>
      </c>
    </row>
    <row r="6288" spans="1:10" x14ac:dyDescent="0.25">
      <c r="A6288" t="s">
        <v>26</v>
      </c>
      <c r="B6288" t="s">
        <v>11</v>
      </c>
      <c r="C6288" t="s">
        <v>18</v>
      </c>
      <c r="D6288" t="s">
        <v>17</v>
      </c>
      <c r="E6288">
        <v>0.10841049382716</v>
      </c>
      <c r="F6288">
        <v>0.755317277529166</v>
      </c>
      <c r="G6288">
        <v>76.783265113830495</v>
      </c>
      <c r="H6288">
        <v>420</v>
      </c>
      <c r="I6288">
        <v>42</v>
      </c>
      <c r="J6288">
        <v>30</v>
      </c>
    </row>
    <row r="6289" spans="1:10" x14ac:dyDescent="0.25">
      <c r="A6289" t="s">
        <v>26</v>
      </c>
      <c r="B6289" t="s">
        <v>11</v>
      </c>
      <c r="C6289" t="s">
        <v>18</v>
      </c>
      <c r="D6289" t="s">
        <v>17</v>
      </c>
      <c r="E6289">
        <v>0.106867283950617</v>
      </c>
      <c r="F6289">
        <v>0.75289822012982099</v>
      </c>
      <c r="G6289">
        <v>77.332241296768103</v>
      </c>
      <c r="H6289">
        <v>447</v>
      </c>
      <c r="I6289">
        <v>44</v>
      </c>
      <c r="J6289">
        <v>30</v>
      </c>
    </row>
    <row r="6290" spans="1:10" x14ac:dyDescent="0.25">
      <c r="A6290" t="s">
        <v>26</v>
      </c>
      <c r="B6290" t="s">
        <v>11</v>
      </c>
      <c r="C6290" t="s">
        <v>18</v>
      </c>
      <c r="D6290" t="s">
        <v>17</v>
      </c>
      <c r="E6290">
        <v>9.6836419753086406E-2</v>
      </c>
      <c r="F6290">
        <v>0.75692210318039899</v>
      </c>
      <c r="G6290">
        <v>81.615004539489703</v>
      </c>
      <c r="H6290">
        <v>470</v>
      </c>
      <c r="I6290">
        <v>42</v>
      </c>
      <c r="J6290">
        <v>30</v>
      </c>
    </row>
    <row r="6291" spans="1:10" x14ac:dyDescent="0.25">
      <c r="A6291" t="s">
        <v>26</v>
      </c>
      <c r="B6291" t="s">
        <v>11</v>
      </c>
      <c r="C6291" t="s">
        <v>18</v>
      </c>
      <c r="D6291" t="s">
        <v>17</v>
      </c>
      <c r="E6291">
        <v>0.17013888888888801</v>
      </c>
      <c r="F6291">
        <v>0.75818724405590099</v>
      </c>
      <c r="G6291">
        <v>93.378717899322496</v>
      </c>
      <c r="H6291">
        <v>642</v>
      </c>
      <c r="I6291">
        <v>48</v>
      </c>
      <c r="J6291">
        <v>30</v>
      </c>
    </row>
    <row r="6292" spans="1:10" x14ac:dyDescent="0.25">
      <c r="A6292" t="s">
        <v>26</v>
      </c>
      <c r="B6292" t="s">
        <v>11</v>
      </c>
      <c r="C6292" t="s">
        <v>18</v>
      </c>
      <c r="D6292" t="s">
        <v>17</v>
      </c>
      <c r="E6292">
        <v>0.25308641975308599</v>
      </c>
      <c r="F6292">
        <v>0.76557092966766904</v>
      </c>
      <c r="G6292">
        <v>111.976204395294</v>
      </c>
      <c r="H6292">
        <v>665</v>
      </c>
      <c r="I6292">
        <v>50</v>
      </c>
      <c r="J6292">
        <v>30</v>
      </c>
    </row>
    <row r="6293" spans="1:10" x14ac:dyDescent="0.25">
      <c r="A6293" t="s">
        <v>26</v>
      </c>
      <c r="B6293" t="s">
        <v>11</v>
      </c>
      <c r="C6293" t="s">
        <v>18</v>
      </c>
      <c r="D6293" t="s">
        <v>17</v>
      </c>
      <c r="E6293">
        <v>0.243055555555555</v>
      </c>
      <c r="F6293">
        <v>0.74397185167785396</v>
      </c>
      <c r="G6293">
        <v>117.084110260009</v>
      </c>
      <c r="H6293">
        <v>1002</v>
      </c>
      <c r="I6293">
        <v>45</v>
      </c>
      <c r="J6293">
        <v>30</v>
      </c>
    </row>
    <row r="6294" spans="1:10" x14ac:dyDescent="0.25">
      <c r="A6294" t="s">
        <v>26</v>
      </c>
      <c r="B6294" t="s">
        <v>11</v>
      </c>
      <c r="C6294" t="s">
        <v>18</v>
      </c>
      <c r="D6294" t="s">
        <v>17</v>
      </c>
      <c r="E6294">
        <v>0.24421296296296199</v>
      </c>
      <c r="F6294">
        <v>0.74218292914575601</v>
      </c>
      <c r="G6294">
        <v>123.236257076263</v>
      </c>
      <c r="H6294">
        <v>1022</v>
      </c>
      <c r="I6294">
        <v>48</v>
      </c>
      <c r="J6294">
        <v>30</v>
      </c>
    </row>
    <row r="6295" spans="1:10" x14ac:dyDescent="0.25">
      <c r="A6295" t="s">
        <v>26</v>
      </c>
      <c r="B6295" t="s">
        <v>11</v>
      </c>
      <c r="C6295" t="s">
        <v>18</v>
      </c>
      <c r="D6295" t="s">
        <v>17</v>
      </c>
      <c r="E6295">
        <v>0.25385802469135799</v>
      </c>
      <c r="F6295">
        <v>0.72868253817484296</v>
      </c>
      <c r="G6295">
        <v>145.72373008727999</v>
      </c>
      <c r="H6295">
        <v>1199</v>
      </c>
      <c r="I6295">
        <v>47</v>
      </c>
      <c r="J6295">
        <v>30</v>
      </c>
    </row>
    <row r="6296" spans="1:10" x14ac:dyDescent="0.25">
      <c r="A6296" t="s">
        <v>26</v>
      </c>
      <c r="B6296" t="s">
        <v>11</v>
      </c>
      <c r="C6296" t="s">
        <v>18</v>
      </c>
      <c r="D6296" t="s">
        <v>17</v>
      </c>
      <c r="E6296">
        <v>0.26967592592592499</v>
      </c>
      <c r="F6296">
        <v>0.723504829415622</v>
      </c>
      <c r="G6296">
        <v>155.663358449935</v>
      </c>
      <c r="H6296">
        <v>1338</v>
      </c>
      <c r="I6296">
        <v>49</v>
      </c>
      <c r="J6296">
        <v>30</v>
      </c>
    </row>
    <row r="6297" spans="1:10" x14ac:dyDescent="0.25">
      <c r="A6297" t="s">
        <v>26</v>
      </c>
      <c r="B6297" t="s">
        <v>11</v>
      </c>
      <c r="C6297" t="s">
        <v>18</v>
      </c>
      <c r="D6297" t="s">
        <v>17</v>
      </c>
      <c r="E6297">
        <v>0.18981481481481399</v>
      </c>
      <c r="F6297">
        <v>0.75852962864587004</v>
      </c>
      <c r="G6297">
        <v>177.24350690841601</v>
      </c>
      <c r="H6297">
        <v>630</v>
      </c>
      <c r="I6297">
        <v>47</v>
      </c>
      <c r="J6297">
        <v>30</v>
      </c>
    </row>
    <row r="6298" spans="1:10" x14ac:dyDescent="0.25">
      <c r="A6298" t="s">
        <v>26</v>
      </c>
      <c r="B6298" t="s">
        <v>11</v>
      </c>
      <c r="C6298" t="s">
        <v>18</v>
      </c>
      <c r="D6298" t="s">
        <v>17</v>
      </c>
      <c r="E6298">
        <v>0.25848765432098703</v>
      </c>
      <c r="F6298">
        <v>0.72798921439745101</v>
      </c>
      <c r="G6298">
        <v>195.761302232742</v>
      </c>
      <c r="H6298">
        <v>1337</v>
      </c>
      <c r="I6298">
        <v>49</v>
      </c>
      <c r="J6298">
        <v>30</v>
      </c>
    </row>
    <row r="6299" spans="1:10" x14ac:dyDescent="0.25">
      <c r="A6299" t="s">
        <v>26</v>
      </c>
      <c r="B6299" t="s">
        <v>11</v>
      </c>
      <c r="C6299" t="s">
        <v>18</v>
      </c>
      <c r="D6299" t="s">
        <v>17</v>
      </c>
      <c r="E6299">
        <v>0.23919753086419701</v>
      </c>
      <c r="F6299">
        <v>0.752130687914775</v>
      </c>
      <c r="G6299">
        <v>209.420113563537</v>
      </c>
      <c r="H6299">
        <v>1035</v>
      </c>
      <c r="I6299">
        <v>48</v>
      </c>
      <c r="J6299">
        <v>30</v>
      </c>
    </row>
    <row r="6300" spans="1:10" x14ac:dyDescent="0.25">
      <c r="A6300" t="s">
        <v>26</v>
      </c>
      <c r="B6300" t="s">
        <v>11</v>
      </c>
      <c r="C6300" t="s">
        <v>18</v>
      </c>
      <c r="D6300" t="s">
        <v>17</v>
      </c>
      <c r="E6300">
        <v>0.235725308641975</v>
      </c>
      <c r="F6300">
        <v>0.74224846330817695</v>
      </c>
      <c r="G6300">
        <v>214.10936594009399</v>
      </c>
      <c r="H6300">
        <v>939</v>
      </c>
      <c r="I6300">
        <v>46</v>
      </c>
      <c r="J6300">
        <v>30</v>
      </c>
    </row>
    <row r="6301" spans="1:10" x14ac:dyDescent="0.25">
      <c r="A6301" t="s">
        <v>26</v>
      </c>
      <c r="B6301" t="s">
        <v>11</v>
      </c>
      <c r="C6301" t="s">
        <v>18</v>
      </c>
      <c r="D6301" t="s">
        <v>17</v>
      </c>
      <c r="E6301">
        <v>0.29359567901234501</v>
      </c>
      <c r="F6301">
        <v>0.73259371751407898</v>
      </c>
      <c r="G6301">
        <v>238.30683779716401</v>
      </c>
      <c r="H6301">
        <v>1311</v>
      </c>
      <c r="I6301">
        <v>48</v>
      </c>
      <c r="J6301">
        <v>30</v>
      </c>
    </row>
    <row r="6302" spans="1:10" x14ac:dyDescent="0.25">
      <c r="A6302" t="s">
        <v>26</v>
      </c>
      <c r="B6302" t="s">
        <v>19</v>
      </c>
      <c r="C6302" t="s">
        <v>12</v>
      </c>
      <c r="D6302" t="s">
        <v>13</v>
      </c>
      <c r="E6302">
        <v>0</v>
      </c>
      <c r="F6302">
        <v>0.75</v>
      </c>
      <c r="G6302">
        <v>0.22990655899047799</v>
      </c>
      <c r="H6302">
        <v>2</v>
      </c>
      <c r="I6302">
        <v>7</v>
      </c>
      <c r="J6302">
        <v>30</v>
      </c>
    </row>
    <row r="6303" spans="1:10" x14ac:dyDescent="0.25">
      <c r="A6303" t="s">
        <v>26</v>
      </c>
      <c r="B6303" t="s">
        <v>19</v>
      </c>
      <c r="C6303" t="s">
        <v>12</v>
      </c>
      <c r="D6303" t="s">
        <v>13</v>
      </c>
      <c r="E6303">
        <v>0</v>
      </c>
      <c r="F6303">
        <v>0.75</v>
      </c>
      <c r="G6303">
        <v>0.233474016189575</v>
      </c>
      <c r="H6303">
        <v>2</v>
      </c>
      <c r="I6303">
        <v>7</v>
      </c>
      <c r="J6303">
        <v>30</v>
      </c>
    </row>
    <row r="6304" spans="1:10" x14ac:dyDescent="0.25">
      <c r="A6304" t="s">
        <v>26</v>
      </c>
      <c r="B6304" t="s">
        <v>19</v>
      </c>
      <c r="C6304" t="s">
        <v>12</v>
      </c>
      <c r="D6304" t="s">
        <v>13</v>
      </c>
      <c r="E6304">
        <v>0</v>
      </c>
      <c r="F6304">
        <v>0.75</v>
      </c>
      <c r="G6304">
        <v>0.230443716049194</v>
      </c>
      <c r="H6304">
        <v>2</v>
      </c>
      <c r="I6304">
        <v>7</v>
      </c>
      <c r="J6304">
        <v>30</v>
      </c>
    </row>
    <row r="6305" spans="1:10" x14ac:dyDescent="0.25">
      <c r="A6305" t="s">
        <v>26</v>
      </c>
      <c r="B6305" t="s">
        <v>19</v>
      </c>
      <c r="C6305" t="s">
        <v>12</v>
      </c>
      <c r="D6305" t="s">
        <v>13</v>
      </c>
      <c r="E6305">
        <v>0</v>
      </c>
      <c r="F6305">
        <v>0.75</v>
      </c>
      <c r="G6305">
        <v>0.234511613845825</v>
      </c>
      <c r="H6305">
        <v>2</v>
      </c>
      <c r="I6305">
        <v>7</v>
      </c>
      <c r="J6305">
        <v>30</v>
      </c>
    </row>
    <row r="6306" spans="1:10" x14ac:dyDescent="0.25">
      <c r="A6306" t="s">
        <v>26</v>
      </c>
      <c r="B6306" t="s">
        <v>19</v>
      </c>
      <c r="C6306" t="s">
        <v>12</v>
      </c>
      <c r="D6306" t="s">
        <v>13</v>
      </c>
      <c r="E6306">
        <v>0</v>
      </c>
      <c r="F6306">
        <v>0.75</v>
      </c>
      <c r="G6306">
        <v>0.23352861404418901</v>
      </c>
      <c r="H6306">
        <v>2</v>
      </c>
      <c r="I6306">
        <v>7</v>
      </c>
      <c r="J6306">
        <v>30</v>
      </c>
    </row>
    <row r="6307" spans="1:10" x14ac:dyDescent="0.25">
      <c r="A6307" t="s">
        <v>26</v>
      </c>
      <c r="B6307" t="s">
        <v>19</v>
      </c>
      <c r="C6307" t="s">
        <v>12</v>
      </c>
      <c r="D6307" t="s">
        <v>13</v>
      </c>
      <c r="E6307">
        <v>0</v>
      </c>
      <c r="F6307">
        <v>0.75</v>
      </c>
      <c r="G6307">
        <v>0.24352765083312899</v>
      </c>
      <c r="H6307">
        <v>2</v>
      </c>
      <c r="I6307">
        <v>7</v>
      </c>
      <c r="J6307">
        <v>30</v>
      </c>
    </row>
    <row r="6308" spans="1:10" x14ac:dyDescent="0.25">
      <c r="A6308" t="s">
        <v>26</v>
      </c>
      <c r="B6308" t="s">
        <v>19</v>
      </c>
      <c r="C6308" t="s">
        <v>12</v>
      </c>
      <c r="D6308" t="s">
        <v>13</v>
      </c>
      <c r="E6308">
        <v>0</v>
      </c>
      <c r="F6308">
        <v>0.74996173818360301</v>
      </c>
      <c r="G6308">
        <v>0.23906135559082001</v>
      </c>
      <c r="H6308">
        <v>2</v>
      </c>
      <c r="I6308">
        <v>6</v>
      </c>
      <c r="J6308">
        <v>30</v>
      </c>
    </row>
    <row r="6309" spans="1:10" x14ac:dyDescent="0.25">
      <c r="A6309" t="s">
        <v>26</v>
      </c>
      <c r="B6309" t="s">
        <v>19</v>
      </c>
      <c r="C6309" t="s">
        <v>12</v>
      </c>
      <c r="D6309" t="s">
        <v>13</v>
      </c>
      <c r="E6309">
        <v>0</v>
      </c>
      <c r="F6309">
        <v>0.75</v>
      </c>
      <c r="G6309">
        <v>0.25067782402038502</v>
      </c>
      <c r="H6309">
        <v>2</v>
      </c>
      <c r="I6309">
        <v>7</v>
      </c>
      <c r="J6309">
        <v>30</v>
      </c>
    </row>
    <row r="6310" spans="1:10" x14ac:dyDescent="0.25">
      <c r="A6310" t="s">
        <v>26</v>
      </c>
      <c r="B6310" t="s">
        <v>19</v>
      </c>
      <c r="C6310" t="s">
        <v>12</v>
      </c>
      <c r="D6310" t="s">
        <v>13</v>
      </c>
      <c r="E6310">
        <v>0</v>
      </c>
      <c r="F6310">
        <v>0.74996173818360301</v>
      </c>
      <c r="G6310">
        <v>0.25775098800659102</v>
      </c>
      <c r="H6310">
        <v>1</v>
      </c>
      <c r="I6310">
        <v>7</v>
      </c>
      <c r="J6310">
        <v>30</v>
      </c>
    </row>
    <row r="6311" spans="1:10" x14ac:dyDescent="0.25">
      <c r="A6311" t="s">
        <v>26</v>
      </c>
      <c r="B6311" t="s">
        <v>19</v>
      </c>
      <c r="C6311" t="s">
        <v>12</v>
      </c>
      <c r="D6311" t="s">
        <v>13</v>
      </c>
      <c r="E6311">
        <v>0</v>
      </c>
      <c r="F6311">
        <v>0.75</v>
      </c>
      <c r="G6311">
        <v>0.25099658966064398</v>
      </c>
      <c r="H6311">
        <v>2</v>
      </c>
      <c r="I6311">
        <v>7</v>
      </c>
      <c r="J6311">
        <v>30</v>
      </c>
    </row>
    <row r="6312" spans="1:10" x14ac:dyDescent="0.25">
      <c r="A6312" t="s">
        <v>26</v>
      </c>
      <c r="B6312" t="s">
        <v>19</v>
      </c>
      <c r="C6312" t="s">
        <v>12</v>
      </c>
      <c r="D6312" t="s">
        <v>13</v>
      </c>
      <c r="E6312">
        <v>0</v>
      </c>
      <c r="F6312">
        <v>0.74997974537037004</v>
      </c>
      <c r="G6312">
        <v>0.26044344902038502</v>
      </c>
      <c r="H6312">
        <v>1</v>
      </c>
      <c r="I6312">
        <v>6</v>
      </c>
      <c r="J6312">
        <v>30</v>
      </c>
    </row>
    <row r="6313" spans="1:10" x14ac:dyDescent="0.25">
      <c r="A6313" t="s">
        <v>26</v>
      </c>
      <c r="B6313" t="s">
        <v>19</v>
      </c>
      <c r="C6313" t="s">
        <v>12</v>
      </c>
      <c r="D6313" t="s">
        <v>13</v>
      </c>
      <c r="E6313">
        <v>0</v>
      </c>
      <c r="F6313">
        <v>0.75</v>
      </c>
      <c r="G6313">
        <v>0.26553201675415</v>
      </c>
      <c r="H6313">
        <v>2</v>
      </c>
      <c r="I6313">
        <v>7</v>
      </c>
      <c r="J6313">
        <v>30</v>
      </c>
    </row>
    <row r="6314" spans="1:10" x14ac:dyDescent="0.25">
      <c r="A6314" t="s">
        <v>26</v>
      </c>
      <c r="B6314" t="s">
        <v>19</v>
      </c>
      <c r="C6314" t="s">
        <v>12</v>
      </c>
      <c r="D6314" t="s">
        <v>13</v>
      </c>
      <c r="E6314">
        <v>0</v>
      </c>
      <c r="F6314">
        <v>0.75</v>
      </c>
      <c r="G6314">
        <v>0.26704025268554599</v>
      </c>
      <c r="H6314">
        <v>2</v>
      </c>
      <c r="I6314">
        <v>7</v>
      </c>
      <c r="J6314">
        <v>30</v>
      </c>
    </row>
    <row r="6315" spans="1:10" x14ac:dyDescent="0.25">
      <c r="A6315" t="s">
        <v>26</v>
      </c>
      <c r="B6315" t="s">
        <v>19</v>
      </c>
      <c r="C6315" t="s">
        <v>12</v>
      </c>
      <c r="D6315" t="s">
        <v>13</v>
      </c>
      <c r="E6315">
        <v>0</v>
      </c>
      <c r="F6315">
        <v>0.75</v>
      </c>
      <c r="G6315">
        <v>0.26047015190124501</v>
      </c>
      <c r="H6315">
        <v>2</v>
      </c>
      <c r="I6315">
        <v>7</v>
      </c>
      <c r="J6315">
        <v>30</v>
      </c>
    </row>
    <row r="6316" spans="1:10" x14ac:dyDescent="0.25">
      <c r="A6316" t="s">
        <v>26</v>
      </c>
      <c r="B6316" t="s">
        <v>19</v>
      </c>
      <c r="C6316" t="s">
        <v>12</v>
      </c>
      <c r="D6316" t="s">
        <v>13</v>
      </c>
      <c r="E6316">
        <v>0</v>
      </c>
      <c r="F6316">
        <v>0.75</v>
      </c>
      <c r="G6316">
        <v>0.277302265167236</v>
      </c>
      <c r="H6316">
        <v>1</v>
      </c>
      <c r="I6316">
        <v>8</v>
      </c>
      <c r="J6316">
        <v>30</v>
      </c>
    </row>
    <row r="6317" spans="1:10" x14ac:dyDescent="0.25">
      <c r="A6317" t="s">
        <v>26</v>
      </c>
      <c r="B6317" t="s">
        <v>19</v>
      </c>
      <c r="C6317" t="s">
        <v>12</v>
      </c>
      <c r="D6317" t="s">
        <v>13</v>
      </c>
      <c r="E6317">
        <v>0</v>
      </c>
      <c r="F6317">
        <v>0.75</v>
      </c>
      <c r="G6317">
        <v>0.27238845825195301</v>
      </c>
      <c r="H6317">
        <v>2</v>
      </c>
      <c r="I6317">
        <v>7</v>
      </c>
      <c r="J6317">
        <v>30</v>
      </c>
    </row>
    <row r="6318" spans="1:10" x14ac:dyDescent="0.25">
      <c r="A6318" t="s">
        <v>26</v>
      </c>
      <c r="B6318" t="s">
        <v>19</v>
      </c>
      <c r="C6318" t="s">
        <v>12</v>
      </c>
      <c r="D6318" t="s">
        <v>13</v>
      </c>
      <c r="E6318">
        <v>0</v>
      </c>
      <c r="F6318">
        <v>0.74997974537037004</v>
      </c>
      <c r="G6318">
        <v>0.266863822937011</v>
      </c>
      <c r="H6318">
        <v>1</v>
      </c>
      <c r="I6318">
        <v>7</v>
      </c>
      <c r="J6318">
        <v>30</v>
      </c>
    </row>
    <row r="6319" spans="1:10" x14ac:dyDescent="0.25">
      <c r="A6319" t="s">
        <v>26</v>
      </c>
      <c r="B6319" t="s">
        <v>19</v>
      </c>
      <c r="C6319" t="s">
        <v>12</v>
      </c>
      <c r="D6319" t="s">
        <v>13</v>
      </c>
      <c r="E6319">
        <v>0</v>
      </c>
      <c r="F6319">
        <v>0.74996173818360301</v>
      </c>
      <c r="G6319">
        <v>0.27894759178161599</v>
      </c>
      <c r="H6319">
        <v>1</v>
      </c>
      <c r="I6319">
        <v>7</v>
      </c>
      <c r="J6319">
        <v>30</v>
      </c>
    </row>
    <row r="6320" spans="1:10" x14ac:dyDescent="0.25">
      <c r="A6320" t="s">
        <v>26</v>
      </c>
      <c r="B6320" t="s">
        <v>19</v>
      </c>
      <c r="C6320" t="s">
        <v>12</v>
      </c>
      <c r="D6320" t="s">
        <v>13</v>
      </c>
      <c r="E6320">
        <v>0</v>
      </c>
      <c r="F6320">
        <v>0.75</v>
      </c>
      <c r="G6320">
        <v>0.27287530899047802</v>
      </c>
      <c r="H6320">
        <v>2</v>
      </c>
      <c r="I6320">
        <v>7</v>
      </c>
      <c r="J6320">
        <v>30</v>
      </c>
    </row>
    <row r="6321" spans="1:10" x14ac:dyDescent="0.25">
      <c r="A6321" t="s">
        <v>26</v>
      </c>
      <c r="B6321" t="s">
        <v>19</v>
      </c>
      <c r="C6321" t="s">
        <v>12</v>
      </c>
      <c r="D6321" t="s">
        <v>13</v>
      </c>
      <c r="E6321">
        <v>0</v>
      </c>
      <c r="F6321">
        <v>0.74992347636720602</v>
      </c>
      <c r="G6321">
        <v>0.26084709167480402</v>
      </c>
      <c r="H6321">
        <v>1</v>
      </c>
      <c r="I6321">
        <v>5</v>
      </c>
      <c r="J6321">
        <v>30</v>
      </c>
    </row>
    <row r="6322" spans="1:10" x14ac:dyDescent="0.25">
      <c r="A6322" t="s">
        <v>26</v>
      </c>
      <c r="B6322" t="s">
        <v>19</v>
      </c>
      <c r="C6322" t="s">
        <v>12</v>
      </c>
      <c r="D6322" t="s">
        <v>13</v>
      </c>
      <c r="E6322">
        <v>0</v>
      </c>
      <c r="F6322">
        <v>0.75</v>
      </c>
      <c r="G6322">
        <v>0.26132416725158603</v>
      </c>
      <c r="H6322">
        <v>2</v>
      </c>
      <c r="I6322">
        <v>7</v>
      </c>
      <c r="J6322">
        <v>30</v>
      </c>
    </row>
    <row r="6323" spans="1:10" x14ac:dyDescent="0.25">
      <c r="A6323" t="s">
        <v>26</v>
      </c>
      <c r="B6323" t="s">
        <v>19</v>
      </c>
      <c r="C6323" t="s">
        <v>12</v>
      </c>
      <c r="D6323" t="s">
        <v>13</v>
      </c>
      <c r="E6323">
        <v>0</v>
      </c>
      <c r="F6323">
        <v>0.75</v>
      </c>
      <c r="G6323">
        <v>0.26476597785949701</v>
      </c>
      <c r="H6323">
        <v>2</v>
      </c>
      <c r="I6323">
        <v>7</v>
      </c>
      <c r="J6323">
        <v>30</v>
      </c>
    </row>
    <row r="6324" spans="1:10" x14ac:dyDescent="0.25">
      <c r="A6324" t="s">
        <v>26</v>
      </c>
      <c r="B6324" t="s">
        <v>19</v>
      </c>
      <c r="C6324" t="s">
        <v>12</v>
      </c>
      <c r="D6324" t="s">
        <v>13</v>
      </c>
      <c r="E6324">
        <v>0</v>
      </c>
      <c r="F6324">
        <v>0.75</v>
      </c>
      <c r="G6324">
        <v>0.24958443641662501</v>
      </c>
      <c r="H6324">
        <v>2</v>
      </c>
      <c r="I6324">
        <v>7</v>
      </c>
      <c r="J6324">
        <v>30</v>
      </c>
    </row>
    <row r="6325" spans="1:10" x14ac:dyDescent="0.25">
      <c r="A6325" t="s">
        <v>26</v>
      </c>
      <c r="B6325" t="s">
        <v>19</v>
      </c>
      <c r="C6325" t="s">
        <v>12</v>
      </c>
      <c r="D6325" t="s">
        <v>13</v>
      </c>
      <c r="E6325">
        <v>0</v>
      </c>
      <c r="F6325">
        <v>0.74996173818360301</v>
      </c>
      <c r="G6325">
        <v>0.27216768264770502</v>
      </c>
      <c r="H6325">
        <v>1</v>
      </c>
      <c r="I6325">
        <v>7</v>
      </c>
      <c r="J6325">
        <v>30</v>
      </c>
    </row>
    <row r="6326" spans="1:10" x14ac:dyDescent="0.25">
      <c r="A6326" t="s">
        <v>26</v>
      </c>
      <c r="B6326" t="s">
        <v>19</v>
      </c>
      <c r="C6326" t="s">
        <v>12</v>
      </c>
      <c r="D6326" t="s">
        <v>13</v>
      </c>
      <c r="E6326">
        <v>0</v>
      </c>
      <c r="F6326">
        <v>0.75</v>
      </c>
      <c r="G6326">
        <v>0.26210236549377403</v>
      </c>
      <c r="H6326">
        <v>2</v>
      </c>
      <c r="I6326">
        <v>7</v>
      </c>
      <c r="J6326">
        <v>30</v>
      </c>
    </row>
    <row r="6327" spans="1:10" x14ac:dyDescent="0.25">
      <c r="A6327" t="s">
        <v>26</v>
      </c>
      <c r="B6327" t="s">
        <v>19</v>
      </c>
      <c r="C6327" t="s">
        <v>12</v>
      </c>
      <c r="D6327" t="s">
        <v>13</v>
      </c>
      <c r="E6327">
        <v>0</v>
      </c>
      <c r="F6327">
        <v>0.75</v>
      </c>
      <c r="G6327">
        <v>0.24953293800354001</v>
      </c>
      <c r="H6327">
        <v>2</v>
      </c>
      <c r="I6327">
        <v>7</v>
      </c>
      <c r="J6327">
        <v>30</v>
      </c>
    </row>
    <row r="6328" spans="1:10" x14ac:dyDescent="0.25">
      <c r="A6328" t="s">
        <v>26</v>
      </c>
      <c r="B6328" t="s">
        <v>19</v>
      </c>
      <c r="C6328" t="s">
        <v>12</v>
      </c>
      <c r="D6328" t="s">
        <v>13</v>
      </c>
      <c r="E6328">
        <v>3.8580246913580201E-4</v>
      </c>
      <c r="F6328">
        <v>0.74999807098765403</v>
      </c>
      <c r="G6328">
        <v>0.24020719528198201</v>
      </c>
      <c r="H6328">
        <v>1</v>
      </c>
      <c r="I6328">
        <v>7</v>
      </c>
      <c r="J6328">
        <v>30</v>
      </c>
    </row>
    <row r="6329" spans="1:10" x14ac:dyDescent="0.25">
      <c r="A6329" t="s">
        <v>26</v>
      </c>
      <c r="B6329" t="s">
        <v>19</v>
      </c>
      <c r="C6329" t="s">
        <v>12</v>
      </c>
      <c r="D6329" t="s">
        <v>13</v>
      </c>
      <c r="E6329">
        <v>0</v>
      </c>
      <c r="F6329">
        <v>0.75</v>
      </c>
      <c r="G6329">
        <v>0.24953365325927701</v>
      </c>
      <c r="H6329">
        <v>1</v>
      </c>
      <c r="I6329">
        <v>8</v>
      </c>
      <c r="J6329">
        <v>30</v>
      </c>
    </row>
    <row r="6330" spans="1:10" x14ac:dyDescent="0.25">
      <c r="A6330" t="s">
        <v>26</v>
      </c>
      <c r="B6330" t="s">
        <v>19</v>
      </c>
      <c r="C6330" t="s">
        <v>12</v>
      </c>
      <c r="D6330" t="s">
        <v>13</v>
      </c>
      <c r="E6330">
        <v>0</v>
      </c>
      <c r="F6330">
        <v>0.75</v>
      </c>
      <c r="G6330">
        <v>0.23388576507568301</v>
      </c>
      <c r="H6330">
        <v>2</v>
      </c>
      <c r="I6330">
        <v>7</v>
      </c>
      <c r="J6330">
        <v>30</v>
      </c>
    </row>
    <row r="6331" spans="1:10" x14ac:dyDescent="0.25">
      <c r="A6331" t="s">
        <v>26</v>
      </c>
      <c r="B6331" t="s">
        <v>19</v>
      </c>
      <c r="C6331" t="s">
        <v>12</v>
      </c>
      <c r="D6331" t="s">
        <v>13</v>
      </c>
      <c r="E6331">
        <v>0</v>
      </c>
      <c r="F6331">
        <v>0.74996173818360301</v>
      </c>
      <c r="G6331">
        <v>0.223750829696655</v>
      </c>
      <c r="H6331">
        <v>1</v>
      </c>
      <c r="I6331">
        <v>7</v>
      </c>
      <c r="J6331">
        <v>30</v>
      </c>
    </row>
    <row r="6332" spans="1:10" x14ac:dyDescent="0.25">
      <c r="A6332" t="s">
        <v>26</v>
      </c>
      <c r="B6332" t="s">
        <v>19</v>
      </c>
      <c r="C6332" t="s">
        <v>12</v>
      </c>
      <c r="D6332" t="s">
        <v>14</v>
      </c>
      <c r="E6332">
        <v>0</v>
      </c>
      <c r="F6332">
        <v>0.75</v>
      </c>
      <c r="G6332">
        <v>9.4360828399658203E-2</v>
      </c>
      <c r="H6332">
        <v>0</v>
      </c>
      <c r="I6332">
        <v>0</v>
      </c>
      <c r="J6332">
        <v>30</v>
      </c>
    </row>
    <row r="6333" spans="1:10" x14ac:dyDescent="0.25">
      <c r="A6333" t="s">
        <v>26</v>
      </c>
      <c r="B6333" t="s">
        <v>19</v>
      </c>
      <c r="C6333" t="s">
        <v>12</v>
      </c>
      <c r="D6333" t="s">
        <v>14</v>
      </c>
      <c r="E6333">
        <v>0</v>
      </c>
      <c r="F6333">
        <v>0.75</v>
      </c>
      <c r="G6333">
        <v>9.2656373977661105E-2</v>
      </c>
      <c r="H6333">
        <v>0</v>
      </c>
      <c r="I6333">
        <v>0</v>
      </c>
      <c r="J6333">
        <v>30</v>
      </c>
    </row>
    <row r="6334" spans="1:10" x14ac:dyDescent="0.25">
      <c r="A6334" t="s">
        <v>26</v>
      </c>
      <c r="B6334" t="s">
        <v>19</v>
      </c>
      <c r="C6334" t="s">
        <v>12</v>
      </c>
      <c r="D6334" t="s">
        <v>14</v>
      </c>
      <c r="E6334">
        <v>0</v>
      </c>
      <c r="F6334">
        <v>0.75</v>
      </c>
      <c r="G6334">
        <v>9.0074300765991197E-2</v>
      </c>
      <c r="H6334">
        <v>0</v>
      </c>
      <c r="I6334">
        <v>0</v>
      </c>
      <c r="J6334">
        <v>30</v>
      </c>
    </row>
    <row r="6335" spans="1:10" x14ac:dyDescent="0.25">
      <c r="A6335" t="s">
        <v>26</v>
      </c>
      <c r="B6335" t="s">
        <v>19</v>
      </c>
      <c r="C6335" t="s">
        <v>12</v>
      </c>
      <c r="D6335" t="s">
        <v>14</v>
      </c>
      <c r="E6335">
        <v>0</v>
      </c>
      <c r="F6335">
        <v>0.75</v>
      </c>
      <c r="G6335">
        <v>9.5963239669799805E-2</v>
      </c>
      <c r="H6335">
        <v>0</v>
      </c>
      <c r="I6335">
        <v>0</v>
      </c>
      <c r="J6335">
        <v>30</v>
      </c>
    </row>
    <row r="6336" spans="1:10" x14ac:dyDescent="0.25">
      <c r="A6336" t="s">
        <v>26</v>
      </c>
      <c r="B6336" t="s">
        <v>19</v>
      </c>
      <c r="C6336" t="s">
        <v>12</v>
      </c>
      <c r="D6336" t="s">
        <v>14</v>
      </c>
      <c r="E6336">
        <v>0</v>
      </c>
      <c r="F6336">
        <v>0.75</v>
      </c>
      <c r="G6336">
        <v>9.4702482223510701E-2</v>
      </c>
      <c r="H6336">
        <v>0</v>
      </c>
      <c r="I6336">
        <v>0</v>
      </c>
      <c r="J6336">
        <v>30</v>
      </c>
    </row>
    <row r="6337" spans="1:10" x14ac:dyDescent="0.25">
      <c r="A6337" t="s">
        <v>26</v>
      </c>
      <c r="B6337" t="s">
        <v>19</v>
      </c>
      <c r="C6337" t="s">
        <v>12</v>
      </c>
      <c r="D6337" t="s">
        <v>14</v>
      </c>
      <c r="E6337">
        <v>0</v>
      </c>
      <c r="F6337">
        <v>0.75</v>
      </c>
      <c r="G6337">
        <v>9.6719980239868095E-2</v>
      </c>
      <c r="H6337">
        <v>0</v>
      </c>
      <c r="I6337">
        <v>0</v>
      </c>
      <c r="J6337">
        <v>30</v>
      </c>
    </row>
    <row r="6338" spans="1:10" x14ac:dyDescent="0.25">
      <c r="A6338" t="s">
        <v>26</v>
      </c>
      <c r="B6338" t="s">
        <v>19</v>
      </c>
      <c r="C6338" t="s">
        <v>12</v>
      </c>
      <c r="D6338" t="s">
        <v>14</v>
      </c>
      <c r="E6338">
        <v>0</v>
      </c>
      <c r="F6338">
        <v>0.75</v>
      </c>
      <c r="G6338">
        <v>0.103922128677368</v>
      </c>
      <c r="H6338">
        <v>0</v>
      </c>
      <c r="I6338">
        <v>0</v>
      </c>
      <c r="J6338">
        <v>30</v>
      </c>
    </row>
    <row r="6339" spans="1:10" x14ac:dyDescent="0.25">
      <c r="A6339" t="s">
        <v>26</v>
      </c>
      <c r="B6339" t="s">
        <v>19</v>
      </c>
      <c r="C6339" t="s">
        <v>12</v>
      </c>
      <c r="D6339" t="s">
        <v>14</v>
      </c>
      <c r="E6339">
        <v>0</v>
      </c>
      <c r="F6339">
        <v>0.75</v>
      </c>
      <c r="G6339">
        <v>0.100919961929321</v>
      </c>
      <c r="H6339">
        <v>0</v>
      </c>
      <c r="I6339">
        <v>0</v>
      </c>
      <c r="J6339">
        <v>30</v>
      </c>
    </row>
    <row r="6340" spans="1:10" x14ac:dyDescent="0.25">
      <c r="A6340" t="s">
        <v>26</v>
      </c>
      <c r="B6340" t="s">
        <v>19</v>
      </c>
      <c r="C6340" t="s">
        <v>12</v>
      </c>
      <c r="D6340" t="s">
        <v>14</v>
      </c>
      <c r="E6340">
        <v>0</v>
      </c>
      <c r="F6340">
        <v>0.75</v>
      </c>
      <c r="G6340">
        <v>9.3822956085204995E-2</v>
      </c>
      <c r="H6340">
        <v>0</v>
      </c>
      <c r="I6340">
        <v>0</v>
      </c>
      <c r="J6340">
        <v>30</v>
      </c>
    </row>
    <row r="6341" spans="1:10" x14ac:dyDescent="0.25">
      <c r="A6341" t="s">
        <v>26</v>
      </c>
      <c r="B6341" t="s">
        <v>19</v>
      </c>
      <c r="C6341" t="s">
        <v>12</v>
      </c>
      <c r="D6341" t="s">
        <v>14</v>
      </c>
      <c r="E6341">
        <v>0</v>
      </c>
      <c r="F6341">
        <v>0.75</v>
      </c>
      <c r="G6341">
        <v>9.5494747161865207E-2</v>
      </c>
      <c r="H6341">
        <v>0</v>
      </c>
      <c r="I6341">
        <v>0</v>
      </c>
      <c r="J6341">
        <v>30</v>
      </c>
    </row>
    <row r="6342" spans="1:10" x14ac:dyDescent="0.25">
      <c r="A6342" t="s">
        <v>26</v>
      </c>
      <c r="B6342" t="s">
        <v>19</v>
      </c>
      <c r="C6342" t="s">
        <v>12</v>
      </c>
      <c r="D6342" t="s">
        <v>14</v>
      </c>
      <c r="E6342">
        <v>0</v>
      </c>
      <c r="F6342">
        <v>0.75</v>
      </c>
      <c r="G6342">
        <v>9.2689514160156194E-2</v>
      </c>
      <c r="H6342">
        <v>0</v>
      </c>
      <c r="I6342">
        <v>0</v>
      </c>
      <c r="J6342">
        <v>30</v>
      </c>
    </row>
    <row r="6343" spans="1:10" x14ac:dyDescent="0.25">
      <c r="A6343" t="s">
        <v>26</v>
      </c>
      <c r="B6343" t="s">
        <v>19</v>
      </c>
      <c r="C6343" t="s">
        <v>12</v>
      </c>
      <c r="D6343" t="s">
        <v>14</v>
      </c>
      <c r="E6343">
        <v>0</v>
      </c>
      <c r="F6343">
        <v>0.75</v>
      </c>
      <c r="G6343">
        <v>9.5157146453857394E-2</v>
      </c>
      <c r="H6343">
        <v>0</v>
      </c>
      <c r="I6343">
        <v>0</v>
      </c>
      <c r="J6343">
        <v>30</v>
      </c>
    </row>
    <row r="6344" spans="1:10" x14ac:dyDescent="0.25">
      <c r="A6344" t="s">
        <v>26</v>
      </c>
      <c r="B6344" t="s">
        <v>19</v>
      </c>
      <c r="C6344" t="s">
        <v>12</v>
      </c>
      <c r="D6344" t="s">
        <v>14</v>
      </c>
      <c r="E6344">
        <v>0</v>
      </c>
      <c r="F6344">
        <v>0.75</v>
      </c>
      <c r="G6344">
        <v>9.5699787139892495E-2</v>
      </c>
      <c r="H6344">
        <v>0</v>
      </c>
      <c r="I6344">
        <v>0</v>
      </c>
      <c r="J6344">
        <v>30</v>
      </c>
    </row>
    <row r="6345" spans="1:10" x14ac:dyDescent="0.25">
      <c r="A6345" t="s">
        <v>26</v>
      </c>
      <c r="B6345" t="s">
        <v>19</v>
      </c>
      <c r="C6345" t="s">
        <v>12</v>
      </c>
      <c r="D6345" t="s">
        <v>14</v>
      </c>
      <c r="E6345">
        <v>0</v>
      </c>
      <c r="F6345">
        <v>0.75</v>
      </c>
      <c r="G6345">
        <v>9.4181776046752902E-2</v>
      </c>
      <c r="H6345">
        <v>0</v>
      </c>
      <c r="I6345">
        <v>0</v>
      </c>
      <c r="J6345">
        <v>30</v>
      </c>
    </row>
    <row r="6346" spans="1:10" x14ac:dyDescent="0.25">
      <c r="A6346" t="s">
        <v>26</v>
      </c>
      <c r="B6346" t="s">
        <v>19</v>
      </c>
      <c r="C6346" t="s">
        <v>12</v>
      </c>
      <c r="D6346" t="s">
        <v>14</v>
      </c>
      <c r="E6346">
        <v>0</v>
      </c>
      <c r="F6346">
        <v>0.75</v>
      </c>
      <c r="G6346">
        <v>0.102029561996459</v>
      </c>
      <c r="H6346">
        <v>0</v>
      </c>
      <c r="I6346">
        <v>0</v>
      </c>
      <c r="J6346">
        <v>30</v>
      </c>
    </row>
    <row r="6347" spans="1:10" x14ac:dyDescent="0.25">
      <c r="A6347" t="s">
        <v>26</v>
      </c>
      <c r="B6347" t="s">
        <v>19</v>
      </c>
      <c r="C6347" t="s">
        <v>12</v>
      </c>
      <c r="D6347" t="s">
        <v>14</v>
      </c>
      <c r="E6347">
        <v>0</v>
      </c>
      <c r="F6347">
        <v>0.75</v>
      </c>
      <c r="G6347">
        <v>0.101004600524902</v>
      </c>
      <c r="H6347">
        <v>0</v>
      </c>
      <c r="I6347">
        <v>0</v>
      </c>
      <c r="J6347">
        <v>30</v>
      </c>
    </row>
    <row r="6348" spans="1:10" x14ac:dyDescent="0.25">
      <c r="A6348" t="s">
        <v>26</v>
      </c>
      <c r="B6348" t="s">
        <v>19</v>
      </c>
      <c r="C6348" t="s">
        <v>12</v>
      </c>
      <c r="D6348" t="s">
        <v>14</v>
      </c>
      <c r="E6348">
        <v>0</v>
      </c>
      <c r="F6348">
        <v>0.75</v>
      </c>
      <c r="G6348">
        <v>0.12865662574768</v>
      </c>
      <c r="H6348">
        <v>0</v>
      </c>
      <c r="I6348">
        <v>0</v>
      </c>
      <c r="J6348">
        <v>30</v>
      </c>
    </row>
    <row r="6349" spans="1:10" x14ac:dyDescent="0.25">
      <c r="A6349" t="s">
        <v>26</v>
      </c>
      <c r="B6349" t="s">
        <v>19</v>
      </c>
      <c r="C6349" t="s">
        <v>12</v>
      </c>
      <c r="D6349" t="s">
        <v>14</v>
      </c>
      <c r="E6349">
        <v>0</v>
      </c>
      <c r="F6349">
        <v>0.75</v>
      </c>
      <c r="G6349">
        <v>9.8389387130737305E-2</v>
      </c>
      <c r="H6349">
        <v>0</v>
      </c>
      <c r="I6349">
        <v>0</v>
      </c>
      <c r="J6349">
        <v>30</v>
      </c>
    </row>
    <row r="6350" spans="1:10" x14ac:dyDescent="0.25">
      <c r="A6350" t="s">
        <v>26</v>
      </c>
      <c r="B6350" t="s">
        <v>19</v>
      </c>
      <c r="C6350" t="s">
        <v>12</v>
      </c>
      <c r="D6350" t="s">
        <v>14</v>
      </c>
      <c r="E6350">
        <v>0</v>
      </c>
      <c r="F6350">
        <v>0.75</v>
      </c>
      <c r="G6350">
        <v>9.7855567932128906E-2</v>
      </c>
      <c r="H6350">
        <v>0</v>
      </c>
      <c r="I6350">
        <v>0</v>
      </c>
      <c r="J6350">
        <v>30</v>
      </c>
    </row>
    <row r="6351" spans="1:10" x14ac:dyDescent="0.25">
      <c r="A6351" t="s">
        <v>26</v>
      </c>
      <c r="B6351" t="s">
        <v>19</v>
      </c>
      <c r="C6351" t="s">
        <v>12</v>
      </c>
      <c r="D6351" t="s">
        <v>14</v>
      </c>
      <c r="E6351">
        <v>0</v>
      </c>
      <c r="F6351">
        <v>0.75</v>
      </c>
      <c r="G6351">
        <v>9.6435070037841797E-2</v>
      </c>
      <c r="H6351">
        <v>0</v>
      </c>
      <c r="I6351">
        <v>0</v>
      </c>
      <c r="J6351">
        <v>30</v>
      </c>
    </row>
    <row r="6352" spans="1:10" x14ac:dyDescent="0.25">
      <c r="A6352" t="s">
        <v>26</v>
      </c>
      <c r="B6352" t="s">
        <v>19</v>
      </c>
      <c r="C6352" t="s">
        <v>12</v>
      </c>
      <c r="D6352" t="s">
        <v>14</v>
      </c>
      <c r="E6352">
        <v>0</v>
      </c>
      <c r="F6352">
        <v>0.75</v>
      </c>
      <c r="G6352">
        <v>9.8378419876098605E-2</v>
      </c>
      <c r="H6352">
        <v>0</v>
      </c>
      <c r="I6352">
        <v>0</v>
      </c>
      <c r="J6352">
        <v>30</v>
      </c>
    </row>
    <row r="6353" spans="1:10" x14ac:dyDescent="0.25">
      <c r="A6353" t="s">
        <v>26</v>
      </c>
      <c r="B6353" t="s">
        <v>19</v>
      </c>
      <c r="C6353" t="s">
        <v>12</v>
      </c>
      <c r="D6353" t="s">
        <v>14</v>
      </c>
      <c r="E6353">
        <v>0</v>
      </c>
      <c r="F6353">
        <v>0.75</v>
      </c>
      <c r="G6353">
        <v>9.9440336227416895E-2</v>
      </c>
      <c r="H6353">
        <v>0</v>
      </c>
      <c r="I6353">
        <v>0</v>
      </c>
      <c r="J6353">
        <v>30</v>
      </c>
    </row>
    <row r="6354" spans="1:10" x14ac:dyDescent="0.25">
      <c r="A6354" t="s">
        <v>26</v>
      </c>
      <c r="B6354" t="s">
        <v>19</v>
      </c>
      <c r="C6354" t="s">
        <v>12</v>
      </c>
      <c r="D6354" t="s">
        <v>14</v>
      </c>
      <c r="E6354">
        <v>0</v>
      </c>
      <c r="F6354">
        <v>0.75</v>
      </c>
      <c r="G6354">
        <v>9.9374055862426702E-2</v>
      </c>
      <c r="H6354">
        <v>0</v>
      </c>
      <c r="I6354">
        <v>0</v>
      </c>
      <c r="J6354">
        <v>30</v>
      </c>
    </row>
    <row r="6355" spans="1:10" x14ac:dyDescent="0.25">
      <c r="A6355" t="s">
        <v>26</v>
      </c>
      <c r="B6355" t="s">
        <v>19</v>
      </c>
      <c r="C6355" t="s">
        <v>12</v>
      </c>
      <c r="D6355" t="s">
        <v>14</v>
      </c>
      <c r="E6355">
        <v>0</v>
      </c>
      <c r="F6355">
        <v>0.75</v>
      </c>
      <c r="G6355">
        <v>0.102362871170043</v>
      </c>
      <c r="H6355">
        <v>0</v>
      </c>
      <c r="I6355">
        <v>0</v>
      </c>
      <c r="J6355">
        <v>30</v>
      </c>
    </row>
    <row r="6356" spans="1:10" x14ac:dyDescent="0.25">
      <c r="A6356" t="s">
        <v>26</v>
      </c>
      <c r="B6356" t="s">
        <v>19</v>
      </c>
      <c r="C6356" t="s">
        <v>12</v>
      </c>
      <c r="D6356" t="s">
        <v>14</v>
      </c>
      <c r="E6356">
        <v>0</v>
      </c>
      <c r="F6356">
        <v>0.75</v>
      </c>
      <c r="G6356">
        <v>0.10551714897155701</v>
      </c>
      <c r="H6356">
        <v>0</v>
      </c>
      <c r="I6356">
        <v>0</v>
      </c>
      <c r="J6356">
        <v>30</v>
      </c>
    </row>
    <row r="6357" spans="1:10" x14ac:dyDescent="0.25">
      <c r="A6357" t="s">
        <v>26</v>
      </c>
      <c r="B6357" t="s">
        <v>19</v>
      </c>
      <c r="C6357" t="s">
        <v>12</v>
      </c>
      <c r="D6357" t="s">
        <v>14</v>
      </c>
      <c r="E6357">
        <v>0</v>
      </c>
      <c r="F6357">
        <v>0.75</v>
      </c>
      <c r="G6357">
        <v>0.13360595703125</v>
      </c>
      <c r="H6357">
        <v>0</v>
      </c>
      <c r="I6357">
        <v>0</v>
      </c>
      <c r="J6357">
        <v>30</v>
      </c>
    </row>
    <row r="6358" spans="1:10" x14ac:dyDescent="0.25">
      <c r="A6358" t="s">
        <v>26</v>
      </c>
      <c r="B6358" t="s">
        <v>19</v>
      </c>
      <c r="C6358" t="s">
        <v>12</v>
      </c>
      <c r="D6358" t="s">
        <v>14</v>
      </c>
      <c r="E6358">
        <v>0</v>
      </c>
      <c r="F6358">
        <v>0.75</v>
      </c>
      <c r="G6358">
        <v>9.4889163970947196E-2</v>
      </c>
      <c r="H6358">
        <v>0</v>
      </c>
      <c r="I6358">
        <v>0</v>
      </c>
      <c r="J6358">
        <v>30</v>
      </c>
    </row>
    <row r="6359" spans="1:10" x14ac:dyDescent="0.25">
      <c r="A6359" t="s">
        <v>26</v>
      </c>
      <c r="B6359" t="s">
        <v>19</v>
      </c>
      <c r="C6359" t="s">
        <v>12</v>
      </c>
      <c r="D6359" t="s">
        <v>14</v>
      </c>
      <c r="E6359">
        <v>0</v>
      </c>
      <c r="F6359">
        <v>0.75</v>
      </c>
      <c r="G6359">
        <v>9.9394321441650293E-2</v>
      </c>
      <c r="H6359">
        <v>0</v>
      </c>
      <c r="I6359">
        <v>0</v>
      </c>
      <c r="J6359">
        <v>30</v>
      </c>
    </row>
    <row r="6360" spans="1:10" x14ac:dyDescent="0.25">
      <c r="A6360" t="s">
        <v>26</v>
      </c>
      <c r="B6360" t="s">
        <v>19</v>
      </c>
      <c r="C6360" t="s">
        <v>12</v>
      </c>
      <c r="D6360" t="s">
        <v>14</v>
      </c>
      <c r="E6360">
        <v>0</v>
      </c>
      <c r="F6360">
        <v>0.75</v>
      </c>
      <c r="G6360">
        <v>9.0379238128662095E-2</v>
      </c>
      <c r="H6360">
        <v>0</v>
      </c>
      <c r="I6360">
        <v>0</v>
      </c>
      <c r="J6360">
        <v>30</v>
      </c>
    </row>
    <row r="6361" spans="1:10" x14ac:dyDescent="0.25">
      <c r="A6361" t="s">
        <v>26</v>
      </c>
      <c r="B6361" t="s">
        <v>19</v>
      </c>
      <c r="C6361" t="s">
        <v>12</v>
      </c>
      <c r="D6361" t="s">
        <v>14</v>
      </c>
      <c r="E6361">
        <v>0</v>
      </c>
      <c r="F6361">
        <v>0.75</v>
      </c>
      <c r="G6361">
        <v>8.5795402526855399E-2</v>
      </c>
      <c r="H6361">
        <v>0</v>
      </c>
      <c r="I6361">
        <v>0</v>
      </c>
      <c r="J6361">
        <v>30</v>
      </c>
    </row>
    <row r="6362" spans="1:10" x14ac:dyDescent="0.25">
      <c r="A6362" t="s">
        <v>26</v>
      </c>
      <c r="B6362" t="s">
        <v>19</v>
      </c>
      <c r="C6362" t="s">
        <v>12</v>
      </c>
      <c r="D6362" t="s">
        <v>15</v>
      </c>
      <c r="E6362">
        <v>0</v>
      </c>
      <c r="F6362">
        <v>0.75</v>
      </c>
      <c r="G6362">
        <v>0.120179891586303</v>
      </c>
      <c r="H6362">
        <v>0</v>
      </c>
      <c r="I6362">
        <v>0</v>
      </c>
      <c r="J6362">
        <v>30</v>
      </c>
    </row>
    <row r="6363" spans="1:10" x14ac:dyDescent="0.25">
      <c r="A6363" t="s">
        <v>26</v>
      </c>
      <c r="B6363" t="s">
        <v>19</v>
      </c>
      <c r="C6363" t="s">
        <v>12</v>
      </c>
      <c r="D6363" t="s">
        <v>15</v>
      </c>
      <c r="E6363">
        <v>0</v>
      </c>
      <c r="F6363">
        <v>0.75</v>
      </c>
      <c r="G6363">
        <v>9.7397565841674805E-2</v>
      </c>
      <c r="H6363">
        <v>0</v>
      </c>
      <c r="I6363">
        <v>0</v>
      </c>
      <c r="J6363">
        <v>30</v>
      </c>
    </row>
    <row r="6364" spans="1:10" x14ac:dyDescent="0.25">
      <c r="A6364" t="s">
        <v>26</v>
      </c>
      <c r="B6364" t="s">
        <v>19</v>
      </c>
      <c r="C6364" t="s">
        <v>12</v>
      </c>
      <c r="D6364" t="s">
        <v>15</v>
      </c>
      <c r="E6364">
        <v>0</v>
      </c>
      <c r="F6364">
        <v>0.75</v>
      </c>
      <c r="G6364">
        <v>0.111964464187622</v>
      </c>
      <c r="H6364">
        <v>0</v>
      </c>
      <c r="I6364">
        <v>0</v>
      </c>
      <c r="J6364">
        <v>30</v>
      </c>
    </row>
    <row r="6365" spans="1:10" x14ac:dyDescent="0.25">
      <c r="A6365" t="s">
        <v>26</v>
      </c>
      <c r="B6365" t="s">
        <v>19</v>
      </c>
      <c r="C6365" t="s">
        <v>12</v>
      </c>
      <c r="D6365" t="s">
        <v>15</v>
      </c>
      <c r="E6365">
        <v>0</v>
      </c>
      <c r="F6365">
        <v>0.75</v>
      </c>
      <c r="G6365">
        <v>0.10344195365905701</v>
      </c>
      <c r="H6365">
        <v>0</v>
      </c>
      <c r="I6365">
        <v>0</v>
      </c>
      <c r="J6365">
        <v>30</v>
      </c>
    </row>
    <row r="6366" spans="1:10" x14ac:dyDescent="0.25">
      <c r="A6366" t="s">
        <v>26</v>
      </c>
      <c r="B6366" t="s">
        <v>19</v>
      </c>
      <c r="C6366" t="s">
        <v>12</v>
      </c>
      <c r="D6366" t="s">
        <v>15</v>
      </c>
      <c r="E6366">
        <v>0</v>
      </c>
      <c r="F6366">
        <v>0.75</v>
      </c>
      <c r="G6366">
        <v>0.100373268127441</v>
      </c>
      <c r="H6366">
        <v>0</v>
      </c>
      <c r="I6366">
        <v>0</v>
      </c>
      <c r="J6366">
        <v>30</v>
      </c>
    </row>
    <row r="6367" spans="1:10" x14ac:dyDescent="0.25">
      <c r="A6367" t="s">
        <v>26</v>
      </c>
      <c r="B6367" t="s">
        <v>19</v>
      </c>
      <c r="C6367" t="s">
        <v>12</v>
      </c>
      <c r="D6367" t="s">
        <v>15</v>
      </c>
      <c r="E6367">
        <v>0</v>
      </c>
      <c r="F6367">
        <v>0.75</v>
      </c>
      <c r="G6367">
        <v>9.7662925720214802E-2</v>
      </c>
      <c r="H6367">
        <v>0</v>
      </c>
      <c r="I6367">
        <v>0</v>
      </c>
      <c r="J6367">
        <v>30</v>
      </c>
    </row>
    <row r="6368" spans="1:10" x14ac:dyDescent="0.25">
      <c r="A6368" t="s">
        <v>26</v>
      </c>
      <c r="B6368" t="s">
        <v>19</v>
      </c>
      <c r="C6368" t="s">
        <v>12</v>
      </c>
      <c r="D6368" t="s">
        <v>15</v>
      </c>
      <c r="E6368">
        <v>0</v>
      </c>
      <c r="F6368">
        <v>0.75</v>
      </c>
      <c r="G6368">
        <v>0.108149051666259</v>
      </c>
      <c r="H6368">
        <v>0</v>
      </c>
      <c r="I6368">
        <v>0</v>
      </c>
      <c r="J6368">
        <v>30</v>
      </c>
    </row>
    <row r="6369" spans="1:10" x14ac:dyDescent="0.25">
      <c r="A6369" t="s">
        <v>26</v>
      </c>
      <c r="B6369" t="s">
        <v>19</v>
      </c>
      <c r="C6369" t="s">
        <v>12</v>
      </c>
      <c r="D6369" t="s">
        <v>15</v>
      </c>
      <c r="E6369">
        <v>0</v>
      </c>
      <c r="F6369">
        <v>0.75</v>
      </c>
      <c r="G6369">
        <v>0.24825477600097601</v>
      </c>
      <c r="H6369">
        <v>1</v>
      </c>
      <c r="I6369">
        <v>8</v>
      </c>
      <c r="J6369">
        <v>30</v>
      </c>
    </row>
    <row r="6370" spans="1:10" x14ac:dyDescent="0.25">
      <c r="A6370" t="s">
        <v>26</v>
      </c>
      <c r="B6370" t="s">
        <v>19</v>
      </c>
      <c r="C6370" t="s">
        <v>12</v>
      </c>
      <c r="D6370" t="s">
        <v>15</v>
      </c>
      <c r="E6370">
        <v>0</v>
      </c>
      <c r="F6370">
        <v>0.75</v>
      </c>
      <c r="G6370">
        <v>0.27734899520874001</v>
      </c>
      <c r="H6370">
        <v>1</v>
      </c>
      <c r="I6370">
        <v>8</v>
      </c>
      <c r="J6370">
        <v>30</v>
      </c>
    </row>
    <row r="6371" spans="1:10" x14ac:dyDescent="0.25">
      <c r="A6371" t="s">
        <v>26</v>
      </c>
      <c r="B6371" t="s">
        <v>19</v>
      </c>
      <c r="C6371" t="s">
        <v>12</v>
      </c>
      <c r="D6371" t="s">
        <v>15</v>
      </c>
      <c r="E6371">
        <v>0</v>
      </c>
      <c r="F6371">
        <v>0.75</v>
      </c>
      <c r="G6371">
        <v>0.11036872863769499</v>
      </c>
      <c r="H6371">
        <v>0</v>
      </c>
      <c r="I6371">
        <v>0</v>
      </c>
      <c r="J6371">
        <v>30</v>
      </c>
    </row>
    <row r="6372" spans="1:10" x14ac:dyDescent="0.25">
      <c r="A6372" t="s">
        <v>26</v>
      </c>
      <c r="B6372" t="s">
        <v>19</v>
      </c>
      <c r="C6372" t="s">
        <v>12</v>
      </c>
      <c r="D6372" t="s">
        <v>15</v>
      </c>
      <c r="E6372">
        <v>0</v>
      </c>
      <c r="F6372">
        <v>0.75</v>
      </c>
      <c r="G6372">
        <v>0.110876321792602</v>
      </c>
      <c r="H6372">
        <v>0</v>
      </c>
      <c r="I6372">
        <v>0</v>
      </c>
      <c r="J6372">
        <v>30</v>
      </c>
    </row>
    <row r="6373" spans="1:10" x14ac:dyDescent="0.25">
      <c r="A6373" t="s">
        <v>26</v>
      </c>
      <c r="B6373" t="s">
        <v>19</v>
      </c>
      <c r="C6373" t="s">
        <v>12</v>
      </c>
      <c r="D6373" t="s">
        <v>15</v>
      </c>
      <c r="E6373">
        <v>0</v>
      </c>
      <c r="F6373">
        <v>0.75</v>
      </c>
      <c r="G6373">
        <v>0.11215472221374501</v>
      </c>
      <c r="H6373">
        <v>0</v>
      </c>
      <c r="I6373">
        <v>0</v>
      </c>
      <c r="J6373">
        <v>30</v>
      </c>
    </row>
    <row r="6374" spans="1:10" x14ac:dyDescent="0.25">
      <c r="A6374" t="s">
        <v>26</v>
      </c>
      <c r="B6374" t="s">
        <v>19</v>
      </c>
      <c r="C6374" t="s">
        <v>12</v>
      </c>
      <c r="D6374" t="s">
        <v>15</v>
      </c>
      <c r="E6374">
        <v>0</v>
      </c>
      <c r="F6374">
        <v>0.75</v>
      </c>
      <c r="G6374">
        <v>0.10906863212585401</v>
      </c>
      <c r="H6374">
        <v>0</v>
      </c>
      <c r="I6374">
        <v>0</v>
      </c>
      <c r="J6374">
        <v>30</v>
      </c>
    </row>
    <row r="6375" spans="1:10" x14ac:dyDescent="0.25">
      <c r="A6375" t="s">
        <v>26</v>
      </c>
      <c r="B6375" t="s">
        <v>19</v>
      </c>
      <c r="C6375" t="s">
        <v>12</v>
      </c>
      <c r="D6375" t="s">
        <v>15</v>
      </c>
      <c r="E6375">
        <v>0</v>
      </c>
      <c r="F6375">
        <v>0.75</v>
      </c>
      <c r="G6375">
        <v>0.42087435722351002</v>
      </c>
      <c r="H6375">
        <v>2</v>
      </c>
      <c r="I6375">
        <v>11</v>
      </c>
      <c r="J6375">
        <v>30</v>
      </c>
    </row>
    <row r="6376" spans="1:10" x14ac:dyDescent="0.25">
      <c r="A6376" t="s">
        <v>26</v>
      </c>
      <c r="B6376" t="s">
        <v>19</v>
      </c>
      <c r="C6376" t="s">
        <v>12</v>
      </c>
      <c r="D6376" t="s">
        <v>15</v>
      </c>
      <c r="E6376">
        <v>0</v>
      </c>
      <c r="F6376">
        <v>0.75</v>
      </c>
      <c r="G6376">
        <v>0.25240921974182101</v>
      </c>
      <c r="H6376">
        <v>1</v>
      </c>
      <c r="I6376">
        <v>8</v>
      </c>
      <c r="J6376">
        <v>30</v>
      </c>
    </row>
    <row r="6377" spans="1:10" x14ac:dyDescent="0.25">
      <c r="A6377" t="s">
        <v>26</v>
      </c>
      <c r="B6377" t="s">
        <v>19</v>
      </c>
      <c r="C6377" t="s">
        <v>12</v>
      </c>
      <c r="D6377" t="s">
        <v>15</v>
      </c>
      <c r="E6377">
        <v>0</v>
      </c>
      <c r="F6377">
        <v>0.75</v>
      </c>
      <c r="G6377">
        <v>0.29663443565368602</v>
      </c>
      <c r="H6377">
        <v>1</v>
      </c>
      <c r="I6377">
        <v>8</v>
      </c>
      <c r="J6377">
        <v>30</v>
      </c>
    </row>
    <row r="6378" spans="1:10" x14ac:dyDescent="0.25">
      <c r="A6378" t="s">
        <v>26</v>
      </c>
      <c r="B6378" t="s">
        <v>19</v>
      </c>
      <c r="C6378" t="s">
        <v>12</v>
      </c>
      <c r="D6378" t="s">
        <v>15</v>
      </c>
      <c r="E6378">
        <v>0</v>
      </c>
      <c r="F6378">
        <v>0.75</v>
      </c>
      <c r="G6378">
        <v>0.10807466506957999</v>
      </c>
      <c r="H6378">
        <v>0</v>
      </c>
      <c r="I6378">
        <v>0</v>
      </c>
      <c r="J6378">
        <v>30</v>
      </c>
    </row>
    <row r="6379" spans="1:10" x14ac:dyDescent="0.25">
      <c r="A6379" t="s">
        <v>26</v>
      </c>
      <c r="B6379" t="s">
        <v>19</v>
      </c>
      <c r="C6379" t="s">
        <v>12</v>
      </c>
      <c r="D6379" t="s">
        <v>15</v>
      </c>
      <c r="E6379">
        <v>0</v>
      </c>
      <c r="F6379">
        <v>0.75</v>
      </c>
      <c r="G6379">
        <v>0.259221792221069</v>
      </c>
      <c r="H6379">
        <v>1</v>
      </c>
      <c r="I6379">
        <v>8</v>
      </c>
      <c r="J6379">
        <v>30</v>
      </c>
    </row>
    <row r="6380" spans="1:10" x14ac:dyDescent="0.25">
      <c r="A6380" t="s">
        <v>26</v>
      </c>
      <c r="B6380" t="s">
        <v>19</v>
      </c>
      <c r="C6380" t="s">
        <v>12</v>
      </c>
      <c r="D6380" t="s">
        <v>15</v>
      </c>
      <c r="E6380">
        <v>0</v>
      </c>
      <c r="F6380">
        <v>0.75</v>
      </c>
      <c r="G6380">
        <v>0.11301231384277299</v>
      </c>
      <c r="H6380">
        <v>0</v>
      </c>
      <c r="I6380">
        <v>0</v>
      </c>
      <c r="J6380">
        <v>30</v>
      </c>
    </row>
    <row r="6381" spans="1:10" x14ac:dyDescent="0.25">
      <c r="A6381" t="s">
        <v>26</v>
      </c>
      <c r="B6381" t="s">
        <v>19</v>
      </c>
      <c r="C6381" t="s">
        <v>12</v>
      </c>
      <c r="D6381" t="s">
        <v>15</v>
      </c>
      <c r="E6381">
        <v>0</v>
      </c>
      <c r="F6381">
        <v>0.75</v>
      </c>
      <c r="G6381">
        <v>0.39603257179260198</v>
      </c>
      <c r="H6381">
        <v>2</v>
      </c>
      <c r="I6381">
        <v>12</v>
      </c>
      <c r="J6381">
        <v>30</v>
      </c>
    </row>
    <row r="6382" spans="1:10" x14ac:dyDescent="0.25">
      <c r="A6382" t="s">
        <v>26</v>
      </c>
      <c r="B6382" t="s">
        <v>19</v>
      </c>
      <c r="C6382" t="s">
        <v>12</v>
      </c>
      <c r="D6382" t="s">
        <v>15</v>
      </c>
      <c r="E6382">
        <v>0</v>
      </c>
      <c r="F6382">
        <v>0.75</v>
      </c>
      <c r="G6382">
        <v>0.113458395004272</v>
      </c>
      <c r="H6382">
        <v>0</v>
      </c>
      <c r="I6382">
        <v>0</v>
      </c>
      <c r="J6382">
        <v>30</v>
      </c>
    </row>
    <row r="6383" spans="1:10" x14ac:dyDescent="0.25">
      <c r="A6383" t="s">
        <v>26</v>
      </c>
      <c r="B6383" t="s">
        <v>19</v>
      </c>
      <c r="C6383" t="s">
        <v>12</v>
      </c>
      <c r="D6383" t="s">
        <v>15</v>
      </c>
      <c r="E6383">
        <v>0</v>
      </c>
      <c r="F6383">
        <v>0.75</v>
      </c>
      <c r="G6383">
        <v>0.107950448989868</v>
      </c>
      <c r="H6383">
        <v>0</v>
      </c>
      <c r="I6383">
        <v>0</v>
      </c>
      <c r="J6383">
        <v>30</v>
      </c>
    </row>
    <row r="6384" spans="1:10" x14ac:dyDescent="0.25">
      <c r="A6384" t="s">
        <v>26</v>
      </c>
      <c r="B6384" t="s">
        <v>19</v>
      </c>
      <c r="C6384" t="s">
        <v>12</v>
      </c>
      <c r="D6384" t="s">
        <v>15</v>
      </c>
      <c r="E6384">
        <v>0</v>
      </c>
      <c r="F6384">
        <v>0.75</v>
      </c>
      <c r="G6384">
        <v>0.10494256019592201</v>
      </c>
      <c r="H6384">
        <v>0</v>
      </c>
      <c r="I6384">
        <v>0</v>
      </c>
      <c r="J6384">
        <v>30</v>
      </c>
    </row>
    <row r="6385" spans="1:10" x14ac:dyDescent="0.25">
      <c r="A6385" t="s">
        <v>26</v>
      </c>
      <c r="B6385" t="s">
        <v>19</v>
      </c>
      <c r="C6385" t="s">
        <v>12</v>
      </c>
      <c r="D6385" t="s">
        <v>15</v>
      </c>
      <c r="E6385">
        <v>0</v>
      </c>
      <c r="F6385">
        <v>0.75</v>
      </c>
      <c r="G6385">
        <v>0.26434779167175199</v>
      </c>
      <c r="H6385">
        <v>1</v>
      </c>
      <c r="I6385">
        <v>6</v>
      </c>
      <c r="J6385">
        <v>30</v>
      </c>
    </row>
    <row r="6386" spans="1:10" x14ac:dyDescent="0.25">
      <c r="A6386" t="s">
        <v>26</v>
      </c>
      <c r="B6386" t="s">
        <v>19</v>
      </c>
      <c r="C6386" t="s">
        <v>12</v>
      </c>
      <c r="D6386" t="s">
        <v>15</v>
      </c>
      <c r="E6386">
        <v>0</v>
      </c>
      <c r="F6386">
        <v>0.75</v>
      </c>
      <c r="G6386">
        <v>9.2342615127563393E-2</v>
      </c>
      <c r="H6386">
        <v>0</v>
      </c>
      <c r="I6386">
        <v>0</v>
      </c>
      <c r="J6386">
        <v>30</v>
      </c>
    </row>
    <row r="6387" spans="1:10" x14ac:dyDescent="0.25">
      <c r="A6387" t="s">
        <v>26</v>
      </c>
      <c r="B6387" t="s">
        <v>19</v>
      </c>
      <c r="C6387" t="s">
        <v>12</v>
      </c>
      <c r="D6387" t="s">
        <v>15</v>
      </c>
      <c r="E6387">
        <v>0</v>
      </c>
      <c r="F6387">
        <v>0.75</v>
      </c>
      <c r="G6387">
        <v>0.23407864570617601</v>
      </c>
      <c r="H6387">
        <v>1</v>
      </c>
      <c r="I6387">
        <v>8</v>
      </c>
      <c r="J6387">
        <v>30</v>
      </c>
    </row>
    <row r="6388" spans="1:10" x14ac:dyDescent="0.25">
      <c r="A6388" t="s">
        <v>26</v>
      </c>
      <c r="B6388" t="s">
        <v>19</v>
      </c>
      <c r="C6388" t="s">
        <v>12</v>
      </c>
      <c r="D6388" t="s">
        <v>15</v>
      </c>
      <c r="E6388">
        <v>3.8580246913580201E-4</v>
      </c>
      <c r="F6388">
        <v>0.75001832561728399</v>
      </c>
      <c r="G6388">
        <v>0.42373251914978</v>
      </c>
      <c r="H6388">
        <v>2</v>
      </c>
      <c r="I6388">
        <v>10</v>
      </c>
      <c r="J6388">
        <v>30</v>
      </c>
    </row>
    <row r="6389" spans="1:10" x14ac:dyDescent="0.25">
      <c r="A6389" t="s">
        <v>26</v>
      </c>
      <c r="B6389" t="s">
        <v>19</v>
      </c>
      <c r="C6389" t="s">
        <v>12</v>
      </c>
      <c r="D6389" t="s">
        <v>15</v>
      </c>
      <c r="E6389">
        <v>0</v>
      </c>
      <c r="F6389">
        <v>0.75</v>
      </c>
      <c r="G6389">
        <v>0.36981582641601501</v>
      </c>
      <c r="H6389">
        <v>2</v>
      </c>
      <c r="I6389">
        <v>10</v>
      </c>
      <c r="J6389">
        <v>30</v>
      </c>
    </row>
    <row r="6390" spans="1:10" x14ac:dyDescent="0.25">
      <c r="A6390" t="s">
        <v>26</v>
      </c>
      <c r="B6390" t="s">
        <v>19</v>
      </c>
      <c r="C6390" t="s">
        <v>12</v>
      </c>
      <c r="D6390" t="s">
        <v>15</v>
      </c>
      <c r="E6390">
        <v>0</v>
      </c>
      <c r="F6390">
        <v>0.75</v>
      </c>
      <c r="G6390">
        <v>0.21088695526123</v>
      </c>
      <c r="H6390">
        <v>1</v>
      </c>
      <c r="I6390">
        <v>8</v>
      </c>
      <c r="J6390">
        <v>30</v>
      </c>
    </row>
    <row r="6391" spans="1:10" x14ac:dyDescent="0.25">
      <c r="A6391" t="s">
        <v>26</v>
      </c>
      <c r="B6391" t="s">
        <v>19</v>
      </c>
      <c r="C6391" t="s">
        <v>12</v>
      </c>
      <c r="D6391" t="s">
        <v>15</v>
      </c>
      <c r="E6391">
        <v>0</v>
      </c>
      <c r="F6391">
        <v>0.75</v>
      </c>
      <c r="G6391">
        <v>0.98483085632324197</v>
      </c>
      <c r="H6391">
        <v>7</v>
      </c>
      <c r="I6391">
        <v>21</v>
      </c>
      <c r="J6391">
        <v>30</v>
      </c>
    </row>
    <row r="6392" spans="1:10" x14ac:dyDescent="0.25">
      <c r="A6392" t="s">
        <v>26</v>
      </c>
      <c r="B6392" t="s">
        <v>19</v>
      </c>
      <c r="C6392" t="s">
        <v>12</v>
      </c>
      <c r="D6392" t="s">
        <v>16</v>
      </c>
      <c r="E6392">
        <v>0</v>
      </c>
      <c r="F6392">
        <v>0.75</v>
      </c>
      <c r="G6392">
        <v>9.588623046875E-2</v>
      </c>
      <c r="H6392">
        <v>0</v>
      </c>
      <c r="I6392">
        <v>0</v>
      </c>
      <c r="J6392">
        <v>30</v>
      </c>
    </row>
    <row r="6393" spans="1:10" x14ac:dyDescent="0.25">
      <c r="A6393" t="s">
        <v>26</v>
      </c>
      <c r="B6393" t="s">
        <v>19</v>
      </c>
      <c r="C6393" t="s">
        <v>12</v>
      </c>
      <c r="D6393" t="s">
        <v>16</v>
      </c>
      <c r="E6393">
        <v>0</v>
      </c>
      <c r="F6393">
        <v>0.75</v>
      </c>
      <c r="G6393">
        <v>9.5465183258056599E-2</v>
      </c>
      <c r="H6393">
        <v>0</v>
      </c>
      <c r="I6393">
        <v>0</v>
      </c>
      <c r="J6393">
        <v>30</v>
      </c>
    </row>
    <row r="6394" spans="1:10" x14ac:dyDescent="0.25">
      <c r="A6394" t="s">
        <v>26</v>
      </c>
      <c r="B6394" t="s">
        <v>19</v>
      </c>
      <c r="C6394" t="s">
        <v>12</v>
      </c>
      <c r="D6394" t="s">
        <v>16</v>
      </c>
      <c r="E6394">
        <v>0</v>
      </c>
      <c r="F6394">
        <v>0.75</v>
      </c>
      <c r="G6394">
        <v>9.5986366271972601E-2</v>
      </c>
      <c r="H6394">
        <v>0</v>
      </c>
      <c r="I6394">
        <v>0</v>
      </c>
      <c r="J6394">
        <v>30</v>
      </c>
    </row>
    <row r="6395" spans="1:10" x14ac:dyDescent="0.25">
      <c r="A6395" t="s">
        <v>26</v>
      </c>
      <c r="B6395" t="s">
        <v>19</v>
      </c>
      <c r="C6395" t="s">
        <v>12</v>
      </c>
      <c r="D6395" t="s">
        <v>16</v>
      </c>
      <c r="E6395">
        <v>0</v>
      </c>
      <c r="F6395">
        <v>0.75</v>
      </c>
      <c r="G6395">
        <v>0.10697746276855399</v>
      </c>
      <c r="H6395">
        <v>0</v>
      </c>
      <c r="I6395">
        <v>0</v>
      </c>
      <c r="J6395">
        <v>30</v>
      </c>
    </row>
    <row r="6396" spans="1:10" x14ac:dyDescent="0.25">
      <c r="A6396" t="s">
        <v>26</v>
      </c>
      <c r="B6396" t="s">
        <v>19</v>
      </c>
      <c r="C6396" t="s">
        <v>12</v>
      </c>
      <c r="D6396" t="s">
        <v>16</v>
      </c>
      <c r="E6396">
        <v>0</v>
      </c>
      <c r="F6396">
        <v>0.75</v>
      </c>
      <c r="G6396">
        <v>0.105974674224853</v>
      </c>
      <c r="H6396">
        <v>0</v>
      </c>
      <c r="I6396">
        <v>0</v>
      </c>
      <c r="J6396">
        <v>30</v>
      </c>
    </row>
    <row r="6397" spans="1:10" x14ac:dyDescent="0.25">
      <c r="A6397" t="s">
        <v>26</v>
      </c>
      <c r="B6397" t="s">
        <v>19</v>
      </c>
      <c r="C6397" t="s">
        <v>12</v>
      </c>
      <c r="D6397" t="s">
        <v>16</v>
      </c>
      <c r="E6397">
        <v>0</v>
      </c>
      <c r="F6397">
        <v>0.75</v>
      </c>
      <c r="G6397">
        <v>0.105477094650268</v>
      </c>
      <c r="H6397">
        <v>0</v>
      </c>
      <c r="I6397">
        <v>0</v>
      </c>
      <c r="J6397">
        <v>30</v>
      </c>
    </row>
    <row r="6398" spans="1:10" x14ac:dyDescent="0.25">
      <c r="A6398" t="s">
        <v>26</v>
      </c>
      <c r="B6398" t="s">
        <v>19</v>
      </c>
      <c r="C6398" t="s">
        <v>12</v>
      </c>
      <c r="D6398" t="s">
        <v>16</v>
      </c>
      <c r="E6398">
        <v>0</v>
      </c>
      <c r="F6398">
        <v>0.75</v>
      </c>
      <c r="G6398">
        <v>0.10446286201476999</v>
      </c>
      <c r="H6398">
        <v>0</v>
      </c>
      <c r="I6398">
        <v>0</v>
      </c>
      <c r="J6398">
        <v>30</v>
      </c>
    </row>
    <row r="6399" spans="1:10" x14ac:dyDescent="0.25">
      <c r="A6399" t="s">
        <v>26</v>
      </c>
      <c r="B6399" t="s">
        <v>19</v>
      </c>
      <c r="C6399" t="s">
        <v>12</v>
      </c>
      <c r="D6399" t="s">
        <v>16</v>
      </c>
      <c r="E6399">
        <v>0</v>
      </c>
      <c r="F6399">
        <v>0.75</v>
      </c>
      <c r="G6399">
        <v>0.102435111999511</v>
      </c>
      <c r="H6399">
        <v>0</v>
      </c>
      <c r="I6399">
        <v>0</v>
      </c>
      <c r="J6399">
        <v>30</v>
      </c>
    </row>
    <row r="6400" spans="1:10" x14ac:dyDescent="0.25">
      <c r="A6400" t="s">
        <v>26</v>
      </c>
      <c r="B6400" t="s">
        <v>19</v>
      </c>
      <c r="C6400" t="s">
        <v>12</v>
      </c>
      <c r="D6400" t="s">
        <v>16</v>
      </c>
      <c r="E6400">
        <v>0</v>
      </c>
      <c r="F6400">
        <v>0.75</v>
      </c>
      <c r="G6400">
        <v>0.12961816787719699</v>
      </c>
      <c r="H6400">
        <v>0</v>
      </c>
      <c r="I6400">
        <v>0</v>
      </c>
      <c r="J6400">
        <v>30</v>
      </c>
    </row>
    <row r="6401" spans="1:10" x14ac:dyDescent="0.25">
      <c r="A6401" t="s">
        <v>26</v>
      </c>
      <c r="B6401" t="s">
        <v>19</v>
      </c>
      <c r="C6401" t="s">
        <v>12</v>
      </c>
      <c r="D6401" t="s">
        <v>16</v>
      </c>
      <c r="E6401">
        <v>0</v>
      </c>
      <c r="F6401">
        <v>0.75</v>
      </c>
      <c r="G6401">
        <v>0.10393476486206001</v>
      </c>
      <c r="H6401">
        <v>0</v>
      </c>
      <c r="I6401">
        <v>0</v>
      </c>
      <c r="J6401">
        <v>30</v>
      </c>
    </row>
    <row r="6402" spans="1:10" x14ac:dyDescent="0.25">
      <c r="A6402" t="s">
        <v>26</v>
      </c>
      <c r="B6402" t="s">
        <v>19</v>
      </c>
      <c r="C6402" t="s">
        <v>12</v>
      </c>
      <c r="D6402" t="s">
        <v>16</v>
      </c>
      <c r="E6402">
        <v>0</v>
      </c>
      <c r="F6402">
        <v>0.75</v>
      </c>
      <c r="G6402">
        <v>0.108958959579467</v>
      </c>
      <c r="H6402">
        <v>0</v>
      </c>
      <c r="I6402">
        <v>0</v>
      </c>
      <c r="J6402">
        <v>30</v>
      </c>
    </row>
    <row r="6403" spans="1:10" x14ac:dyDescent="0.25">
      <c r="A6403" t="s">
        <v>26</v>
      </c>
      <c r="B6403" t="s">
        <v>19</v>
      </c>
      <c r="C6403" t="s">
        <v>12</v>
      </c>
      <c r="D6403" t="s">
        <v>16</v>
      </c>
      <c r="E6403">
        <v>0</v>
      </c>
      <c r="F6403">
        <v>0.75</v>
      </c>
      <c r="G6403">
        <v>0.111968755722045</v>
      </c>
      <c r="H6403">
        <v>0</v>
      </c>
      <c r="I6403">
        <v>0</v>
      </c>
      <c r="J6403">
        <v>30</v>
      </c>
    </row>
    <row r="6404" spans="1:10" x14ac:dyDescent="0.25">
      <c r="A6404" t="s">
        <v>26</v>
      </c>
      <c r="B6404" t="s">
        <v>19</v>
      </c>
      <c r="C6404" t="s">
        <v>12</v>
      </c>
      <c r="D6404" t="s">
        <v>16</v>
      </c>
      <c r="E6404">
        <v>0</v>
      </c>
      <c r="F6404">
        <v>0.75</v>
      </c>
      <c r="G6404">
        <v>0.109898090362548</v>
      </c>
      <c r="H6404">
        <v>0</v>
      </c>
      <c r="I6404">
        <v>0</v>
      </c>
      <c r="J6404">
        <v>30</v>
      </c>
    </row>
    <row r="6405" spans="1:10" x14ac:dyDescent="0.25">
      <c r="A6405" t="s">
        <v>26</v>
      </c>
      <c r="B6405" t="s">
        <v>19</v>
      </c>
      <c r="C6405" t="s">
        <v>12</v>
      </c>
      <c r="D6405" t="s">
        <v>16</v>
      </c>
      <c r="E6405">
        <v>0</v>
      </c>
      <c r="F6405">
        <v>0.75</v>
      </c>
      <c r="G6405">
        <v>0.10584020614624</v>
      </c>
      <c r="H6405">
        <v>0</v>
      </c>
      <c r="I6405">
        <v>0</v>
      </c>
      <c r="J6405">
        <v>30</v>
      </c>
    </row>
    <row r="6406" spans="1:10" x14ac:dyDescent="0.25">
      <c r="A6406" t="s">
        <v>26</v>
      </c>
      <c r="B6406" t="s">
        <v>19</v>
      </c>
      <c r="C6406" t="s">
        <v>12</v>
      </c>
      <c r="D6406" t="s">
        <v>16</v>
      </c>
      <c r="E6406">
        <v>0</v>
      </c>
      <c r="F6406">
        <v>0.75</v>
      </c>
      <c r="G6406">
        <v>0.106911182403564</v>
      </c>
      <c r="H6406">
        <v>0</v>
      </c>
      <c r="I6406">
        <v>0</v>
      </c>
      <c r="J6406">
        <v>30</v>
      </c>
    </row>
    <row r="6407" spans="1:10" x14ac:dyDescent="0.25">
      <c r="A6407" t="s">
        <v>26</v>
      </c>
      <c r="B6407" t="s">
        <v>19</v>
      </c>
      <c r="C6407" t="s">
        <v>12</v>
      </c>
      <c r="D6407" t="s">
        <v>16</v>
      </c>
      <c r="E6407">
        <v>0</v>
      </c>
      <c r="F6407">
        <v>0.75</v>
      </c>
      <c r="G6407">
        <v>0.106988668441772</v>
      </c>
      <c r="H6407">
        <v>0</v>
      </c>
      <c r="I6407">
        <v>0</v>
      </c>
      <c r="J6407">
        <v>30</v>
      </c>
    </row>
    <row r="6408" spans="1:10" x14ac:dyDescent="0.25">
      <c r="A6408" t="s">
        <v>26</v>
      </c>
      <c r="B6408" t="s">
        <v>19</v>
      </c>
      <c r="C6408" t="s">
        <v>12</v>
      </c>
      <c r="D6408" t="s">
        <v>16</v>
      </c>
      <c r="E6408">
        <v>0</v>
      </c>
      <c r="F6408">
        <v>0.75</v>
      </c>
      <c r="G6408">
        <v>0.10745620727539</v>
      </c>
      <c r="H6408">
        <v>0</v>
      </c>
      <c r="I6408">
        <v>0</v>
      </c>
      <c r="J6408">
        <v>30</v>
      </c>
    </row>
    <row r="6409" spans="1:10" x14ac:dyDescent="0.25">
      <c r="A6409" t="s">
        <v>26</v>
      </c>
      <c r="B6409" t="s">
        <v>19</v>
      </c>
      <c r="C6409" t="s">
        <v>12</v>
      </c>
      <c r="D6409" t="s">
        <v>16</v>
      </c>
      <c r="E6409">
        <v>0</v>
      </c>
      <c r="F6409">
        <v>0.75</v>
      </c>
      <c r="G6409">
        <v>0.10895872116088801</v>
      </c>
      <c r="H6409">
        <v>0</v>
      </c>
      <c r="I6409">
        <v>0</v>
      </c>
      <c r="J6409">
        <v>30</v>
      </c>
    </row>
    <row r="6410" spans="1:10" x14ac:dyDescent="0.25">
      <c r="A6410" t="s">
        <v>26</v>
      </c>
      <c r="B6410" t="s">
        <v>19</v>
      </c>
      <c r="C6410" t="s">
        <v>12</v>
      </c>
      <c r="D6410" t="s">
        <v>16</v>
      </c>
      <c r="E6410">
        <v>0</v>
      </c>
      <c r="F6410">
        <v>0.75</v>
      </c>
      <c r="G6410">
        <v>0.100376844406127</v>
      </c>
      <c r="H6410">
        <v>0</v>
      </c>
      <c r="I6410">
        <v>0</v>
      </c>
      <c r="J6410">
        <v>30</v>
      </c>
    </row>
    <row r="6411" spans="1:10" x14ac:dyDescent="0.25">
      <c r="A6411" t="s">
        <v>26</v>
      </c>
      <c r="B6411" t="s">
        <v>19</v>
      </c>
      <c r="C6411" t="s">
        <v>12</v>
      </c>
      <c r="D6411" t="s">
        <v>16</v>
      </c>
      <c r="E6411">
        <v>0</v>
      </c>
      <c r="F6411">
        <v>0.75</v>
      </c>
      <c r="G6411">
        <v>0.10344910621643</v>
      </c>
      <c r="H6411">
        <v>0</v>
      </c>
      <c r="I6411">
        <v>0</v>
      </c>
      <c r="J6411">
        <v>30</v>
      </c>
    </row>
    <row r="6412" spans="1:10" x14ac:dyDescent="0.25">
      <c r="A6412" t="s">
        <v>26</v>
      </c>
      <c r="B6412" t="s">
        <v>19</v>
      </c>
      <c r="C6412" t="s">
        <v>12</v>
      </c>
      <c r="D6412" t="s">
        <v>16</v>
      </c>
      <c r="E6412">
        <v>0</v>
      </c>
      <c r="F6412">
        <v>0.75</v>
      </c>
      <c r="G6412">
        <v>0.10694766044616601</v>
      </c>
      <c r="H6412">
        <v>0</v>
      </c>
      <c r="I6412">
        <v>0</v>
      </c>
      <c r="J6412">
        <v>30</v>
      </c>
    </row>
    <row r="6413" spans="1:10" x14ac:dyDescent="0.25">
      <c r="A6413" t="s">
        <v>26</v>
      </c>
      <c r="B6413" t="s">
        <v>19</v>
      </c>
      <c r="C6413" t="s">
        <v>12</v>
      </c>
      <c r="D6413" t="s">
        <v>16</v>
      </c>
      <c r="E6413">
        <v>0</v>
      </c>
      <c r="F6413">
        <v>0.75</v>
      </c>
      <c r="G6413">
        <v>0.104952096939086</v>
      </c>
      <c r="H6413">
        <v>0</v>
      </c>
      <c r="I6413">
        <v>0</v>
      </c>
      <c r="J6413">
        <v>30</v>
      </c>
    </row>
    <row r="6414" spans="1:10" x14ac:dyDescent="0.25">
      <c r="A6414" t="s">
        <v>26</v>
      </c>
      <c r="B6414" t="s">
        <v>19</v>
      </c>
      <c r="C6414" t="s">
        <v>12</v>
      </c>
      <c r="D6414" t="s">
        <v>16</v>
      </c>
      <c r="E6414">
        <v>0</v>
      </c>
      <c r="F6414">
        <v>0.75</v>
      </c>
      <c r="G6414">
        <v>0.102478981018066</v>
      </c>
      <c r="H6414">
        <v>0</v>
      </c>
      <c r="I6414">
        <v>0</v>
      </c>
      <c r="J6414">
        <v>30</v>
      </c>
    </row>
    <row r="6415" spans="1:10" x14ac:dyDescent="0.25">
      <c r="A6415" t="s">
        <v>26</v>
      </c>
      <c r="B6415" t="s">
        <v>19</v>
      </c>
      <c r="C6415" t="s">
        <v>12</v>
      </c>
      <c r="D6415" t="s">
        <v>16</v>
      </c>
      <c r="E6415">
        <v>0</v>
      </c>
      <c r="F6415">
        <v>0.75</v>
      </c>
      <c r="G6415">
        <v>0.10048937797546301</v>
      </c>
      <c r="H6415">
        <v>0</v>
      </c>
      <c r="I6415">
        <v>0</v>
      </c>
      <c r="J6415">
        <v>30</v>
      </c>
    </row>
    <row r="6416" spans="1:10" x14ac:dyDescent="0.25">
      <c r="A6416" t="s">
        <v>26</v>
      </c>
      <c r="B6416" t="s">
        <v>19</v>
      </c>
      <c r="C6416" t="s">
        <v>12</v>
      </c>
      <c r="D6416" t="s">
        <v>16</v>
      </c>
      <c r="E6416">
        <v>0</v>
      </c>
      <c r="F6416">
        <v>0.75</v>
      </c>
      <c r="G6416">
        <v>0.103494882583618</v>
      </c>
      <c r="H6416">
        <v>0</v>
      </c>
      <c r="I6416">
        <v>0</v>
      </c>
      <c r="J6416">
        <v>30</v>
      </c>
    </row>
    <row r="6417" spans="1:10" x14ac:dyDescent="0.25">
      <c r="A6417" t="s">
        <v>26</v>
      </c>
      <c r="B6417" t="s">
        <v>19</v>
      </c>
      <c r="C6417" t="s">
        <v>12</v>
      </c>
      <c r="D6417" t="s">
        <v>16</v>
      </c>
      <c r="E6417">
        <v>0</v>
      </c>
      <c r="F6417">
        <v>0.75</v>
      </c>
      <c r="G6417">
        <v>0.101998805999755</v>
      </c>
      <c r="H6417">
        <v>0</v>
      </c>
      <c r="I6417">
        <v>0</v>
      </c>
      <c r="J6417">
        <v>30</v>
      </c>
    </row>
    <row r="6418" spans="1:10" x14ac:dyDescent="0.25">
      <c r="A6418" t="s">
        <v>26</v>
      </c>
      <c r="B6418" t="s">
        <v>19</v>
      </c>
      <c r="C6418" t="s">
        <v>12</v>
      </c>
      <c r="D6418" t="s">
        <v>16</v>
      </c>
      <c r="E6418">
        <v>0</v>
      </c>
      <c r="F6418">
        <v>0.75</v>
      </c>
      <c r="G6418">
        <v>0.10098075866699199</v>
      </c>
      <c r="H6418">
        <v>0</v>
      </c>
      <c r="I6418">
        <v>0</v>
      </c>
      <c r="J6418">
        <v>30</v>
      </c>
    </row>
    <row r="6419" spans="1:10" x14ac:dyDescent="0.25">
      <c r="A6419" t="s">
        <v>26</v>
      </c>
      <c r="B6419" t="s">
        <v>19</v>
      </c>
      <c r="C6419" t="s">
        <v>12</v>
      </c>
      <c r="D6419" t="s">
        <v>16</v>
      </c>
      <c r="E6419">
        <v>0</v>
      </c>
      <c r="F6419">
        <v>0.75</v>
      </c>
      <c r="G6419">
        <v>0.115597248077392</v>
      </c>
      <c r="H6419">
        <v>0</v>
      </c>
      <c r="I6419">
        <v>0</v>
      </c>
      <c r="J6419">
        <v>30</v>
      </c>
    </row>
    <row r="6420" spans="1:10" x14ac:dyDescent="0.25">
      <c r="A6420" t="s">
        <v>26</v>
      </c>
      <c r="B6420" t="s">
        <v>19</v>
      </c>
      <c r="C6420" t="s">
        <v>12</v>
      </c>
      <c r="D6420" t="s">
        <v>16</v>
      </c>
      <c r="E6420">
        <v>0</v>
      </c>
      <c r="F6420">
        <v>0.75</v>
      </c>
      <c r="G6420">
        <v>9.5519781112670898E-2</v>
      </c>
      <c r="H6420">
        <v>0</v>
      </c>
      <c r="I6420">
        <v>0</v>
      </c>
      <c r="J6420">
        <v>30</v>
      </c>
    </row>
    <row r="6421" spans="1:10" x14ac:dyDescent="0.25">
      <c r="A6421" t="s">
        <v>26</v>
      </c>
      <c r="B6421" t="s">
        <v>19</v>
      </c>
      <c r="C6421" t="s">
        <v>12</v>
      </c>
      <c r="D6421" t="s">
        <v>16</v>
      </c>
      <c r="E6421">
        <v>0</v>
      </c>
      <c r="F6421">
        <v>0.75</v>
      </c>
      <c r="G6421">
        <v>0.115638971328735</v>
      </c>
      <c r="H6421">
        <v>0</v>
      </c>
      <c r="I6421">
        <v>0</v>
      </c>
      <c r="J6421">
        <v>30</v>
      </c>
    </row>
    <row r="6422" spans="1:10" x14ac:dyDescent="0.25">
      <c r="A6422" t="s">
        <v>26</v>
      </c>
      <c r="B6422" t="s">
        <v>19</v>
      </c>
      <c r="C6422" t="s">
        <v>12</v>
      </c>
      <c r="D6422" t="s">
        <v>17</v>
      </c>
      <c r="E6422">
        <v>0</v>
      </c>
      <c r="F6422">
        <v>0.75</v>
      </c>
      <c r="G6422">
        <v>0.13176059722900299</v>
      </c>
      <c r="H6422">
        <v>0</v>
      </c>
      <c r="I6422">
        <v>0</v>
      </c>
      <c r="J6422">
        <v>30</v>
      </c>
    </row>
    <row r="6423" spans="1:10" x14ac:dyDescent="0.25">
      <c r="A6423" t="s">
        <v>26</v>
      </c>
      <c r="B6423" t="s">
        <v>19</v>
      </c>
      <c r="C6423" t="s">
        <v>12</v>
      </c>
      <c r="D6423" t="s">
        <v>17</v>
      </c>
      <c r="E6423">
        <v>0</v>
      </c>
      <c r="F6423">
        <v>0.75</v>
      </c>
      <c r="G6423">
        <v>0.14878320693969699</v>
      </c>
      <c r="H6423">
        <v>0</v>
      </c>
      <c r="I6423">
        <v>0</v>
      </c>
      <c r="J6423">
        <v>30</v>
      </c>
    </row>
    <row r="6424" spans="1:10" x14ac:dyDescent="0.25">
      <c r="A6424" t="s">
        <v>26</v>
      </c>
      <c r="B6424" t="s">
        <v>19</v>
      </c>
      <c r="C6424" t="s">
        <v>12</v>
      </c>
      <c r="D6424" t="s">
        <v>17</v>
      </c>
      <c r="E6424">
        <v>0</v>
      </c>
      <c r="F6424">
        <v>0.75</v>
      </c>
      <c r="G6424">
        <v>0.14563727378845201</v>
      </c>
      <c r="H6424">
        <v>0</v>
      </c>
      <c r="I6424">
        <v>0</v>
      </c>
      <c r="J6424">
        <v>30</v>
      </c>
    </row>
    <row r="6425" spans="1:10" x14ac:dyDescent="0.25">
      <c r="A6425" t="s">
        <v>26</v>
      </c>
      <c r="B6425" t="s">
        <v>19</v>
      </c>
      <c r="C6425" t="s">
        <v>12</v>
      </c>
      <c r="D6425" t="s">
        <v>17</v>
      </c>
      <c r="E6425">
        <v>0</v>
      </c>
      <c r="F6425">
        <v>0.75</v>
      </c>
      <c r="G6425">
        <v>0.21192622184753401</v>
      </c>
      <c r="H6425">
        <v>0</v>
      </c>
      <c r="I6425">
        <v>0</v>
      </c>
      <c r="J6425">
        <v>30</v>
      </c>
    </row>
    <row r="6426" spans="1:10" x14ac:dyDescent="0.25">
      <c r="A6426" t="s">
        <v>26</v>
      </c>
      <c r="B6426" t="s">
        <v>19</v>
      </c>
      <c r="C6426" t="s">
        <v>12</v>
      </c>
      <c r="D6426" t="s">
        <v>17</v>
      </c>
      <c r="E6426">
        <v>0.140817901234567</v>
      </c>
      <c r="F6426">
        <v>0.76766600933283302</v>
      </c>
      <c r="G6426">
        <v>15.284982204437201</v>
      </c>
      <c r="H6426">
        <v>179</v>
      </c>
      <c r="I6426">
        <v>42</v>
      </c>
      <c r="J6426">
        <v>30</v>
      </c>
    </row>
    <row r="6427" spans="1:10" x14ac:dyDescent="0.25">
      <c r="A6427" t="s">
        <v>26</v>
      </c>
      <c r="B6427" t="s">
        <v>19</v>
      </c>
      <c r="C6427" t="s">
        <v>12</v>
      </c>
      <c r="D6427" t="s">
        <v>17</v>
      </c>
      <c r="E6427">
        <v>0.24729938271604901</v>
      </c>
      <c r="F6427">
        <v>0.77017744710786995</v>
      </c>
      <c r="G6427">
        <v>15.384794712066601</v>
      </c>
      <c r="H6427">
        <v>159</v>
      </c>
      <c r="I6427">
        <v>43</v>
      </c>
      <c r="J6427">
        <v>30</v>
      </c>
    </row>
    <row r="6428" spans="1:10" x14ac:dyDescent="0.25">
      <c r="A6428" t="s">
        <v>26</v>
      </c>
      <c r="B6428" t="s">
        <v>19</v>
      </c>
      <c r="C6428" t="s">
        <v>12</v>
      </c>
      <c r="D6428" t="s">
        <v>17</v>
      </c>
      <c r="E6428">
        <v>0.24035493827160401</v>
      </c>
      <c r="F6428">
        <v>0.77141418191354205</v>
      </c>
      <c r="G6428">
        <v>17.858759164810099</v>
      </c>
      <c r="H6428">
        <v>230</v>
      </c>
      <c r="I6428">
        <v>49</v>
      </c>
      <c r="J6428">
        <v>30</v>
      </c>
    </row>
    <row r="6429" spans="1:10" x14ac:dyDescent="0.25">
      <c r="A6429" t="s">
        <v>26</v>
      </c>
      <c r="B6429" t="s">
        <v>19</v>
      </c>
      <c r="C6429" t="s">
        <v>12</v>
      </c>
      <c r="D6429" t="s">
        <v>17</v>
      </c>
      <c r="E6429">
        <v>0.233796296296296</v>
      </c>
      <c r="F6429">
        <v>0.76726998152357195</v>
      </c>
      <c r="G6429">
        <v>18.323644876480099</v>
      </c>
      <c r="H6429">
        <v>217</v>
      </c>
      <c r="I6429">
        <v>46</v>
      </c>
      <c r="J6429">
        <v>30</v>
      </c>
    </row>
    <row r="6430" spans="1:10" x14ac:dyDescent="0.25">
      <c r="A6430" t="s">
        <v>26</v>
      </c>
      <c r="B6430" t="s">
        <v>19</v>
      </c>
      <c r="C6430" t="s">
        <v>12</v>
      </c>
      <c r="D6430" t="s">
        <v>17</v>
      </c>
      <c r="E6430">
        <v>0.241126543209876</v>
      </c>
      <c r="F6430">
        <v>0.77255456548198198</v>
      </c>
      <c r="G6430">
        <v>19.279429674148499</v>
      </c>
      <c r="H6430">
        <v>247</v>
      </c>
      <c r="I6430">
        <v>48</v>
      </c>
      <c r="J6430">
        <v>30</v>
      </c>
    </row>
    <row r="6431" spans="1:10" x14ac:dyDescent="0.25">
      <c r="A6431" t="s">
        <v>26</v>
      </c>
      <c r="B6431" t="s">
        <v>19</v>
      </c>
      <c r="C6431" t="s">
        <v>12</v>
      </c>
      <c r="D6431" t="s">
        <v>17</v>
      </c>
      <c r="E6431">
        <v>0.23611111111111099</v>
      </c>
      <c r="F6431">
        <v>0.76928928935644303</v>
      </c>
      <c r="G6431">
        <v>19.179307460784901</v>
      </c>
      <c r="H6431">
        <v>259</v>
      </c>
      <c r="I6431">
        <v>43</v>
      </c>
      <c r="J6431">
        <v>30</v>
      </c>
    </row>
    <row r="6432" spans="1:10" x14ac:dyDescent="0.25">
      <c r="A6432" t="s">
        <v>26</v>
      </c>
      <c r="B6432" t="s">
        <v>19</v>
      </c>
      <c r="C6432" t="s">
        <v>12</v>
      </c>
      <c r="D6432" t="s">
        <v>17</v>
      </c>
      <c r="E6432">
        <v>0.265046296296296</v>
      </c>
      <c r="F6432">
        <v>0.76956635760401204</v>
      </c>
      <c r="G6432">
        <v>20.383688926696699</v>
      </c>
      <c r="H6432">
        <v>266</v>
      </c>
      <c r="I6432">
        <v>47</v>
      </c>
      <c r="J6432">
        <v>30</v>
      </c>
    </row>
    <row r="6433" spans="1:10" x14ac:dyDescent="0.25">
      <c r="A6433" t="s">
        <v>26</v>
      </c>
      <c r="B6433" t="s">
        <v>19</v>
      </c>
      <c r="C6433" t="s">
        <v>12</v>
      </c>
      <c r="D6433" t="s">
        <v>17</v>
      </c>
      <c r="E6433">
        <v>0.25501543209876498</v>
      </c>
      <c r="F6433">
        <v>0.77276652983977601</v>
      </c>
      <c r="G6433">
        <v>20.954542875289899</v>
      </c>
      <c r="H6433">
        <v>272</v>
      </c>
      <c r="I6433">
        <v>48</v>
      </c>
      <c r="J6433">
        <v>30</v>
      </c>
    </row>
    <row r="6434" spans="1:10" x14ac:dyDescent="0.25">
      <c r="A6434" t="s">
        <v>26</v>
      </c>
      <c r="B6434" t="s">
        <v>19</v>
      </c>
      <c r="C6434" t="s">
        <v>12</v>
      </c>
      <c r="D6434" t="s">
        <v>17</v>
      </c>
      <c r="E6434">
        <v>0.265046296296296</v>
      </c>
      <c r="F6434">
        <v>0.77667458573333203</v>
      </c>
      <c r="G6434">
        <v>21.0125410556793</v>
      </c>
      <c r="H6434">
        <v>264</v>
      </c>
      <c r="I6434">
        <v>50</v>
      </c>
      <c r="J6434">
        <v>30</v>
      </c>
    </row>
    <row r="6435" spans="1:10" x14ac:dyDescent="0.25">
      <c r="A6435" t="s">
        <v>26</v>
      </c>
      <c r="B6435" t="s">
        <v>19</v>
      </c>
      <c r="C6435" t="s">
        <v>12</v>
      </c>
      <c r="D6435" t="s">
        <v>17</v>
      </c>
      <c r="E6435">
        <v>0.26118827160493802</v>
      </c>
      <c r="F6435">
        <v>0.77036388219934504</v>
      </c>
      <c r="G6435">
        <v>21.0471816062927</v>
      </c>
      <c r="H6435">
        <v>300</v>
      </c>
      <c r="I6435">
        <v>46</v>
      </c>
      <c r="J6435">
        <v>30</v>
      </c>
    </row>
    <row r="6436" spans="1:10" x14ac:dyDescent="0.25">
      <c r="A6436" t="s">
        <v>26</v>
      </c>
      <c r="B6436" t="s">
        <v>19</v>
      </c>
      <c r="C6436" t="s">
        <v>12</v>
      </c>
      <c r="D6436" t="s">
        <v>17</v>
      </c>
      <c r="E6436">
        <v>0.26080246913580202</v>
      </c>
      <c r="F6436">
        <v>0.77086540686504801</v>
      </c>
      <c r="G6436">
        <v>21.062664508819498</v>
      </c>
      <c r="H6436">
        <v>294</v>
      </c>
      <c r="I6436">
        <v>45</v>
      </c>
      <c r="J6436">
        <v>30</v>
      </c>
    </row>
    <row r="6437" spans="1:10" x14ac:dyDescent="0.25">
      <c r="A6437" t="s">
        <v>26</v>
      </c>
      <c r="B6437" t="s">
        <v>19</v>
      </c>
      <c r="C6437" t="s">
        <v>12</v>
      </c>
      <c r="D6437" t="s">
        <v>17</v>
      </c>
      <c r="E6437">
        <v>0.235725308641975</v>
      </c>
      <c r="F6437">
        <v>0.76966949998985301</v>
      </c>
      <c r="G6437">
        <v>21.207648754119798</v>
      </c>
      <c r="H6437">
        <v>331</v>
      </c>
      <c r="I6437">
        <v>48</v>
      </c>
      <c r="J6437">
        <v>30</v>
      </c>
    </row>
    <row r="6438" spans="1:10" x14ac:dyDescent="0.25">
      <c r="A6438" t="s">
        <v>26</v>
      </c>
      <c r="B6438" t="s">
        <v>19</v>
      </c>
      <c r="C6438" t="s">
        <v>12</v>
      </c>
      <c r="D6438" t="s">
        <v>17</v>
      </c>
      <c r="E6438">
        <v>0.265817901234567</v>
      </c>
      <c r="F6438">
        <v>0.77441574539494595</v>
      </c>
      <c r="G6438">
        <v>21.208633422851499</v>
      </c>
      <c r="H6438">
        <v>311</v>
      </c>
      <c r="I6438">
        <v>44</v>
      </c>
      <c r="J6438">
        <v>30</v>
      </c>
    </row>
    <row r="6439" spans="1:10" x14ac:dyDescent="0.25">
      <c r="A6439" t="s">
        <v>26</v>
      </c>
      <c r="B6439" t="s">
        <v>19</v>
      </c>
      <c r="C6439" t="s">
        <v>12</v>
      </c>
      <c r="D6439" t="s">
        <v>17</v>
      </c>
      <c r="E6439">
        <v>0.25192901234567899</v>
      </c>
      <c r="F6439">
        <v>0.76751182346018298</v>
      </c>
      <c r="G6439">
        <v>21.561587333679199</v>
      </c>
      <c r="H6439">
        <v>275</v>
      </c>
      <c r="I6439">
        <v>48</v>
      </c>
      <c r="J6439">
        <v>30</v>
      </c>
    </row>
    <row r="6440" spans="1:10" x14ac:dyDescent="0.25">
      <c r="A6440" t="s">
        <v>26</v>
      </c>
      <c r="B6440" t="s">
        <v>19</v>
      </c>
      <c r="C6440" t="s">
        <v>12</v>
      </c>
      <c r="D6440" t="s">
        <v>17</v>
      </c>
      <c r="E6440">
        <v>0.265817901234567</v>
      </c>
      <c r="F6440">
        <v>0.77212814173989197</v>
      </c>
      <c r="G6440">
        <v>21.518878459930399</v>
      </c>
      <c r="H6440">
        <v>283</v>
      </c>
      <c r="I6440">
        <v>48</v>
      </c>
      <c r="J6440">
        <v>30</v>
      </c>
    </row>
    <row r="6441" spans="1:10" x14ac:dyDescent="0.25">
      <c r="A6441" t="s">
        <v>26</v>
      </c>
      <c r="B6441" t="s">
        <v>19</v>
      </c>
      <c r="C6441" t="s">
        <v>12</v>
      </c>
      <c r="D6441" t="s">
        <v>17</v>
      </c>
      <c r="E6441">
        <v>0.24652777777777701</v>
      </c>
      <c r="F6441">
        <v>0.76023459892461298</v>
      </c>
      <c r="G6441">
        <v>21.910364389419499</v>
      </c>
      <c r="H6441">
        <v>338</v>
      </c>
      <c r="I6441">
        <v>46</v>
      </c>
      <c r="J6441">
        <v>30</v>
      </c>
    </row>
    <row r="6442" spans="1:10" x14ac:dyDescent="0.25">
      <c r="A6442" t="s">
        <v>26</v>
      </c>
      <c r="B6442" t="s">
        <v>19</v>
      </c>
      <c r="C6442" t="s">
        <v>12</v>
      </c>
      <c r="D6442" t="s">
        <v>17</v>
      </c>
      <c r="E6442">
        <v>0.26736111111111099</v>
      </c>
      <c r="F6442">
        <v>0.758841334315008</v>
      </c>
      <c r="G6442">
        <v>26.324736356735201</v>
      </c>
      <c r="H6442">
        <v>404</v>
      </c>
      <c r="I6442">
        <v>48</v>
      </c>
      <c r="J6442">
        <v>30</v>
      </c>
    </row>
    <row r="6443" spans="1:10" x14ac:dyDescent="0.25">
      <c r="A6443" t="s">
        <v>26</v>
      </c>
      <c r="B6443" t="s">
        <v>19</v>
      </c>
      <c r="C6443" t="s">
        <v>12</v>
      </c>
      <c r="D6443" t="s">
        <v>17</v>
      </c>
      <c r="E6443">
        <v>0.28279320987654299</v>
      </c>
      <c r="F6443">
        <v>0.75389734306230705</v>
      </c>
      <c r="G6443">
        <v>28.324210882186801</v>
      </c>
      <c r="H6443">
        <v>519</v>
      </c>
      <c r="I6443">
        <v>49</v>
      </c>
      <c r="J6443">
        <v>30</v>
      </c>
    </row>
    <row r="6444" spans="1:10" x14ac:dyDescent="0.25">
      <c r="A6444" t="s">
        <v>26</v>
      </c>
      <c r="B6444" t="s">
        <v>19</v>
      </c>
      <c r="C6444" t="s">
        <v>12</v>
      </c>
      <c r="D6444" t="s">
        <v>17</v>
      </c>
      <c r="E6444">
        <v>0.27391975308641903</v>
      </c>
      <c r="F6444">
        <v>0.75643973906809203</v>
      </c>
      <c r="G6444">
        <v>28.432619333267201</v>
      </c>
      <c r="H6444">
        <v>510</v>
      </c>
      <c r="I6444">
        <v>50</v>
      </c>
      <c r="J6444">
        <v>30</v>
      </c>
    </row>
    <row r="6445" spans="1:10" x14ac:dyDescent="0.25">
      <c r="A6445" t="s">
        <v>26</v>
      </c>
      <c r="B6445" t="s">
        <v>19</v>
      </c>
      <c r="C6445" t="s">
        <v>12</v>
      </c>
      <c r="D6445" t="s">
        <v>17</v>
      </c>
      <c r="E6445">
        <v>0.26813271604938199</v>
      </c>
      <c r="F6445">
        <v>0.75372413062935895</v>
      </c>
      <c r="G6445">
        <v>28.859602212905799</v>
      </c>
      <c r="H6445">
        <v>523</v>
      </c>
      <c r="I6445">
        <v>49</v>
      </c>
      <c r="J6445">
        <v>30</v>
      </c>
    </row>
    <row r="6446" spans="1:10" x14ac:dyDescent="0.25">
      <c r="A6446" t="s">
        <v>26</v>
      </c>
      <c r="B6446" t="s">
        <v>19</v>
      </c>
      <c r="C6446" t="s">
        <v>12</v>
      </c>
      <c r="D6446" t="s">
        <v>17</v>
      </c>
      <c r="E6446">
        <v>0.27314814814814797</v>
      </c>
      <c r="F6446">
        <v>0.74827424960158295</v>
      </c>
      <c r="G6446">
        <v>29.622724771499598</v>
      </c>
      <c r="H6446">
        <v>563</v>
      </c>
      <c r="I6446">
        <v>49</v>
      </c>
      <c r="J6446">
        <v>30</v>
      </c>
    </row>
    <row r="6447" spans="1:10" x14ac:dyDescent="0.25">
      <c r="A6447" t="s">
        <v>26</v>
      </c>
      <c r="B6447" t="s">
        <v>19</v>
      </c>
      <c r="C6447" t="s">
        <v>12</v>
      </c>
      <c r="D6447" t="s">
        <v>17</v>
      </c>
      <c r="E6447">
        <v>0.27314814814814797</v>
      </c>
      <c r="F6447">
        <v>0.75261151469926801</v>
      </c>
      <c r="G6447">
        <v>29.9619348049163</v>
      </c>
      <c r="H6447">
        <v>530</v>
      </c>
      <c r="I6447">
        <v>46</v>
      </c>
      <c r="J6447">
        <v>30</v>
      </c>
    </row>
    <row r="6448" spans="1:10" x14ac:dyDescent="0.25">
      <c r="A6448" t="s">
        <v>26</v>
      </c>
      <c r="B6448" t="s">
        <v>19</v>
      </c>
      <c r="C6448" t="s">
        <v>12</v>
      </c>
      <c r="D6448" t="s">
        <v>17</v>
      </c>
      <c r="E6448">
        <v>0.26118827160493802</v>
      </c>
      <c r="F6448">
        <v>0.74308209018796101</v>
      </c>
      <c r="G6448">
        <v>32.472844123840297</v>
      </c>
      <c r="H6448">
        <v>615</v>
      </c>
      <c r="I6448">
        <v>50</v>
      </c>
      <c r="J6448">
        <v>30</v>
      </c>
    </row>
    <row r="6449" spans="1:10" x14ac:dyDescent="0.25">
      <c r="A6449" t="s">
        <v>26</v>
      </c>
      <c r="B6449" t="s">
        <v>19</v>
      </c>
      <c r="C6449" t="s">
        <v>12</v>
      </c>
      <c r="D6449" t="s">
        <v>17</v>
      </c>
      <c r="E6449">
        <v>0.25270061728394999</v>
      </c>
      <c r="F6449">
        <v>0.74211602290289402</v>
      </c>
      <c r="G6449">
        <v>32.785755634307797</v>
      </c>
      <c r="H6449">
        <v>689</v>
      </c>
      <c r="I6449">
        <v>49</v>
      </c>
      <c r="J6449">
        <v>30</v>
      </c>
    </row>
    <row r="6450" spans="1:10" x14ac:dyDescent="0.25">
      <c r="A6450" t="s">
        <v>26</v>
      </c>
      <c r="B6450" t="s">
        <v>19</v>
      </c>
      <c r="C6450" t="s">
        <v>12</v>
      </c>
      <c r="D6450" t="s">
        <v>17</v>
      </c>
      <c r="E6450">
        <v>0.27507716049382702</v>
      </c>
      <c r="F6450">
        <v>0.74696301084390304</v>
      </c>
      <c r="G6450">
        <v>33.105714559554997</v>
      </c>
      <c r="H6450">
        <v>620</v>
      </c>
      <c r="I6450">
        <v>50</v>
      </c>
      <c r="J6450">
        <v>30</v>
      </c>
    </row>
    <row r="6451" spans="1:10" x14ac:dyDescent="0.25">
      <c r="A6451" t="s">
        <v>26</v>
      </c>
      <c r="B6451" t="s">
        <v>19</v>
      </c>
      <c r="C6451" t="s">
        <v>12</v>
      </c>
      <c r="D6451" t="s">
        <v>17</v>
      </c>
      <c r="E6451">
        <v>0.25617283950617198</v>
      </c>
      <c r="F6451">
        <v>0.75010937063611005</v>
      </c>
      <c r="G6451">
        <v>33.5151364803314</v>
      </c>
      <c r="H6451">
        <v>678</v>
      </c>
      <c r="I6451">
        <v>50</v>
      </c>
      <c r="J6451">
        <v>30</v>
      </c>
    </row>
    <row r="6452" spans="1:10" x14ac:dyDescent="0.25">
      <c r="A6452" t="s">
        <v>26</v>
      </c>
      <c r="B6452" t="s">
        <v>19</v>
      </c>
      <c r="C6452" t="s">
        <v>18</v>
      </c>
      <c r="D6452" t="s">
        <v>13</v>
      </c>
      <c r="E6452">
        <v>0</v>
      </c>
      <c r="F6452">
        <v>0.75</v>
      </c>
      <c r="G6452">
        <v>0.29247188568115201</v>
      </c>
      <c r="H6452">
        <v>2</v>
      </c>
      <c r="I6452">
        <v>7</v>
      </c>
      <c r="J6452">
        <v>30</v>
      </c>
    </row>
    <row r="6453" spans="1:10" x14ac:dyDescent="0.25">
      <c r="A6453" t="s">
        <v>26</v>
      </c>
      <c r="B6453" t="s">
        <v>19</v>
      </c>
      <c r="C6453" t="s">
        <v>18</v>
      </c>
      <c r="D6453" t="s">
        <v>13</v>
      </c>
      <c r="E6453">
        <v>0</v>
      </c>
      <c r="F6453">
        <v>0.75</v>
      </c>
      <c r="G6453">
        <v>0.30554008483886702</v>
      </c>
      <c r="H6453">
        <v>2</v>
      </c>
      <c r="I6453">
        <v>7</v>
      </c>
      <c r="J6453">
        <v>30</v>
      </c>
    </row>
    <row r="6454" spans="1:10" x14ac:dyDescent="0.25">
      <c r="A6454" t="s">
        <v>26</v>
      </c>
      <c r="B6454" t="s">
        <v>19</v>
      </c>
      <c r="C6454" t="s">
        <v>18</v>
      </c>
      <c r="D6454" t="s">
        <v>13</v>
      </c>
      <c r="E6454">
        <v>0</v>
      </c>
      <c r="F6454">
        <v>0.75</v>
      </c>
      <c r="G6454">
        <v>0.25793004035949701</v>
      </c>
      <c r="H6454">
        <v>1</v>
      </c>
      <c r="I6454">
        <v>8</v>
      </c>
      <c r="J6454">
        <v>30</v>
      </c>
    </row>
    <row r="6455" spans="1:10" x14ac:dyDescent="0.25">
      <c r="A6455" t="s">
        <v>26</v>
      </c>
      <c r="B6455" t="s">
        <v>19</v>
      </c>
      <c r="C6455" t="s">
        <v>18</v>
      </c>
      <c r="D6455" t="s">
        <v>13</v>
      </c>
      <c r="E6455">
        <v>0</v>
      </c>
      <c r="F6455">
        <v>0.74997974537037004</v>
      </c>
      <c r="G6455">
        <v>0.252713203430175</v>
      </c>
      <c r="H6455">
        <v>1</v>
      </c>
      <c r="I6455">
        <v>6</v>
      </c>
      <c r="J6455">
        <v>30</v>
      </c>
    </row>
    <row r="6456" spans="1:10" x14ac:dyDescent="0.25">
      <c r="A6456" t="s">
        <v>26</v>
      </c>
      <c r="B6456" t="s">
        <v>19</v>
      </c>
      <c r="C6456" t="s">
        <v>18</v>
      </c>
      <c r="D6456" t="s">
        <v>13</v>
      </c>
      <c r="E6456">
        <v>0</v>
      </c>
      <c r="F6456">
        <v>0.75</v>
      </c>
      <c r="G6456">
        <v>0.32149815559387201</v>
      </c>
      <c r="H6456">
        <v>2</v>
      </c>
      <c r="I6456">
        <v>7</v>
      </c>
      <c r="J6456">
        <v>30</v>
      </c>
    </row>
    <row r="6457" spans="1:10" x14ac:dyDescent="0.25">
      <c r="A6457" t="s">
        <v>26</v>
      </c>
      <c r="B6457" t="s">
        <v>19</v>
      </c>
      <c r="C6457" t="s">
        <v>18</v>
      </c>
      <c r="D6457" t="s">
        <v>13</v>
      </c>
      <c r="E6457">
        <v>0</v>
      </c>
      <c r="F6457">
        <v>0.75</v>
      </c>
      <c r="G6457">
        <v>0.33952355384826599</v>
      </c>
      <c r="H6457">
        <v>2</v>
      </c>
      <c r="I6457">
        <v>7</v>
      </c>
      <c r="J6457">
        <v>30</v>
      </c>
    </row>
    <row r="6458" spans="1:10" x14ac:dyDescent="0.25">
      <c r="A6458" t="s">
        <v>26</v>
      </c>
      <c r="B6458" t="s">
        <v>19</v>
      </c>
      <c r="C6458" t="s">
        <v>18</v>
      </c>
      <c r="D6458" t="s">
        <v>13</v>
      </c>
      <c r="E6458">
        <v>3.8580246913580201E-4</v>
      </c>
      <c r="F6458">
        <v>0.74999807098765403</v>
      </c>
      <c r="G6458">
        <v>0.27591443061828602</v>
      </c>
      <c r="H6458">
        <v>1</v>
      </c>
      <c r="I6458">
        <v>7</v>
      </c>
      <c r="J6458">
        <v>30</v>
      </c>
    </row>
    <row r="6459" spans="1:10" x14ac:dyDescent="0.25">
      <c r="A6459" t="s">
        <v>26</v>
      </c>
      <c r="B6459" t="s">
        <v>19</v>
      </c>
      <c r="C6459" t="s">
        <v>18</v>
      </c>
      <c r="D6459" t="s">
        <v>13</v>
      </c>
      <c r="E6459">
        <v>0</v>
      </c>
      <c r="F6459">
        <v>0.75</v>
      </c>
      <c r="G6459">
        <v>0.34914708137512201</v>
      </c>
      <c r="H6459">
        <v>2</v>
      </c>
      <c r="I6459">
        <v>7</v>
      </c>
      <c r="J6459">
        <v>30</v>
      </c>
    </row>
    <row r="6460" spans="1:10" x14ac:dyDescent="0.25">
      <c r="A6460" t="s">
        <v>26</v>
      </c>
      <c r="B6460" t="s">
        <v>19</v>
      </c>
      <c r="C6460" t="s">
        <v>18</v>
      </c>
      <c r="D6460" t="s">
        <v>13</v>
      </c>
      <c r="E6460">
        <v>0</v>
      </c>
      <c r="F6460">
        <v>0.75</v>
      </c>
      <c r="G6460">
        <v>0.29949474334716703</v>
      </c>
      <c r="H6460">
        <v>1</v>
      </c>
      <c r="I6460">
        <v>8</v>
      </c>
      <c r="J6460">
        <v>30</v>
      </c>
    </row>
    <row r="6461" spans="1:10" x14ac:dyDescent="0.25">
      <c r="A6461" t="s">
        <v>26</v>
      </c>
      <c r="B6461" t="s">
        <v>19</v>
      </c>
      <c r="C6461" t="s">
        <v>18</v>
      </c>
      <c r="D6461" t="s">
        <v>13</v>
      </c>
      <c r="E6461">
        <v>0</v>
      </c>
      <c r="F6461">
        <v>0.75</v>
      </c>
      <c r="G6461">
        <v>0.27694463729858398</v>
      </c>
      <c r="H6461">
        <v>1</v>
      </c>
      <c r="I6461">
        <v>8</v>
      </c>
      <c r="J6461">
        <v>30</v>
      </c>
    </row>
    <row r="6462" spans="1:10" x14ac:dyDescent="0.25">
      <c r="A6462" t="s">
        <v>26</v>
      </c>
      <c r="B6462" t="s">
        <v>19</v>
      </c>
      <c r="C6462" t="s">
        <v>18</v>
      </c>
      <c r="D6462" t="s">
        <v>13</v>
      </c>
      <c r="E6462">
        <v>3.8580246913580201E-4</v>
      </c>
      <c r="F6462">
        <v>0.75001832561728399</v>
      </c>
      <c r="G6462">
        <v>0.28952503204345698</v>
      </c>
      <c r="H6462">
        <v>1</v>
      </c>
      <c r="I6462">
        <v>6</v>
      </c>
      <c r="J6462">
        <v>30</v>
      </c>
    </row>
    <row r="6463" spans="1:10" x14ac:dyDescent="0.25">
      <c r="A6463" t="s">
        <v>26</v>
      </c>
      <c r="B6463" t="s">
        <v>19</v>
      </c>
      <c r="C6463" t="s">
        <v>18</v>
      </c>
      <c r="D6463" t="s">
        <v>13</v>
      </c>
      <c r="E6463">
        <v>0</v>
      </c>
      <c r="F6463">
        <v>0.75</v>
      </c>
      <c r="G6463">
        <v>0.34178328514099099</v>
      </c>
      <c r="H6463">
        <v>2</v>
      </c>
      <c r="I6463">
        <v>7</v>
      </c>
      <c r="J6463">
        <v>30</v>
      </c>
    </row>
    <row r="6464" spans="1:10" x14ac:dyDescent="0.25">
      <c r="A6464" t="s">
        <v>26</v>
      </c>
      <c r="B6464" t="s">
        <v>19</v>
      </c>
      <c r="C6464" t="s">
        <v>18</v>
      </c>
      <c r="D6464" t="s">
        <v>13</v>
      </c>
      <c r="E6464">
        <v>0</v>
      </c>
      <c r="F6464">
        <v>0.74996173818360301</v>
      </c>
      <c r="G6464">
        <v>0.322371006011962</v>
      </c>
      <c r="H6464">
        <v>1</v>
      </c>
      <c r="I6464">
        <v>7</v>
      </c>
      <c r="J6464">
        <v>30</v>
      </c>
    </row>
    <row r="6465" spans="1:10" x14ac:dyDescent="0.25">
      <c r="A6465" t="s">
        <v>26</v>
      </c>
      <c r="B6465" t="s">
        <v>19</v>
      </c>
      <c r="C6465" t="s">
        <v>18</v>
      </c>
      <c r="D6465" t="s">
        <v>13</v>
      </c>
      <c r="E6465">
        <v>0</v>
      </c>
      <c r="F6465">
        <v>0.75</v>
      </c>
      <c r="G6465">
        <v>0.387562274932861</v>
      </c>
      <c r="H6465">
        <v>2</v>
      </c>
      <c r="I6465">
        <v>7</v>
      </c>
      <c r="J6465">
        <v>30</v>
      </c>
    </row>
    <row r="6466" spans="1:10" x14ac:dyDescent="0.25">
      <c r="A6466" t="s">
        <v>26</v>
      </c>
      <c r="B6466" t="s">
        <v>19</v>
      </c>
      <c r="C6466" t="s">
        <v>18</v>
      </c>
      <c r="D6466" t="s">
        <v>13</v>
      </c>
      <c r="E6466">
        <v>0</v>
      </c>
      <c r="F6466">
        <v>0.75</v>
      </c>
      <c r="G6466">
        <v>0.39760017395019498</v>
      </c>
      <c r="H6466">
        <v>2</v>
      </c>
      <c r="I6466">
        <v>7</v>
      </c>
      <c r="J6466">
        <v>30</v>
      </c>
    </row>
    <row r="6467" spans="1:10" x14ac:dyDescent="0.25">
      <c r="A6467" t="s">
        <v>26</v>
      </c>
      <c r="B6467" t="s">
        <v>19</v>
      </c>
      <c r="C6467" t="s">
        <v>18</v>
      </c>
      <c r="D6467" t="s">
        <v>13</v>
      </c>
      <c r="E6467">
        <v>0</v>
      </c>
      <c r="F6467">
        <v>0.74997974537037004</v>
      </c>
      <c r="G6467">
        <v>0.32114386558532698</v>
      </c>
      <c r="H6467">
        <v>1</v>
      </c>
      <c r="I6467">
        <v>7</v>
      </c>
      <c r="J6467">
        <v>30</v>
      </c>
    </row>
    <row r="6468" spans="1:10" x14ac:dyDescent="0.25">
      <c r="A6468" t="s">
        <v>26</v>
      </c>
      <c r="B6468" t="s">
        <v>19</v>
      </c>
      <c r="C6468" t="s">
        <v>18</v>
      </c>
      <c r="D6468" t="s">
        <v>13</v>
      </c>
      <c r="E6468">
        <v>0</v>
      </c>
      <c r="F6468">
        <v>0.75</v>
      </c>
      <c r="G6468">
        <v>0.15659022331237701</v>
      </c>
      <c r="H6468">
        <v>0</v>
      </c>
      <c r="I6468">
        <v>0</v>
      </c>
      <c r="J6468">
        <v>30</v>
      </c>
    </row>
    <row r="6469" spans="1:10" x14ac:dyDescent="0.25">
      <c r="A6469" t="s">
        <v>26</v>
      </c>
      <c r="B6469" t="s">
        <v>19</v>
      </c>
      <c r="C6469" t="s">
        <v>18</v>
      </c>
      <c r="D6469" t="s">
        <v>13</v>
      </c>
      <c r="E6469">
        <v>0</v>
      </c>
      <c r="F6469">
        <v>0.74996173818360301</v>
      </c>
      <c r="G6469">
        <v>0.31263613700866699</v>
      </c>
      <c r="H6469">
        <v>1</v>
      </c>
      <c r="I6469">
        <v>7</v>
      </c>
      <c r="J6469">
        <v>30</v>
      </c>
    </row>
    <row r="6470" spans="1:10" x14ac:dyDescent="0.25">
      <c r="A6470" t="s">
        <v>26</v>
      </c>
      <c r="B6470" t="s">
        <v>19</v>
      </c>
      <c r="C6470" t="s">
        <v>18</v>
      </c>
      <c r="D6470" t="s">
        <v>13</v>
      </c>
      <c r="E6470">
        <v>0</v>
      </c>
      <c r="F6470">
        <v>0.75</v>
      </c>
      <c r="G6470">
        <v>0.37749624252319303</v>
      </c>
      <c r="H6470">
        <v>2</v>
      </c>
      <c r="I6470">
        <v>7</v>
      </c>
      <c r="J6470">
        <v>30</v>
      </c>
    </row>
    <row r="6471" spans="1:10" x14ac:dyDescent="0.25">
      <c r="A6471" t="s">
        <v>26</v>
      </c>
      <c r="B6471" t="s">
        <v>19</v>
      </c>
      <c r="C6471" t="s">
        <v>18</v>
      </c>
      <c r="D6471" t="s">
        <v>13</v>
      </c>
      <c r="E6471">
        <v>0</v>
      </c>
      <c r="F6471">
        <v>0.75</v>
      </c>
      <c r="G6471">
        <v>0.37438774108886702</v>
      </c>
      <c r="H6471">
        <v>2</v>
      </c>
      <c r="I6471">
        <v>7</v>
      </c>
      <c r="J6471">
        <v>30</v>
      </c>
    </row>
    <row r="6472" spans="1:10" x14ac:dyDescent="0.25">
      <c r="A6472" t="s">
        <v>26</v>
      </c>
      <c r="B6472" t="s">
        <v>19</v>
      </c>
      <c r="C6472" t="s">
        <v>18</v>
      </c>
      <c r="D6472" t="s">
        <v>13</v>
      </c>
      <c r="E6472">
        <v>0</v>
      </c>
      <c r="F6472">
        <v>0.74997974537037004</v>
      </c>
      <c r="G6472">
        <v>0.30175304412841703</v>
      </c>
      <c r="H6472">
        <v>1</v>
      </c>
      <c r="I6472">
        <v>7</v>
      </c>
      <c r="J6472">
        <v>30</v>
      </c>
    </row>
    <row r="6473" spans="1:10" x14ac:dyDescent="0.25">
      <c r="A6473" t="s">
        <v>26</v>
      </c>
      <c r="B6473" t="s">
        <v>19</v>
      </c>
      <c r="C6473" t="s">
        <v>18</v>
      </c>
      <c r="D6473" t="s">
        <v>13</v>
      </c>
      <c r="E6473">
        <v>0</v>
      </c>
      <c r="F6473">
        <v>0.75</v>
      </c>
      <c r="G6473">
        <v>0.13299107551574699</v>
      </c>
      <c r="H6473">
        <v>0</v>
      </c>
      <c r="I6473">
        <v>0</v>
      </c>
      <c r="J6473">
        <v>30</v>
      </c>
    </row>
    <row r="6474" spans="1:10" x14ac:dyDescent="0.25">
      <c r="A6474" t="s">
        <v>26</v>
      </c>
      <c r="B6474" t="s">
        <v>19</v>
      </c>
      <c r="C6474" t="s">
        <v>18</v>
      </c>
      <c r="D6474" t="s">
        <v>13</v>
      </c>
      <c r="E6474">
        <v>0</v>
      </c>
      <c r="F6474">
        <v>0.74996173818360301</v>
      </c>
      <c r="G6474">
        <v>0.257987260818481</v>
      </c>
      <c r="H6474">
        <v>1</v>
      </c>
      <c r="I6474">
        <v>7</v>
      </c>
      <c r="J6474">
        <v>30</v>
      </c>
    </row>
    <row r="6475" spans="1:10" x14ac:dyDescent="0.25">
      <c r="A6475" t="s">
        <v>26</v>
      </c>
      <c r="B6475" t="s">
        <v>19</v>
      </c>
      <c r="C6475" t="s">
        <v>18</v>
      </c>
      <c r="D6475" t="s">
        <v>13</v>
      </c>
      <c r="E6475">
        <v>0</v>
      </c>
      <c r="F6475">
        <v>0.75</v>
      </c>
      <c r="G6475">
        <v>0.303783178329467</v>
      </c>
      <c r="H6475">
        <v>1</v>
      </c>
      <c r="I6475">
        <v>8</v>
      </c>
      <c r="J6475">
        <v>30</v>
      </c>
    </row>
    <row r="6476" spans="1:10" x14ac:dyDescent="0.25">
      <c r="A6476" t="s">
        <v>26</v>
      </c>
      <c r="B6476" t="s">
        <v>19</v>
      </c>
      <c r="C6476" t="s">
        <v>18</v>
      </c>
      <c r="D6476" t="s">
        <v>13</v>
      </c>
      <c r="E6476">
        <v>0</v>
      </c>
      <c r="F6476">
        <v>0.75</v>
      </c>
      <c r="G6476">
        <v>0.32335948944091703</v>
      </c>
      <c r="H6476">
        <v>2</v>
      </c>
      <c r="I6476">
        <v>7</v>
      </c>
      <c r="J6476">
        <v>30</v>
      </c>
    </row>
    <row r="6477" spans="1:10" x14ac:dyDescent="0.25">
      <c r="A6477" t="s">
        <v>26</v>
      </c>
      <c r="B6477" t="s">
        <v>19</v>
      </c>
      <c r="C6477" t="s">
        <v>18</v>
      </c>
      <c r="D6477" t="s">
        <v>13</v>
      </c>
      <c r="E6477">
        <v>0</v>
      </c>
      <c r="F6477">
        <v>0.75</v>
      </c>
      <c r="G6477">
        <v>0.29071140289306602</v>
      </c>
      <c r="H6477">
        <v>1</v>
      </c>
      <c r="I6477">
        <v>8</v>
      </c>
      <c r="J6477">
        <v>30</v>
      </c>
    </row>
    <row r="6478" spans="1:10" x14ac:dyDescent="0.25">
      <c r="A6478" t="s">
        <v>26</v>
      </c>
      <c r="B6478" t="s">
        <v>19</v>
      </c>
      <c r="C6478" t="s">
        <v>18</v>
      </c>
      <c r="D6478" t="s">
        <v>13</v>
      </c>
      <c r="E6478">
        <v>0</v>
      </c>
      <c r="F6478">
        <v>0.75</v>
      </c>
      <c r="G6478">
        <v>0.33236718177795399</v>
      </c>
      <c r="H6478">
        <v>2</v>
      </c>
      <c r="I6478">
        <v>7</v>
      </c>
      <c r="J6478">
        <v>30</v>
      </c>
    </row>
    <row r="6479" spans="1:10" x14ac:dyDescent="0.25">
      <c r="A6479" t="s">
        <v>26</v>
      </c>
      <c r="B6479" t="s">
        <v>19</v>
      </c>
      <c r="C6479" t="s">
        <v>18</v>
      </c>
      <c r="D6479" t="s">
        <v>13</v>
      </c>
      <c r="E6479">
        <v>0</v>
      </c>
      <c r="F6479">
        <v>0.75</v>
      </c>
      <c r="G6479">
        <v>0.277691841125488</v>
      </c>
      <c r="H6479">
        <v>1</v>
      </c>
      <c r="I6479">
        <v>8</v>
      </c>
      <c r="J6479">
        <v>30</v>
      </c>
    </row>
    <row r="6480" spans="1:10" x14ac:dyDescent="0.25">
      <c r="A6480" t="s">
        <v>26</v>
      </c>
      <c r="B6480" t="s">
        <v>19</v>
      </c>
      <c r="C6480" t="s">
        <v>18</v>
      </c>
      <c r="D6480" t="s">
        <v>13</v>
      </c>
      <c r="E6480">
        <v>0</v>
      </c>
      <c r="F6480">
        <v>0.74997974537037004</v>
      </c>
      <c r="G6480">
        <v>0.24752855300903301</v>
      </c>
      <c r="H6480">
        <v>1</v>
      </c>
      <c r="I6480">
        <v>7</v>
      </c>
      <c r="J6480">
        <v>30</v>
      </c>
    </row>
    <row r="6481" spans="1:10" x14ac:dyDescent="0.25">
      <c r="A6481" t="s">
        <v>26</v>
      </c>
      <c r="B6481" t="s">
        <v>19</v>
      </c>
      <c r="C6481" t="s">
        <v>18</v>
      </c>
      <c r="D6481" t="s">
        <v>13</v>
      </c>
      <c r="E6481">
        <v>0</v>
      </c>
      <c r="F6481">
        <v>0.75</v>
      </c>
      <c r="G6481">
        <v>0.28105545043945301</v>
      </c>
      <c r="H6481">
        <v>2</v>
      </c>
      <c r="I6481">
        <v>7</v>
      </c>
      <c r="J6481">
        <v>30</v>
      </c>
    </row>
    <row r="6482" spans="1:10" x14ac:dyDescent="0.25">
      <c r="A6482" t="s">
        <v>26</v>
      </c>
      <c r="B6482" t="s">
        <v>19</v>
      </c>
      <c r="C6482" t="s">
        <v>18</v>
      </c>
      <c r="D6482" t="s">
        <v>14</v>
      </c>
      <c r="E6482">
        <v>0</v>
      </c>
      <c r="F6482">
        <v>0.75</v>
      </c>
      <c r="G6482">
        <v>8.9331626892089802E-2</v>
      </c>
      <c r="H6482">
        <v>0</v>
      </c>
      <c r="I6482">
        <v>0</v>
      </c>
      <c r="J6482">
        <v>30</v>
      </c>
    </row>
    <row r="6483" spans="1:10" x14ac:dyDescent="0.25">
      <c r="A6483" t="s">
        <v>26</v>
      </c>
      <c r="B6483" t="s">
        <v>19</v>
      </c>
      <c r="C6483" t="s">
        <v>18</v>
      </c>
      <c r="D6483" t="s">
        <v>14</v>
      </c>
      <c r="E6483">
        <v>0</v>
      </c>
      <c r="F6483">
        <v>0.75</v>
      </c>
      <c r="G6483">
        <v>9.1779470443725503E-2</v>
      </c>
      <c r="H6483">
        <v>0</v>
      </c>
      <c r="I6483">
        <v>0</v>
      </c>
      <c r="J6483">
        <v>30</v>
      </c>
    </row>
    <row r="6484" spans="1:10" x14ac:dyDescent="0.25">
      <c r="A6484" t="s">
        <v>26</v>
      </c>
      <c r="B6484" t="s">
        <v>19</v>
      </c>
      <c r="C6484" t="s">
        <v>18</v>
      </c>
      <c r="D6484" t="s">
        <v>14</v>
      </c>
      <c r="E6484">
        <v>0</v>
      </c>
      <c r="F6484">
        <v>0.75</v>
      </c>
      <c r="G6484">
        <v>9.1829061508178697E-2</v>
      </c>
      <c r="H6484">
        <v>0</v>
      </c>
      <c r="I6484">
        <v>0</v>
      </c>
      <c r="J6484">
        <v>30</v>
      </c>
    </row>
    <row r="6485" spans="1:10" x14ac:dyDescent="0.25">
      <c r="A6485" t="s">
        <v>26</v>
      </c>
      <c r="B6485" t="s">
        <v>19</v>
      </c>
      <c r="C6485" t="s">
        <v>18</v>
      </c>
      <c r="D6485" t="s">
        <v>14</v>
      </c>
      <c r="E6485">
        <v>0</v>
      </c>
      <c r="F6485">
        <v>0.75</v>
      </c>
      <c r="G6485">
        <v>9.7366571426391602E-2</v>
      </c>
      <c r="H6485">
        <v>0</v>
      </c>
      <c r="I6485">
        <v>0</v>
      </c>
      <c r="J6485">
        <v>30</v>
      </c>
    </row>
    <row r="6486" spans="1:10" x14ac:dyDescent="0.25">
      <c r="A6486" t="s">
        <v>26</v>
      </c>
      <c r="B6486" t="s">
        <v>19</v>
      </c>
      <c r="C6486" t="s">
        <v>18</v>
      </c>
      <c r="D6486" t="s">
        <v>14</v>
      </c>
      <c r="E6486">
        <v>0</v>
      </c>
      <c r="F6486">
        <v>0.75</v>
      </c>
      <c r="G6486">
        <v>9.9883079528808594E-2</v>
      </c>
      <c r="H6486">
        <v>0</v>
      </c>
      <c r="I6486">
        <v>0</v>
      </c>
      <c r="J6486">
        <v>30</v>
      </c>
    </row>
    <row r="6487" spans="1:10" x14ac:dyDescent="0.25">
      <c r="A6487" t="s">
        <v>26</v>
      </c>
      <c r="B6487" t="s">
        <v>19</v>
      </c>
      <c r="C6487" t="s">
        <v>18</v>
      </c>
      <c r="D6487" t="s">
        <v>14</v>
      </c>
      <c r="E6487">
        <v>0</v>
      </c>
      <c r="F6487">
        <v>0.75</v>
      </c>
      <c r="G6487">
        <v>9.78872776031494E-2</v>
      </c>
      <c r="H6487">
        <v>0</v>
      </c>
      <c r="I6487">
        <v>0</v>
      </c>
      <c r="J6487">
        <v>30</v>
      </c>
    </row>
    <row r="6488" spans="1:10" x14ac:dyDescent="0.25">
      <c r="A6488" t="s">
        <v>26</v>
      </c>
      <c r="B6488" t="s">
        <v>19</v>
      </c>
      <c r="C6488" t="s">
        <v>18</v>
      </c>
      <c r="D6488" t="s">
        <v>14</v>
      </c>
      <c r="E6488">
        <v>0</v>
      </c>
      <c r="F6488">
        <v>0.75</v>
      </c>
      <c r="G6488">
        <v>9.7575187683105399E-2</v>
      </c>
      <c r="H6488">
        <v>0</v>
      </c>
      <c r="I6488">
        <v>0</v>
      </c>
      <c r="J6488">
        <v>30</v>
      </c>
    </row>
    <row r="6489" spans="1:10" x14ac:dyDescent="0.25">
      <c r="A6489" t="s">
        <v>26</v>
      </c>
      <c r="B6489" t="s">
        <v>19</v>
      </c>
      <c r="C6489" t="s">
        <v>18</v>
      </c>
      <c r="D6489" t="s">
        <v>14</v>
      </c>
      <c r="E6489">
        <v>0</v>
      </c>
      <c r="F6489">
        <v>0.75</v>
      </c>
      <c r="G6489">
        <v>0.101042032241821</v>
      </c>
      <c r="H6489">
        <v>0</v>
      </c>
      <c r="I6489">
        <v>0</v>
      </c>
      <c r="J6489">
        <v>30</v>
      </c>
    </row>
    <row r="6490" spans="1:10" x14ac:dyDescent="0.25">
      <c r="A6490" t="s">
        <v>26</v>
      </c>
      <c r="B6490" t="s">
        <v>19</v>
      </c>
      <c r="C6490" t="s">
        <v>18</v>
      </c>
      <c r="D6490" t="s">
        <v>14</v>
      </c>
      <c r="E6490">
        <v>0</v>
      </c>
      <c r="F6490">
        <v>0.75</v>
      </c>
      <c r="G6490">
        <v>0.10109972953796301</v>
      </c>
      <c r="H6490">
        <v>0</v>
      </c>
      <c r="I6490">
        <v>0</v>
      </c>
      <c r="J6490">
        <v>30</v>
      </c>
    </row>
    <row r="6491" spans="1:10" x14ac:dyDescent="0.25">
      <c r="A6491" t="s">
        <v>26</v>
      </c>
      <c r="B6491" t="s">
        <v>19</v>
      </c>
      <c r="C6491" t="s">
        <v>18</v>
      </c>
      <c r="D6491" t="s">
        <v>14</v>
      </c>
      <c r="E6491">
        <v>0</v>
      </c>
      <c r="F6491">
        <v>0.75</v>
      </c>
      <c r="G6491">
        <v>0.101771593093872</v>
      </c>
      <c r="H6491">
        <v>0</v>
      </c>
      <c r="I6491">
        <v>0</v>
      </c>
      <c r="J6491">
        <v>30</v>
      </c>
    </row>
    <row r="6492" spans="1:10" x14ac:dyDescent="0.25">
      <c r="A6492" t="s">
        <v>26</v>
      </c>
      <c r="B6492" t="s">
        <v>19</v>
      </c>
      <c r="C6492" t="s">
        <v>18</v>
      </c>
      <c r="D6492" t="s">
        <v>14</v>
      </c>
      <c r="E6492">
        <v>0</v>
      </c>
      <c r="F6492">
        <v>0.75</v>
      </c>
      <c r="G6492">
        <v>9.5096826553344699E-2</v>
      </c>
      <c r="H6492">
        <v>0</v>
      </c>
      <c r="I6492">
        <v>0</v>
      </c>
      <c r="J6492">
        <v>30</v>
      </c>
    </row>
    <row r="6493" spans="1:10" x14ac:dyDescent="0.25">
      <c r="A6493" t="s">
        <v>26</v>
      </c>
      <c r="B6493" t="s">
        <v>19</v>
      </c>
      <c r="C6493" t="s">
        <v>18</v>
      </c>
      <c r="D6493" t="s">
        <v>14</v>
      </c>
      <c r="E6493">
        <v>0</v>
      </c>
      <c r="F6493">
        <v>0.75</v>
      </c>
      <c r="G6493">
        <v>9.9682092666625893E-2</v>
      </c>
      <c r="H6493">
        <v>0</v>
      </c>
      <c r="I6493">
        <v>0</v>
      </c>
      <c r="J6493">
        <v>30</v>
      </c>
    </row>
    <row r="6494" spans="1:10" x14ac:dyDescent="0.25">
      <c r="A6494" t="s">
        <v>26</v>
      </c>
      <c r="B6494" t="s">
        <v>19</v>
      </c>
      <c r="C6494" t="s">
        <v>18</v>
      </c>
      <c r="D6494" t="s">
        <v>14</v>
      </c>
      <c r="E6494">
        <v>0</v>
      </c>
      <c r="F6494">
        <v>0.75</v>
      </c>
      <c r="G6494">
        <v>9.5603942871093694E-2</v>
      </c>
      <c r="H6494">
        <v>0</v>
      </c>
      <c r="I6494">
        <v>0</v>
      </c>
      <c r="J6494">
        <v>30</v>
      </c>
    </row>
    <row r="6495" spans="1:10" x14ac:dyDescent="0.25">
      <c r="A6495" t="s">
        <v>26</v>
      </c>
      <c r="B6495" t="s">
        <v>19</v>
      </c>
      <c r="C6495" t="s">
        <v>18</v>
      </c>
      <c r="D6495" t="s">
        <v>14</v>
      </c>
      <c r="E6495">
        <v>0</v>
      </c>
      <c r="F6495">
        <v>0.75</v>
      </c>
      <c r="G6495">
        <v>0.101183891296386</v>
      </c>
      <c r="H6495">
        <v>0</v>
      </c>
      <c r="I6495">
        <v>0</v>
      </c>
      <c r="J6495">
        <v>30</v>
      </c>
    </row>
    <row r="6496" spans="1:10" x14ac:dyDescent="0.25">
      <c r="A6496" t="s">
        <v>26</v>
      </c>
      <c r="B6496" t="s">
        <v>19</v>
      </c>
      <c r="C6496" t="s">
        <v>18</v>
      </c>
      <c r="D6496" t="s">
        <v>14</v>
      </c>
      <c r="E6496">
        <v>0</v>
      </c>
      <c r="F6496">
        <v>0.75</v>
      </c>
      <c r="G6496">
        <v>9.7425937652587793E-2</v>
      </c>
      <c r="H6496">
        <v>0</v>
      </c>
      <c r="I6496">
        <v>0</v>
      </c>
      <c r="J6496">
        <v>30</v>
      </c>
    </row>
    <row r="6497" spans="1:10" x14ac:dyDescent="0.25">
      <c r="A6497" t="s">
        <v>26</v>
      </c>
      <c r="B6497" t="s">
        <v>19</v>
      </c>
      <c r="C6497" t="s">
        <v>18</v>
      </c>
      <c r="D6497" t="s">
        <v>14</v>
      </c>
      <c r="E6497">
        <v>0</v>
      </c>
      <c r="F6497">
        <v>0.75</v>
      </c>
      <c r="G6497">
        <v>9.9997997283935505E-2</v>
      </c>
      <c r="H6497">
        <v>0</v>
      </c>
      <c r="I6497">
        <v>0</v>
      </c>
      <c r="J6497">
        <v>30</v>
      </c>
    </row>
    <row r="6498" spans="1:10" x14ac:dyDescent="0.25">
      <c r="A6498" t="s">
        <v>26</v>
      </c>
      <c r="B6498" t="s">
        <v>19</v>
      </c>
      <c r="C6498" t="s">
        <v>18</v>
      </c>
      <c r="D6498" t="s">
        <v>14</v>
      </c>
      <c r="E6498">
        <v>0</v>
      </c>
      <c r="F6498">
        <v>0.75</v>
      </c>
      <c r="G6498">
        <v>9.7411155700683594E-2</v>
      </c>
      <c r="H6498">
        <v>0</v>
      </c>
      <c r="I6498">
        <v>0</v>
      </c>
      <c r="J6498">
        <v>30</v>
      </c>
    </row>
    <row r="6499" spans="1:10" x14ac:dyDescent="0.25">
      <c r="A6499" t="s">
        <v>26</v>
      </c>
      <c r="B6499" t="s">
        <v>19</v>
      </c>
      <c r="C6499" t="s">
        <v>18</v>
      </c>
      <c r="D6499" t="s">
        <v>14</v>
      </c>
      <c r="E6499">
        <v>0</v>
      </c>
      <c r="F6499">
        <v>0.75</v>
      </c>
      <c r="G6499">
        <v>9.7497224807739202E-2</v>
      </c>
      <c r="H6499">
        <v>0</v>
      </c>
      <c r="I6499">
        <v>0</v>
      </c>
      <c r="J6499">
        <v>30</v>
      </c>
    </row>
    <row r="6500" spans="1:10" x14ac:dyDescent="0.25">
      <c r="A6500" t="s">
        <v>26</v>
      </c>
      <c r="B6500" t="s">
        <v>19</v>
      </c>
      <c r="C6500" t="s">
        <v>18</v>
      </c>
      <c r="D6500" t="s">
        <v>14</v>
      </c>
      <c r="E6500">
        <v>0</v>
      </c>
      <c r="F6500">
        <v>0.75</v>
      </c>
      <c r="G6500">
        <v>9.8298311233520494E-2</v>
      </c>
      <c r="H6500">
        <v>0</v>
      </c>
      <c r="I6500">
        <v>0</v>
      </c>
      <c r="J6500">
        <v>30</v>
      </c>
    </row>
    <row r="6501" spans="1:10" x14ac:dyDescent="0.25">
      <c r="A6501" t="s">
        <v>26</v>
      </c>
      <c r="B6501" t="s">
        <v>19</v>
      </c>
      <c r="C6501" t="s">
        <v>18</v>
      </c>
      <c r="D6501" t="s">
        <v>14</v>
      </c>
      <c r="E6501">
        <v>0</v>
      </c>
      <c r="F6501">
        <v>0.75</v>
      </c>
      <c r="G6501">
        <v>9.8299026489257799E-2</v>
      </c>
      <c r="H6501">
        <v>0</v>
      </c>
      <c r="I6501">
        <v>0</v>
      </c>
      <c r="J6501">
        <v>30</v>
      </c>
    </row>
    <row r="6502" spans="1:10" x14ac:dyDescent="0.25">
      <c r="A6502" t="s">
        <v>26</v>
      </c>
      <c r="B6502" t="s">
        <v>19</v>
      </c>
      <c r="C6502" t="s">
        <v>18</v>
      </c>
      <c r="D6502" t="s">
        <v>14</v>
      </c>
      <c r="E6502">
        <v>0</v>
      </c>
      <c r="F6502">
        <v>0.75</v>
      </c>
      <c r="G6502">
        <v>0.104940891265869</v>
      </c>
      <c r="H6502">
        <v>0</v>
      </c>
      <c r="I6502">
        <v>0</v>
      </c>
      <c r="J6502">
        <v>30</v>
      </c>
    </row>
    <row r="6503" spans="1:10" x14ac:dyDescent="0.25">
      <c r="A6503" t="s">
        <v>26</v>
      </c>
      <c r="B6503" t="s">
        <v>19</v>
      </c>
      <c r="C6503" t="s">
        <v>18</v>
      </c>
      <c r="D6503" t="s">
        <v>14</v>
      </c>
      <c r="E6503">
        <v>0</v>
      </c>
      <c r="F6503">
        <v>0.75</v>
      </c>
      <c r="G6503">
        <v>9.9958658218383706E-2</v>
      </c>
      <c r="H6503">
        <v>0</v>
      </c>
      <c r="I6503">
        <v>0</v>
      </c>
      <c r="J6503">
        <v>30</v>
      </c>
    </row>
    <row r="6504" spans="1:10" x14ac:dyDescent="0.25">
      <c r="A6504" t="s">
        <v>26</v>
      </c>
      <c r="B6504" t="s">
        <v>19</v>
      </c>
      <c r="C6504" t="s">
        <v>18</v>
      </c>
      <c r="D6504" t="s">
        <v>14</v>
      </c>
      <c r="E6504">
        <v>0</v>
      </c>
      <c r="F6504">
        <v>0.75</v>
      </c>
      <c r="G6504">
        <v>0.10096001625061</v>
      </c>
      <c r="H6504">
        <v>0</v>
      </c>
      <c r="I6504">
        <v>0</v>
      </c>
      <c r="J6504">
        <v>30</v>
      </c>
    </row>
    <row r="6505" spans="1:10" x14ac:dyDescent="0.25">
      <c r="A6505" t="s">
        <v>26</v>
      </c>
      <c r="B6505" t="s">
        <v>19</v>
      </c>
      <c r="C6505" t="s">
        <v>18</v>
      </c>
      <c r="D6505" t="s">
        <v>14</v>
      </c>
      <c r="E6505">
        <v>0</v>
      </c>
      <c r="F6505">
        <v>0.75</v>
      </c>
      <c r="G6505">
        <v>0.103931903839111</v>
      </c>
      <c r="H6505">
        <v>0</v>
      </c>
      <c r="I6505">
        <v>0</v>
      </c>
      <c r="J6505">
        <v>30</v>
      </c>
    </row>
    <row r="6506" spans="1:10" x14ac:dyDescent="0.25">
      <c r="A6506" t="s">
        <v>26</v>
      </c>
      <c r="B6506" t="s">
        <v>19</v>
      </c>
      <c r="C6506" t="s">
        <v>18</v>
      </c>
      <c r="D6506" t="s">
        <v>14</v>
      </c>
      <c r="E6506">
        <v>0</v>
      </c>
      <c r="F6506">
        <v>0.75</v>
      </c>
      <c r="G6506">
        <v>9.9099397659301702E-2</v>
      </c>
      <c r="H6506">
        <v>0</v>
      </c>
      <c r="I6506">
        <v>0</v>
      </c>
      <c r="J6506">
        <v>30</v>
      </c>
    </row>
    <row r="6507" spans="1:10" x14ac:dyDescent="0.25">
      <c r="A6507" t="s">
        <v>26</v>
      </c>
      <c r="B6507" t="s">
        <v>19</v>
      </c>
      <c r="C6507" t="s">
        <v>18</v>
      </c>
      <c r="D6507" t="s">
        <v>14</v>
      </c>
      <c r="E6507">
        <v>0</v>
      </c>
      <c r="F6507">
        <v>0.75</v>
      </c>
      <c r="G6507">
        <v>0.107102870941162</v>
      </c>
      <c r="H6507">
        <v>0</v>
      </c>
      <c r="I6507">
        <v>0</v>
      </c>
      <c r="J6507">
        <v>30</v>
      </c>
    </row>
    <row r="6508" spans="1:10" x14ac:dyDescent="0.25">
      <c r="A6508" t="s">
        <v>26</v>
      </c>
      <c r="B6508" t="s">
        <v>19</v>
      </c>
      <c r="C6508" t="s">
        <v>18</v>
      </c>
      <c r="D6508" t="s">
        <v>14</v>
      </c>
      <c r="E6508">
        <v>0</v>
      </c>
      <c r="F6508">
        <v>0.75</v>
      </c>
      <c r="G6508">
        <v>9.1901779174804604E-2</v>
      </c>
      <c r="H6508">
        <v>0</v>
      </c>
      <c r="I6508">
        <v>0</v>
      </c>
      <c r="J6508">
        <v>30</v>
      </c>
    </row>
    <row r="6509" spans="1:10" x14ac:dyDescent="0.25">
      <c r="A6509" t="s">
        <v>26</v>
      </c>
      <c r="B6509" t="s">
        <v>19</v>
      </c>
      <c r="C6509" t="s">
        <v>18</v>
      </c>
      <c r="D6509" t="s">
        <v>14</v>
      </c>
      <c r="E6509">
        <v>0</v>
      </c>
      <c r="F6509">
        <v>0.75</v>
      </c>
      <c r="G6509">
        <v>9.1334819793701102E-2</v>
      </c>
      <c r="H6509">
        <v>0</v>
      </c>
      <c r="I6509">
        <v>0</v>
      </c>
      <c r="J6509">
        <v>30</v>
      </c>
    </row>
    <row r="6510" spans="1:10" x14ac:dyDescent="0.25">
      <c r="A6510" t="s">
        <v>26</v>
      </c>
      <c r="B6510" t="s">
        <v>19</v>
      </c>
      <c r="C6510" t="s">
        <v>18</v>
      </c>
      <c r="D6510" t="s">
        <v>14</v>
      </c>
      <c r="E6510">
        <v>0</v>
      </c>
      <c r="F6510">
        <v>0.75</v>
      </c>
      <c r="G6510">
        <v>8.6828470230102497E-2</v>
      </c>
      <c r="H6510">
        <v>0</v>
      </c>
      <c r="I6510">
        <v>0</v>
      </c>
      <c r="J6510">
        <v>30</v>
      </c>
    </row>
    <row r="6511" spans="1:10" x14ac:dyDescent="0.25">
      <c r="A6511" t="s">
        <v>26</v>
      </c>
      <c r="B6511" t="s">
        <v>19</v>
      </c>
      <c r="C6511" t="s">
        <v>18</v>
      </c>
      <c r="D6511" t="s">
        <v>14</v>
      </c>
      <c r="E6511">
        <v>0</v>
      </c>
      <c r="F6511">
        <v>0.75</v>
      </c>
      <c r="G6511">
        <v>8.8453531265258706E-2</v>
      </c>
      <c r="H6511">
        <v>0</v>
      </c>
      <c r="I6511">
        <v>0</v>
      </c>
      <c r="J6511">
        <v>30</v>
      </c>
    </row>
    <row r="6512" spans="1:10" x14ac:dyDescent="0.25">
      <c r="A6512" t="s">
        <v>26</v>
      </c>
      <c r="B6512" t="s">
        <v>19</v>
      </c>
      <c r="C6512" t="s">
        <v>18</v>
      </c>
      <c r="D6512" t="s">
        <v>15</v>
      </c>
      <c r="E6512">
        <v>0</v>
      </c>
      <c r="F6512">
        <v>0.75</v>
      </c>
      <c r="G6512">
        <v>9.8423957824707003E-2</v>
      </c>
      <c r="H6512">
        <v>0</v>
      </c>
      <c r="I6512">
        <v>0</v>
      </c>
      <c r="J6512">
        <v>30</v>
      </c>
    </row>
    <row r="6513" spans="1:10" x14ac:dyDescent="0.25">
      <c r="A6513" t="s">
        <v>26</v>
      </c>
      <c r="B6513" t="s">
        <v>19</v>
      </c>
      <c r="C6513" t="s">
        <v>18</v>
      </c>
      <c r="D6513" t="s">
        <v>15</v>
      </c>
      <c r="E6513">
        <v>0</v>
      </c>
      <c r="F6513">
        <v>0.75</v>
      </c>
      <c r="G6513">
        <v>9.7357034683227497E-2</v>
      </c>
      <c r="H6513">
        <v>0</v>
      </c>
      <c r="I6513">
        <v>0</v>
      </c>
      <c r="J6513">
        <v>30</v>
      </c>
    </row>
    <row r="6514" spans="1:10" x14ac:dyDescent="0.25">
      <c r="A6514" t="s">
        <v>26</v>
      </c>
      <c r="B6514" t="s">
        <v>19</v>
      </c>
      <c r="C6514" t="s">
        <v>18</v>
      </c>
      <c r="D6514" t="s">
        <v>15</v>
      </c>
      <c r="E6514">
        <v>0</v>
      </c>
      <c r="F6514">
        <v>0.75</v>
      </c>
      <c r="G6514">
        <v>9.6353292465209905E-2</v>
      </c>
      <c r="H6514">
        <v>0</v>
      </c>
      <c r="I6514">
        <v>0</v>
      </c>
      <c r="J6514">
        <v>30</v>
      </c>
    </row>
    <row r="6515" spans="1:10" x14ac:dyDescent="0.25">
      <c r="A6515" t="s">
        <v>26</v>
      </c>
      <c r="B6515" t="s">
        <v>19</v>
      </c>
      <c r="C6515" t="s">
        <v>18</v>
      </c>
      <c r="D6515" t="s">
        <v>15</v>
      </c>
      <c r="E6515">
        <v>0</v>
      </c>
      <c r="F6515">
        <v>0.75</v>
      </c>
      <c r="G6515">
        <v>0.10343599319457999</v>
      </c>
      <c r="H6515">
        <v>0</v>
      </c>
      <c r="I6515">
        <v>0</v>
      </c>
      <c r="J6515">
        <v>30</v>
      </c>
    </row>
    <row r="6516" spans="1:10" x14ac:dyDescent="0.25">
      <c r="A6516" t="s">
        <v>26</v>
      </c>
      <c r="B6516" t="s">
        <v>19</v>
      </c>
      <c r="C6516" t="s">
        <v>18</v>
      </c>
      <c r="D6516" t="s">
        <v>15</v>
      </c>
      <c r="E6516">
        <v>0</v>
      </c>
      <c r="F6516">
        <v>0.75</v>
      </c>
      <c r="G6516">
        <v>0.10144925117492599</v>
      </c>
      <c r="H6516">
        <v>0</v>
      </c>
      <c r="I6516">
        <v>0</v>
      </c>
      <c r="J6516">
        <v>30</v>
      </c>
    </row>
    <row r="6517" spans="1:10" x14ac:dyDescent="0.25">
      <c r="A6517" t="s">
        <v>26</v>
      </c>
      <c r="B6517" t="s">
        <v>19</v>
      </c>
      <c r="C6517" t="s">
        <v>18</v>
      </c>
      <c r="D6517" t="s">
        <v>15</v>
      </c>
      <c r="E6517">
        <v>0</v>
      </c>
      <c r="F6517">
        <v>0.75</v>
      </c>
      <c r="G6517">
        <v>0.102485656738281</v>
      </c>
      <c r="H6517">
        <v>0</v>
      </c>
      <c r="I6517">
        <v>0</v>
      </c>
      <c r="J6517">
        <v>30</v>
      </c>
    </row>
    <row r="6518" spans="1:10" x14ac:dyDescent="0.25">
      <c r="A6518" t="s">
        <v>26</v>
      </c>
      <c r="B6518" t="s">
        <v>19</v>
      </c>
      <c r="C6518" t="s">
        <v>18</v>
      </c>
      <c r="D6518" t="s">
        <v>15</v>
      </c>
      <c r="E6518">
        <v>0</v>
      </c>
      <c r="F6518">
        <v>0.75</v>
      </c>
      <c r="G6518">
        <v>0.250102758407592</v>
      </c>
      <c r="H6518">
        <v>1</v>
      </c>
      <c r="I6518">
        <v>8</v>
      </c>
      <c r="J6518">
        <v>30</v>
      </c>
    </row>
    <row r="6519" spans="1:10" x14ac:dyDescent="0.25">
      <c r="A6519" t="s">
        <v>26</v>
      </c>
      <c r="B6519" t="s">
        <v>19</v>
      </c>
      <c r="C6519" t="s">
        <v>18</v>
      </c>
      <c r="D6519" t="s">
        <v>15</v>
      </c>
      <c r="E6519">
        <v>0</v>
      </c>
      <c r="F6519">
        <v>0.75</v>
      </c>
      <c r="G6519">
        <v>0.10450625419616601</v>
      </c>
      <c r="H6519">
        <v>0</v>
      </c>
      <c r="I6519">
        <v>0</v>
      </c>
      <c r="J6519">
        <v>30</v>
      </c>
    </row>
    <row r="6520" spans="1:10" x14ac:dyDescent="0.25">
      <c r="A6520" t="s">
        <v>26</v>
      </c>
      <c r="B6520" t="s">
        <v>19</v>
      </c>
      <c r="C6520" t="s">
        <v>18</v>
      </c>
      <c r="D6520" t="s">
        <v>15</v>
      </c>
      <c r="E6520">
        <v>0</v>
      </c>
      <c r="F6520">
        <v>0.75</v>
      </c>
      <c r="G6520">
        <v>0.106491327285766</v>
      </c>
      <c r="H6520">
        <v>0</v>
      </c>
      <c r="I6520">
        <v>0</v>
      </c>
      <c r="J6520">
        <v>30</v>
      </c>
    </row>
    <row r="6521" spans="1:10" x14ac:dyDescent="0.25">
      <c r="A6521" t="s">
        <v>26</v>
      </c>
      <c r="B6521" t="s">
        <v>19</v>
      </c>
      <c r="C6521" t="s">
        <v>18</v>
      </c>
      <c r="D6521" t="s">
        <v>15</v>
      </c>
      <c r="E6521">
        <v>0</v>
      </c>
      <c r="F6521">
        <v>0.75</v>
      </c>
      <c r="G6521">
        <v>0.106387376785278</v>
      </c>
      <c r="H6521">
        <v>0</v>
      </c>
      <c r="I6521">
        <v>0</v>
      </c>
      <c r="J6521">
        <v>30</v>
      </c>
    </row>
    <row r="6522" spans="1:10" x14ac:dyDescent="0.25">
      <c r="A6522" t="s">
        <v>26</v>
      </c>
      <c r="B6522" t="s">
        <v>19</v>
      </c>
      <c r="C6522" t="s">
        <v>18</v>
      </c>
      <c r="D6522" t="s">
        <v>15</v>
      </c>
      <c r="E6522">
        <v>0</v>
      </c>
      <c r="F6522">
        <v>0.75</v>
      </c>
      <c r="G6522">
        <v>0.24857902526855399</v>
      </c>
      <c r="H6522">
        <v>1</v>
      </c>
      <c r="I6522">
        <v>8</v>
      </c>
      <c r="J6522">
        <v>30</v>
      </c>
    </row>
    <row r="6523" spans="1:10" x14ac:dyDescent="0.25">
      <c r="A6523" t="s">
        <v>26</v>
      </c>
      <c r="B6523" t="s">
        <v>19</v>
      </c>
      <c r="C6523" t="s">
        <v>18</v>
      </c>
      <c r="D6523" t="s">
        <v>15</v>
      </c>
      <c r="E6523">
        <v>0</v>
      </c>
      <c r="F6523">
        <v>0.75</v>
      </c>
      <c r="G6523">
        <v>0.255647182464599</v>
      </c>
      <c r="H6523">
        <v>1</v>
      </c>
      <c r="I6523">
        <v>8</v>
      </c>
      <c r="J6523">
        <v>30</v>
      </c>
    </row>
    <row r="6524" spans="1:10" x14ac:dyDescent="0.25">
      <c r="A6524" t="s">
        <v>26</v>
      </c>
      <c r="B6524" t="s">
        <v>19</v>
      </c>
      <c r="C6524" t="s">
        <v>18</v>
      </c>
      <c r="D6524" t="s">
        <v>15</v>
      </c>
      <c r="E6524">
        <v>0</v>
      </c>
      <c r="F6524">
        <v>0.75</v>
      </c>
      <c r="G6524">
        <v>0.27574801445007302</v>
      </c>
      <c r="H6524">
        <v>1</v>
      </c>
      <c r="I6524">
        <v>8</v>
      </c>
      <c r="J6524">
        <v>30</v>
      </c>
    </row>
    <row r="6525" spans="1:10" x14ac:dyDescent="0.25">
      <c r="A6525" t="s">
        <v>26</v>
      </c>
      <c r="B6525" t="s">
        <v>19</v>
      </c>
      <c r="C6525" t="s">
        <v>18</v>
      </c>
      <c r="D6525" t="s">
        <v>15</v>
      </c>
      <c r="E6525">
        <v>0</v>
      </c>
      <c r="F6525">
        <v>0.75</v>
      </c>
      <c r="G6525">
        <v>0.27267527580261203</v>
      </c>
      <c r="H6525">
        <v>1</v>
      </c>
      <c r="I6525">
        <v>8</v>
      </c>
      <c r="J6525">
        <v>30</v>
      </c>
    </row>
    <row r="6526" spans="1:10" x14ac:dyDescent="0.25">
      <c r="A6526" t="s">
        <v>26</v>
      </c>
      <c r="B6526" t="s">
        <v>19</v>
      </c>
      <c r="C6526" t="s">
        <v>18</v>
      </c>
      <c r="D6526" t="s">
        <v>15</v>
      </c>
      <c r="E6526">
        <v>3.8580246913580201E-4</v>
      </c>
      <c r="F6526">
        <v>0.75001832561728399</v>
      </c>
      <c r="G6526">
        <v>0.42889571189880299</v>
      </c>
      <c r="H6526">
        <v>2</v>
      </c>
      <c r="I6526">
        <v>11</v>
      </c>
      <c r="J6526">
        <v>30</v>
      </c>
    </row>
    <row r="6527" spans="1:10" x14ac:dyDescent="0.25">
      <c r="A6527" t="s">
        <v>26</v>
      </c>
      <c r="B6527" t="s">
        <v>19</v>
      </c>
      <c r="C6527" t="s">
        <v>18</v>
      </c>
      <c r="D6527" t="s">
        <v>15</v>
      </c>
      <c r="E6527">
        <v>0</v>
      </c>
      <c r="F6527">
        <v>0.75</v>
      </c>
      <c r="G6527">
        <v>0.11661648750305099</v>
      </c>
      <c r="H6527">
        <v>0</v>
      </c>
      <c r="I6527">
        <v>0</v>
      </c>
      <c r="J6527">
        <v>30</v>
      </c>
    </row>
    <row r="6528" spans="1:10" x14ac:dyDescent="0.25">
      <c r="A6528" t="s">
        <v>26</v>
      </c>
      <c r="B6528" t="s">
        <v>19</v>
      </c>
      <c r="C6528" t="s">
        <v>18</v>
      </c>
      <c r="D6528" t="s">
        <v>15</v>
      </c>
      <c r="E6528">
        <v>0</v>
      </c>
      <c r="F6528">
        <v>0.74997974537037004</v>
      </c>
      <c r="G6528">
        <v>0.52882742881774902</v>
      </c>
      <c r="H6528">
        <v>2</v>
      </c>
      <c r="I6528">
        <v>12</v>
      </c>
      <c r="J6528">
        <v>30</v>
      </c>
    </row>
    <row r="6529" spans="1:10" x14ac:dyDescent="0.25">
      <c r="A6529" t="s">
        <v>26</v>
      </c>
      <c r="B6529" t="s">
        <v>19</v>
      </c>
      <c r="C6529" t="s">
        <v>18</v>
      </c>
      <c r="D6529" t="s">
        <v>15</v>
      </c>
      <c r="E6529">
        <v>0</v>
      </c>
      <c r="F6529">
        <v>0.75</v>
      </c>
      <c r="G6529">
        <v>0.11761212348937899</v>
      </c>
      <c r="H6529">
        <v>0</v>
      </c>
      <c r="I6529">
        <v>0</v>
      </c>
      <c r="J6529">
        <v>30</v>
      </c>
    </row>
    <row r="6530" spans="1:10" x14ac:dyDescent="0.25">
      <c r="A6530" t="s">
        <v>26</v>
      </c>
      <c r="B6530" t="s">
        <v>19</v>
      </c>
      <c r="C6530" t="s">
        <v>18</v>
      </c>
      <c r="D6530" t="s">
        <v>15</v>
      </c>
      <c r="E6530">
        <v>0</v>
      </c>
      <c r="F6530">
        <v>0.75</v>
      </c>
      <c r="G6530">
        <v>0.26624035835266102</v>
      </c>
      <c r="H6530">
        <v>1</v>
      </c>
      <c r="I6530">
        <v>8</v>
      </c>
      <c r="J6530">
        <v>30</v>
      </c>
    </row>
    <row r="6531" spans="1:10" x14ac:dyDescent="0.25">
      <c r="A6531" t="s">
        <v>26</v>
      </c>
      <c r="B6531" t="s">
        <v>19</v>
      </c>
      <c r="C6531" t="s">
        <v>18</v>
      </c>
      <c r="D6531" t="s">
        <v>15</v>
      </c>
      <c r="E6531">
        <v>3.8580246913580201E-4</v>
      </c>
      <c r="F6531">
        <v>0.74999807098765403</v>
      </c>
      <c r="G6531">
        <v>0.29181838035583402</v>
      </c>
      <c r="H6531">
        <v>1</v>
      </c>
      <c r="I6531">
        <v>7</v>
      </c>
      <c r="J6531">
        <v>30</v>
      </c>
    </row>
    <row r="6532" spans="1:10" x14ac:dyDescent="0.25">
      <c r="A6532" t="s">
        <v>26</v>
      </c>
      <c r="B6532" t="s">
        <v>19</v>
      </c>
      <c r="C6532" t="s">
        <v>18</v>
      </c>
      <c r="D6532" t="s">
        <v>15</v>
      </c>
      <c r="E6532">
        <v>0</v>
      </c>
      <c r="F6532">
        <v>0.75</v>
      </c>
      <c r="G6532">
        <v>0.11058831214904701</v>
      </c>
      <c r="H6532">
        <v>0</v>
      </c>
      <c r="I6532">
        <v>0</v>
      </c>
      <c r="J6532">
        <v>30</v>
      </c>
    </row>
    <row r="6533" spans="1:10" x14ac:dyDescent="0.25">
      <c r="A6533" t="s">
        <v>26</v>
      </c>
      <c r="B6533" t="s">
        <v>19</v>
      </c>
      <c r="C6533" t="s">
        <v>18</v>
      </c>
      <c r="D6533" t="s">
        <v>15</v>
      </c>
      <c r="E6533">
        <v>0</v>
      </c>
      <c r="F6533">
        <v>0.75</v>
      </c>
      <c r="G6533">
        <v>0.103972434997558</v>
      </c>
      <c r="H6533">
        <v>0</v>
      </c>
      <c r="I6533">
        <v>0</v>
      </c>
      <c r="J6533">
        <v>30</v>
      </c>
    </row>
    <row r="6534" spans="1:10" x14ac:dyDescent="0.25">
      <c r="A6534" t="s">
        <v>26</v>
      </c>
      <c r="B6534" t="s">
        <v>19</v>
      </c>
      <c r="C6534" t="s">
        <v>18</v>
      </c>
      <c r="D6534" t="s">
        <v>15</v>
      </c>
      <c r="E6534">
        <v>0</v>
      </c>
      <c r="F6534">
        <v>0.75</v>
      </c>
      <c r="G6534">
        <v>0.26424026489257801</v>
      </c>
      <c r="H6534">
        <v>1</v>
      </c>
      <c r="I6534">
        <v>8</v>
      </c>
      <c r="J6534">
        <v>30</v>
      </c>
    </row>
    <row r="6535" spans="1:10" x14ac:dyDescent="0.25">
      <c r="A6535" t="s">
        <v>26</v>
      </c>
      <c r="B6535" t="s">
        <v>19</v>
      </c>
      <c r="C6535" t="s">
        <v>18</v>
      </c>
      <c r="D6535" t="s">
        <v>15</v>
      </c>
      <c r="E6535">
        <v>0</v>
      </c>
      <c r="F6535">
        <v>0.75</v>
      </c>
      <c r="G6535">
        <v>0.37914848327636702</v>
      </c>
      <c r="H6535">
        <v>2</v>
      </c>
      <c r="I6535">
        <v>11</v>
      </c>
      <c r="J6535">
        <v>30</v>
      </c>
    </row>
    <row r="6536" spans="1:10" x14ac:dyDescent="0.25">
      <c r="A6536" t="s">
        <v>26</v>
      </c>
      <c r="B6536" t="s">
        <v>19</v>
      </c>
      <c r="C6536" t="s">
        <v>18</v>
      </c>
      <c r="D6536" t="s">
        <v>15</v>
      </c>
      <c r="E6536">
        <v>0</v>
      </c>
      <c r="F6536">
        <v>0.75</v>
      </c>
      <c r="G6536">
        <v>0.52213430404662997</v>
      </c>
      <c r="H6536">
        <v>3</v>
      </c>
      <c r="I6536">
        <v>17</v>
      </c>
      <c r="J6536">
        <v>30</v>
      </c>
    </row>
    <row r="6537" spans="1:10" x14ac:dyDescent="0.25">
      <c r="A6537" t="s">
        <v>26</v>
      </c>
      <c r="B6537" t="s">
        <v>19</v>
      </c>
      <c r="C6537" t="s">
        <v>18</v>
      </c>
      <c r="D6537" t="s">
        <v>15</v>
      </c>
      <c r="E6537">
        <v>0</v>
      </c>
      <c r="F6537">
        <v>0.75</v>
      </c>
      <c r="G6537">
        <v>0.549710273742675</v>
      </c>
      <c r="H6537">
        <v>3</v>
      </c>
      <c r="I6537">
        <v>16</v>
      </c>
      <c r="J6537">
        <v>30</v>
      </c>
    </row>
    <row r="6538" spans="1:10" x14ac:dyDescent="0.25">
      <c r="A6538" t="s">
        <v>26</v>
      </c>
      <c r="B6538" t="s">
        <v>19</v>
      </c>
      <c r="C6538" t="s">
        <v>18</v>
      </c>
      <c r="D6538" t="s">
        <v>15</v>
      </c>
      <c r="E6538">
        <v>3.8580246913580201E-4</v>
      </c>
      <c r="F6538">
        <v>0.75003188478854099</v>
      </c>
      <c r="G6538">
        <v>0.75854182243347101</v>
      </c>
      <c r="H6538">
        <v>6</v>
      </c>
      <c r="I6538">
        <v>18</v>
      </c>
      <c r="J6538">
        <v>30</v>
      </c>
    </row>
    <row r="6539" spans="1:10" x14ac:dyDescent="0.25">
      <c r="A6539" t="s">
        <v>26</v>
      </c>
      <c r="B6539" t="s">
        <v>19</v>
      </c>
      <c r="C6539" t="s">
        <v>18</v>
      </c>
      <c r="D6539" t="s">
        <v>15</v>
      </c>
      <c r="E6539">
        <v>0</v>
      </c>
      <c r="F6539">
        <v>0.75</v>
      </c>
      <c r="G6539">
        <v>1.02268409729003</v>
      </c>
      <c r="H6539">
        <v>7</v>
      </c>
      <c r="I6539">
        <v>20</v>
      </c>
      <c r="J6539">
        <v>30</v>
      </c>
    </row>
    <row r="6540" spans="1:10" x14ac:dyDescent="0.25">
      <c r="A6540" t="s">
        <v>26</v>
      </c>
      <c r="B6540" t="s">
        <v>19</v>
      </c>
      <c r="C6540" t="s">
        <v>18</v>
      </c>
      <c r="D6540" t="s">
        <v>15</v>
      </c>
      <c r="E6540">
        <v>0</v>
      </c>
      <c r="F6540">
        <v>0.75</v>
      </c>
      <c r="G6540">
        <v>0.91627621650695801</v>
      </c>
      <c r="H6540">
        <v>6</v>
      </c>
      <c r="I6540">
        <v>20</v>
      </c>
      <c r="J6540">
        <v>30</v>
      </c>
    </row>
    <row r="6541" spans="1:10" x14ac:dyDescent="0.25">
      <c r="A6541" t="s">
        <v>26</v>
      </c>
      <c r="B6541" t="s">
        <v>19</v>
      </c>
      <c r="C6541" t="s">
        <v>18</v>
      </c>
      <c r="D6541" t="s">
        <v>15</v>
      </c>
      <c r="E6541">
        <v>7.7160493827160403E-4</v>
      </c>
      <c r="F6541">
        <v>0.75004801320300896</v>
      </c>
      <c r="G6541">
        <v>1.23999595642089</v>
      </c>
      <c r="H6541">
        <v>9</v>
      </c>
      <c r="I6541">
        <v>24</v>
      </c>
      <c r="J6541">
        <v>30</v>
      </c>
    </row>
    <row r="6542" spans="1:10" x14ac:dyDescent="0.25">
      <c r="A6542" t="s">
        <v>26</v>
      </c>
      <c r="B6542" t="s">
        <v>19</v>
      </c>
      <c r="C6542" t="s">
        <v>18</v>
      </c>
      <c r="D6542" t="s">
        <v>16</v>
      </c>
      <c r="E6542">
        <v>0</v>
      </c>
      <c r="F6542">
        <v>0.75</v>
      </c>
      <c r="G6542">
        <v>9.48612689971923E-2</v>
      </c>
      <c r="H6542">
        <v>0</v>
      </c>
      <c r="I6542">
        <v>0</v>
      </c>
      <c r="J6542">
        <v>30</v>
      </c>
    </row>
    <row r="6543" spans="1:10" x14ac:dyDescent="0.25">
      <c r="A6543" t="s">
        <v>26</v>
      </c>
      <c r="B6543" t="s">
        <v>19</v>
      </c>
      <c r="C6543" t="s">
        <v>18</v>
      </c>
      <c r="D6543" t="s">
        <v>16</v>
      </c>
      <c r="E6543">
        <v>0</v>
      </c>
      <c r="F6543">
        <v>0.75</v>
      </c>
      <c r="G6543">
        <v>0.104341030120849</v>
      </c>
      <c r="H6543">
        <v>0</v>
      </c>
      <c r="I6543">
        <v>0</v>
      </c>
      <c r="J6543">
        <v>30</v>
      </c>
    </row>
    <row r="6544" spans="1:10" x14ac:dyDescent="0.25">
      <c r="A6544" t="s">
        <v>26</v>
      </c>
      <c r="B6544" t="s">
        <v>19</v>
      </c>
      <c r="C6544" t="s">
        <v>18</v>
      </c>
      <c r="D6544" t="s">
        <v>16</v>
      </c>
      <c r="E6544">
        <v>0</v>
      </c>
      <c r="F6544">
        <v>0.75</v>
      </c>
      <c r="G6544">
        <v>0.102835893630981</v>
      </c>
      <c r="H6544">
        <v>0</v>
      </c>
      <c r="I6544">
        <v>0</v>
      </c>
      <c r="J6544">
        <v>30</v>
      </c>
    </row>
    <row r="6545" spans="1:10" x14ac:dyDescent="0.25">
      <c r="A6545" t="s">
        <v>26</v>
      </c>
      <c r="B6545" t="s">
        <v>19</v>
      </c>
      <c r="C6545" t="s">
        <v>18</v>
      </c>
      <c r="D6545" t="s">
        <v>16</v>
      </c>
      <c r="E6545">
        <v>0</v>
      </c>
      <c r="F6545">
        <v>0.75</v>
      </c>
      <c r="G6545">
        <v>0.103348016738891</v>
      </c>
      <c r="H6545">
        <v>0</v>
      </c>
      <c r="I6545">
        <v>0</v>
      </c>
      <c r="J6545">
        <v>30</v>
      </c>
    </row>
    <row r="6546" spans="1:10" x14ac:dyDescent="0.25">
      <c r="A6546" t="s">
        <v>26</v>
      </c>
      <c r="B6546" t="s">
        <v>19</v>
      </c>
      <c r="C6546" t="s">
        <v>18</v>
      </c>
      <c r="D6546" t="s">
        <v>16</v>
      </c>
      <c r="E6546">
        <v>0</v>
      </c>
      <c r="F6546">
        <v>0.75</v>
      </c>
      <c r="G6546">
        <v>0.103857278823852</v>
      </c>
      <c r="H6546">
        <v>0</v>
      </c>
      <c r="I6546">
        <v>0</v>
      </c>
      <c r="J6546">
        <v>30</v>
      </c>
    </row>
    <row r="6547" spans="1:10" x14ac:dyDescent="0.25">
      <c r="A6547" t="s">
        <v>26</v>
      </c>
      <c r="B6547" t="s">
        <v>19</v>
      </c>
      <c r="C6547" t="s">
        <v>18</v>
      </c>
      <c r="D6547" t="s">
        <v>16</v>
      </c>
      <c r="E6547">
        <v>0</v>
      </c>
      <c r="F6547">
        <v>0.75</v>
      </c>
      <c r="G6547">
        <v>0.10785961151123</v>
      </c>
      <c r="H6547">
        <v>0</v>
      </c>
      <c r="I6547">
        <v>0</v>
      </c>
      <c r="J6547">
        <v>30</v>
      </c>
    </row>
    <row r="6548" spans="1:10" x14ac:dyDescent="0.25">
      <c r="A6548" t="s">
        <v>26</v>
      </c>
      <c r="B6548" t="s">
        <v>19</v>
      </c>
      <c r="C6548" t="s">
        <v>18</v>
      </c>
      <c r="D6548" t="s">
        <v>16</v>
      </c>
      <c r="E6548">
        <v>0</v>
      </c>
      <c r="F6548">
        <v>0.75</v>
      </c>
      <c r="G6548">
        <v>0.106005191802978</v>
      </c>
      <c r="H6548">
        <v>0</v>
      </c>
      <c r="I6548">
        <v>0</v>
      </c>
      <c r="J6548">
        <v>30</v>
      </c>
    </row>
    <row r="6549" spans="1:10" x14ac:dyDescent="0.25">
      <c r="A6549" t="s">
        <v>26</v>
      </c>
      <c r="B6549" t="s">
        <v>19</v>
      </c>
      <c r="C6549" t="s">
        <v>18</v>
      </c>
      <c r="D6549" t="s">
        <v>16</v>
      </c>
      <c r="E6549">
        <v>0</v>
      </c>
      <c r="F6549">
        <v>0.75</v>
      </c>
      <c r="G6549">
        <v>0.134013175964355</v>
      </c>
      <c r="H6549">
        <v>0</v>
      </c>
      <c r="I6549">
        <v>0</v>
      </c>
      <c r="J6549">
        <v>30</v>
      </c>
    </row>
    <row r="6550" spans="1:10" x14ac:dyDescent="0.25">
      <c r="A6550" t="s">
        <v>26</v>
      </c>
      <c r="B6550" t="s">
        <v>19</v>
      </c>
      <c r="C6550" t="s">
        <v>18</v>
      </c>
      <c r="D6550" t="s">
        <v>16</v>
      </c>
      <c r="E6550">
        <v>0</v>
      </c>
      <c r="F6550">
        <v>0.75</v>
      </c>
      <c r="G6550">
        <v>0.10596871376037501</v>
      </c>
      <c r="H6550">
        <v>0</v>
      </c>
      <c r="I6550">
        <v>0</v>
      </c>
      <c r="J6550">
        <v>30</v>
      </c>
    </row>
    <row r="6551" spans="1:10" x14ac:dyDescent="0.25">
      <c r="A6551" t="s">
        <v>26</v>
      </c>
      <c r="B6551" t="s">
        <v>19</v>
      </c>
      <c r="C6551" t="s">
        <v>18</v>
      </c>
      <c r="D6551" t="s">
        <v>16</v>
      </c>
      <c r="E6551">
        <v>0</v>
      </c>
      <c r="F6551">
        <v>0.75</v>
      </c>
      <c r="G6551">
        <v>0.101392269134521</v>
      </c>
      <c r="H6551">
        <v>0</v>
      </c>
      <c r="I6551">
        <v>0</v>
      </c>
      <c r="J6551">
        <v>30</v>
      </c>
    </row>
    <row r="6552" spans="1:10" x14ac:dyDescent="0.25">
      <c r="A6552" t="s">
        <v>26</v>
      </c>
      <c r="B6552" t="s">
        <v>19</v>
      </c>
      <c r="C6552" t="s">
        <v>18</v>
      </c>
      <c r="D6552" t="s">
        <v>16</v>
      </c>
      <c r="E6552">
        <v>0</v>
      </c>
      <c r="F6552">
        <v>0.75</v>
      </c>
      <c r="G6552">
        <v>0.101383686065673</v>
      </c>
      <c r="H6552">
        <v>0</v>
      </c>
      <c r="I6552">
        <v>0</v>
      </c>
      <c r="J6552">
        <v>30</v>
      </c>
    </row>
    <row r="6553" spans="1:10" x14ac:dyDescent="0.25">
      <c r="A6553" t="s">
        <v>26</v>
      </c>
      <c r="B6553" t="s">
        <v>19</v>
      </c>
      <c r="C6553" t="s">
        <v>18</v>
      </c>
      <c r="D6553" t="s">
        <v>16</v>
      </c>
      <c r="E6553">
        <v>0</v>
      </c>
      <c r="F6553">
        <v>0.75</v>
      </c>
      <c r="G6553">
        <v>0.104460000991821</v>
      </c>
      <c r="H6553">
        <v>0</v>
      </c>
      <c r="I6553">
        <v>0</v>
      </c>
      <c r="J6553">
        <v>30</v>
      </c>
    </row>
    <row r="6554" spans="1:10" x14ac:dyDescent="0.25">
      <c r="A6554" t="s">
        <v>26</v>
      </c>
      <c r="B6554" t="s">
        <v>19</v>
      </c>
      <c r="C6554" t="s">
        <v>18</v>
      </c>
      <c r="D6554" t="s">
        <v>16</v>
      </c>
      <c r="E6554">
        <v>0</v>
      </c>
      <c r="F6554">
        <v>0.75</v>
      </c>
      <c r="G6554">
        <v>0.10755181312561</v>
      </c>
      <c r="H6554">
        <v>0</v>
      </c>
      <c r="I6554">
        <v>0</v>
      </c>
      <c r="J6554">
        <v>30</v>
      </c>
    </row>
    <row r="6555" spans="1:10" x14ac:dyDescent="0.25">
      <c r="A6555" t="s">
        <v>26</v>
      </c>
      <c r="B6555" t="s">
        <v>19</v>
      </c>
      <c r="C6555" t="s">
        <v>18</v>
      </c>
      <c r="D6555" t="s">
        <v>16</v>
      </c>
      <c r="E6555">
        <v>0</v>
      </c>
      <c r="F6555">
        <v>0.75</v>
      </c>
      <c r="G6555">
        <v>0.112656593322753</v>
      </c>
      <c r="H6555">
        <v>0</v>
      </c>
      <c r="I6555">
        <v>0</v>
      </c>
      <c r="J6555">
        <v>30</v>
      </c>
    </row>
    <row r="6556" spans="1:10" x14ac:dyDescent="0.25">
      <c r="A6556" t="s">
        <v>26</v>
      </c>
      <c r="B6556" t="s">
        <v>19</v>
      </c>
      <c r="C6556" t="s">
        <v>18</v>
      </c>
      <c r="D6556" t="s">
        <v>16</v>
      </c>
      <c r="E6556">
        <v>0</v>
      </c>
      <c r="F6556">
        <v>0.75</v>
      </c>
      <c r="G6556">
        <v>0.105436563491821</v>
      </c>
      <c r="H6556">
        <v>0</v>
      </c>
      <c r="I6556">
        <v>0</v>
      </c>
      <c r="J6556">
        <v>30</v>
      </c>
    </row>
    <row r="6557" spans="1:10" x14ac:dyDescent="0.25">
      <c r="A6557" t="s">
        <v>26</v>
      </c>
      <c r="B6557" t="s">
        <v>19</v>
      </c>
      <c r="C6557" t="s">
        <v>18</v>
      </c>
      <c r="D6557" t="s">
        <v>16</v>
      </c>
      <c r="E6557">
        <v>0</v>
      </c>
      <c r="F6557">
        <v>0.75</v>
      </c>
      <c r="G6557">
        <v>0.14758825302124001</v>
      </c>
      <c r="H6557">
        <v>0</v>
      </c>
      <c r="I6557">
        <v>0</v>
      </c>
      <c r="J6557">
        <v>30</v>
      </c>
    </row>
    <row r="6558" spans="1:10" x14ac:dyDescent="0.25">
      <c r="A6558" t="s">
        <v>26</v>
      </c>
      <c r="B6558" t="s">
        <v>19</v>
      </c>
      <c r="C6558" t="s">
        <v>18</v>
      </c>
      <c r="D6558" t="s">
        <v>16</v>
      </c>
      <c r="E6558">
        <v>0</v>
      </c>
      <c r="F6558">
        <v>0.75</v>
      </c>
      <c r="G6558">
        <v>0.13400793075561501</v>
      </c>
      <c r="H6558">
        <v>0</v>
      </c>
      <c r="I6558">
        <v>0</v>
      </c>
      <c r="J6558">
        <v>30</v>
      </c>
    </row>
    <row r="6559" spans="1:10" x14ac:dyDescent="0.25">
      <c r="A6559" t="s">
        <v>26</v>
      </c>
      <c r="B6559" t="s">
        <v>19</v>
      </c>
      <c r="C6559" t="s">
        <v>18</v>
      </c>
      <c r="D6559" t="s">
        <v>16</v>
      </c>
      <c r="E6559">
        <v>0</v>
      </c>
      <c r="F6559">
        <v>0.75</v>
      </c>
      <c r="G6559">
        <v>0.1031014919281</v>
      </c>
      <c r="H6559">
        <v>0</v>
      </c>
      <c r="I6559">
        <v>0</v>
      </c>
      <c r="J6559">
        <v>30</v>
      </c>
    </row>
    <row r="6560" spans="1:10" x14ac:dyDescent="0.25">
      <c r="A6560" t="s">
        <v>26</v>
      </c>
      <c r="B6560" t="s">
        <v>19</v>
      </c>
      <c r="C6560" t="s">
        <v>18</v>
      </c>
      <c r="D6560" t="s">
        <v>16</v>
      </c>
      <c r="E6560">
        <v>0</v>
      </c>
      <c r="F6560">
        <v>0.75</v>
      </c>
      <c r="G6560">
        <v>0.104602813720703</v>
      </c>
      <c r="H6560">
        <v>0</v>
      </c>
      <c r="I6560">
        <v>0</v>
      </c>
      <c r="J6560">
        <v>30</v>
      </c>
    </row>
    <row r="6561" spans="1:10" x14ac:dyDescent="0.25">
      <c r="A6561" t="s">
        <v>26</v>
      </c>
      <c r="B6561" t="s">
        <v>19</v>
      </c>
      <c r="C6561" t="s">
        <v>18</v>
      </c>
      <c r="D6561" t="s">
        <v>16</v>
      </c>
      <c r="E6561">
        <v>0</v>
      </c>
      <c r="F6561">
        <v>0.75</v>
      </c>
      <c r="G6561">
        <v>0.10646700859069801</v>
      </c>
      <c r="H6561">
        <v>0</v>
      </c>
      <c r="I6561">
        <v>0</v>
      </c>
      <c r="J6561">
        <v>30</v>
      </c>
    </row>
    <row r="6562" spans="1:10" x14ac:dyDescent="0.25">
      <c r="A6562" t="s">
        <v>26</v>
      </c>
      <c r="B6562" t="s">
        <v>19</v>
      </c>
      <c r="C6562" t="s">
        <v>18</v>
      </c>
      <c r="D6562" t="s">
        <v>16</v>
      </c>
      <c r="E6562">
        <v>0</v>
      </c>
      <c r="F6562">
        <v>0.75</v>
      </c>
      <c r="G6562">
        <v>0.102890491485595</v>
      </c>
      <c r="H6562">
        <v>0</v>
      </c>
      <c r="I6562">
        <v>0</v>
      </c>
      <c r="J6562">
        <v>30</v>
      </c>
    </row>
    <row r="6563" spans="1:10" x14ac:dyDescent="0.25">
      <c r="A6563" t="s">
        <v>26</v>
      </c>
      <c r="B6563" t="s">
        <v>19</v>
      </c>
      <c r="C6563" t="s">
        <v>18</v>
      </c>
      <c r="D6563" t="s">
        <v>16</v>
      </c>
      <c r="E6563">
        <v>0</v>
      </c>
      <c r="F6563">
        <v>0.75</v>
      </c>
      <c r="G6563">
        <v>0.108454227447509</v>
      </c>
      <c r="H6563">
        <v>0</v>
      </c>
      <c r="I6563">
        <v>0</v>
      </c>
      <c r="J6563">
        <v>30</v>
      </c>
    </row>
    <row r="6564" spans="1:10" x14ac:dyDescent="0.25">
      <c r="A6564" t="s">
        <v>26</v>
      </c>
      <c r="B6564" t="s">
        <v>19</v>
      </c>
      <c r="C6564" t="s">
        <v>18</v>
      </c>
      <c r="D6564" t="s">
        <v>16</v>
      </c>
      <c r="E6564">
        <v>0</v>
      </c>
      <c r="F6564">
        <v>0.75</v>
      </c>
      <c r="G6564">
        <v>0.108858346939086</v>
      </c>
      <c r="H6564">
        <v>0</v>
      </c>
      <c r="I6564">
        <v>0</v>
      </c>
      <c r="J6564">
        <v>30</v>
      </c>
    </row>
    <row r="6565" spans="1:10" x14ac:dyDescent="0.25">
      <c r="A6565" t="s">
        <v>26</v>
      </c>
      <c r="B6565" t="s">
        <v>19</v>
      </c>
      <c r="C6565" t="s">
        <v>18</v>
      </c>
      <c r="D6565" t="s">
        <v>16</v>
      </c>
      <c r="E6565">
        <v>0</v>
      </c>
      <c r="F6565">
        <v>0.75</v>
      </c>
      <c r="G6565">
        <v>0.111854553222656</v>
      </c>
      <c r="H6565">
        <v>0</v>
      </c>
      <c r="I6565">
        <v>0</v>
      </c>
      <c r="J6565">
        <v>30</v>
      </c>
    </row>
    <row r="6566" spans="1:10" x14ac:dyDescent="0.25">
      <c r="A6566" t="s">
        <v>26</v>
      </c>
      <c r="B6566" t="s">
        <v>19</v>
      </c>
      <c r="C6566" t="s">
        <v>18</v>
      </c>
      <c r="D6566" t="s">
        <v>16</v>
      </c>
      <c r="E6566">
        <v>0</v>
      </c>
      <c r="F6566">
        <v>0.75</v>
      </c>
      <c r="G6566">
        <v>9.8897457122802707E-2</v>
      </c>
      <c r="H6566">
        <v>0</v>
      </c>
      <c r="I6566">
        <v>0</v>
      </c>
      <c r="J6566">
        <v>30</v>
      </c>
    </row>
    <row r="6567" spans="1:10" x14ac:dyDescent="0.25">
      <c r="A6567" t="s">
        <v>26</v>
      </c>
      <c r="B6567" t="s">
        <v>19</v>
      </c>
      <c r="C6567" t="s">
        <v>18</v>
      </c>
      <c r="D6567" t="s">
        <v>16</v>
      </c>
      <c r="E6567">
        <v>0</v>
      </c>
      <c r="F6567">
        <v>0.75</v>
      </c>
      <c r="G6567">
        <v>0.10295987129211399</v>
      </c>
      <c r="H6567">
        <v>0</v>
      </c>
      <c r="I6567">
        <v>0</v>
      </c>
      <c r="J6567">
        <v>30</v>
      </c>
    </row>
    <row r="6568" spans="1:10" x14ac:dyDescent="0.25">
      <c r="A6568" t="s">
        <v>26</v>
      </c>
      <c r="B6568" t="s">
        <v>19</v>
      </c>
      <c r="C6568" t="s">
        <v>18</v>
      </c>
      <c r="D6568" t="s">
        <v>16</v>
      </c>
      <c r="E6568">
        <v>0</v>
      </c>
      <c r="F6568">
        <v>0.75</v>
      </c>
      <c r="G6568">
        <v>0.100945949554443</v>
      </c>
      <c r="H6568">
        <v>0</v>
      </c>
      <c r="I6568">
        <v>0</v>
      </c>
      <c r="J6568">
        <v>30</v>
      </c>
    </row>
    <row r="6569" spans="1:10" x14ac:dyDescent="0.25">
      <c r="A6569" t="s">
        <v>26</v>
      </c>
      <c r="B6569" t="s">
        <v>19</v>
      </c>
      <c r="C6569" t="s">
        <v>18</v>
      </c>
      <c r="D6569" t="s">
        <v>16</v>
      </c>
      <c r="E6569">
        <v>0</v>
      </c>
      <c r="F6569">
        <v>0.75</v>
      </c>
      <c r="G6569">
        <v>9.9951028823852497E-2</v>
      </c>
      <c r="H6569">
        <v>0</v>
      </c>
      <c r="I6569">
        <v>0</v>
      </c>
      <c r="J6569">
        <v>30</v>
      </c>
    </row>
    <row r="6570" spans="1:10" x14ac:dyDescent="0.25">
      <c r="A6570" t="s">
        <v>26</v>
      </c>
      <c r="B6570" t="s">
        <v>19</v>
      </c>
      <c r="C6570" t="s">
        <v>18</v>
      </c>
      <c r="D6570" t="s">
        <v>16</v>
      </c>
      <c r="E6570">
        <v>0</v>
      </c>
      <c r="F6570">
        <v>0.75</v>
      </c>
      <c r="G6570">
        <v>9.6876144409179604E-2</v>
      </c>
      <c r="H6570">
        <v>0</v>
      </c>
      <c r="I6570">
        <v>0</v>
      </c>
      <c r="J6570">
        <v>30</v>
      </c>
    </row>
    <row r="6571" spans="1:10" x14ac:dyDescent="0.25">
      <c r="A6571" t="s">
        <v>26</v>
      </c>
      <c r="B6571" t="s">
        <v>19</v>
      </c>
      <c r="C6571" t="s">
        <v>18</v>
      </c>
      <c r="D6571" t="s">
        <v>16</v>
      </c>
      <c r="E6571">
        <v>0</v>
      </c>
      <c r="F6571">
        <v>0.75</v>
      </c>
      <c r="G6571">
        <v>9.48765277862548E-2</v>
      </c>
      <c r="H6571">
        <v>0</v>
      </c>
      <c r="I6571">
        <v>0</v>
      </c>
      <c r="J6571">
        <v>30</v>
      </c>
    </row>
    <row r="6572" spans="1:10" x14ac:dyDescent="0.25">
      <c r="A6572" t="s">
        <v>26</v>
      </c>
      <c r="B6572" t="s">
        <v>19</v>
      </c>
      <c r="C6572" t="s">
        <v>18</v>
      </c>
      <c r="D6572" t="s">
        <v>17</v>
      </c>
      <c r="E6572">
        <v>0</v>
      </c>
      <c r="F6572">
        <v>0.75</v>
      </c>
      <c r="G6572">
        <v>9.6472978591918904E-2</v>
      </c>
      <c r="H6572">
        <v>0</v>
      </c>
      <c r="I6572">
        <v>0</v>
      </c>
      <c r="J6572">
        <v>30</v>
      </c>
    </row>
    <row r="6573" spans="1:10" x14ac:dyDescent="0.25">
      <c r="A6573" t="s">
        <v>26</v>
      </c>
      <c r="B6573" t="s">
        <v>19</v>
      </c>
      <c r="C6573" t="s">
        <v>18</v>
      </c>
      <c r="D6573" t="s">
        <v>17</v>
      </c>
      <c r="E6573">
        <v>0</v>
      </c>
      <c r="F6573">
        <v>0.75</v>
      </c>
      <c r="G6573">
        <v>0.101407527923583</v>
      </c>
      <c r="H6573">
        <v>0</v>
      </c>
      <c r="I6573">
        <v>0</v>
      </c>
      <c r="J6573">
        <v>30</v>
      </c>
    </row>
    <row r="6574" spans="1:10" x14ac:dyDescent="0.25">
      <c r="A6574" t="s">
        <v>26</v>
      </c>
      <c r="B6574" t="s">
        <v>19</v>
      </c>
      <c r="C6574" t="s">
        <v>18</v>
      </c>
      <c r="D6574" t="s">
        <v>17</v>
      </c>
      <c r="E6574">
        <v>0</v>
      </c>
      <c r="F6574">
        <v>0.75</v>
      </c>
      <c r="G6574">
        <v>0.105966329574584</v>
      </c>
      <c r="H6574">
        <v>0</v>
      </c>
      <c r="I6574">
        <v>0</v>
      </c>
      <c r="J6574">
        <v>30</v>
      </c>
    </row>
    <row r="6575" spans="1:10" x14ac:dyDescent="0.25">
      <c r="A6575" t="s">
        <v>26</v>
      </c>
      <c r="B6575" t="s">
        <v>19</v>
      </c>
      <c r="C6575" t="s">
        <v>18</v>
      </c>
      <c r="D6575" t="s">
        <v>17</v>
      </c>
      <c r="E6575">
        <v>0</v>
      </c>
      <c r="F6575">
        <v>0.75</v>
      </c>
      <c r="G6575">
        <v>0.108010292053222</v>
      </c>
      <c r="H6575">
        <v>0</v>
      </c>
      <c r="I6575">
        <v>0</v>
      </c>
      <c r="J6575">
        <v>30</v>
      </c>
    </row>
    <row r="6576" spans="1:10" x14ac:dyDescent="0.25">
      <c r="A6576" t="s">
        <v>26</v>
      </c>
      <c r="B6576" t="s">
        <v>19</v>
      </c>
      <c r="C6576" t="s">
        <v>18</v>
      </c>
      <c r="D6576" t="s">
        <v>17</v>
      </c>
      <c r="E6576">
        <v>0</v>
      </c>
      <c r="F6576">
        <v>0.75</v>
      </c>
      <c r="G6576">
        <v>0.11411690711975001</v>
      </c>
      <c r="H6576">
        <v>0</v>
      </c>
      <c r="I6576">
        <v>0</v>
      </c>
      <c r="J6576">
        <v>30</v>
      </c>
    </row>
    <row r="6577" spans="1:10" x14ac:dyDescent="0.25">
      <c r="A6577" t="s">
        <v>26</v>
      </c>
      <c r="B6577" t="s">
        <v>19</v>
      </c>
      <c r="C6577" t="s">
        <v>18</v>
      </c>
      <c r="D6577" t="s">
        <v>17</v>
      </c>
      <c r="E6577">
        <v>0</v>
      </c>
      <c r="F6577">
        <v>0.75</v>
      </c>
      <c r="G6577">
        <v>0.15969467163085899</v>
      </c>
      <c r="H6577">
        <v>0</v>
      </c>
      <c r="I6577">
        <v>0</v>
      </c>
      <c r="J6577">
        <v>30</v>
      </c>
    </row>
    <row r="6578" spans="1:10" x14ac:dyDescent="0.25">
      <c r="A6578" t="s">
        <v>26</v>
      </c>
      <c r="B6578" t="s">
        <v>19</v>
      </c>
      <c r="C6578" t="s">
        <v>18</v>
      </c>
      <c r="D6578" t="s">
        <v>17</v>
      </c>
      <c r="E6578">
        <v>0</v>
      </c>
      <c r="F6578">
        <v>0.75</v>
      </c>
      <c r="G6578">
        <v>0.16722965240478499</v>
      </c>
      <c r="H6578">
        <v>0</v>
      </c>
      <c r="I6578">
        <v>0</v>
      </c>
      <c r="J6578">
        <v>30</v>
      </c>
    </row>
    <row r="6579" spans="1:10" x14ac:dyDescent="0.25">
      <c r="A6579" t="s">
        <v>26</v>
      </c>
      <c r="B6579" t="s">
        <v>19</v>
      </c>
      <c r="C6579" t="s">
        <v>18</v>
      </c>
      <c r="D6579" t="s">
        <v>17</v>
      </c>
      <c r="E6579">
        <v>0</v>
      </c>
      <c r="F6579">
        <v>0.75</v>
      </c>
      <c r="G6579">
        <v>0.185292959213256</v>
      </c>
      <c r="H6579">
        <v>0</v>
      </c>
      <c r="I6579">
        <v>0</v>
      </c>
      <c r="J6579">
        <v>30</v>
      </c>
    </row>
    <row r="6580" spans="1:10" x14ac:dyDescent="0.25">
      <c r="A6580" t="s">
        <v>26</v>
      </c>
      <c r="B6580" t="s">
        <v>19</v>
      </c>
      <c r="C6580" t="s">
        <v>18</v>
      </c>
      <c r="D6580" t="s">
        <v>17</v>
      </c>
      <c r="E6580">
        <v>0</v>
      </c>
      <c r="F6580">
        <v>0.75</v>
      </c>
      <c r="G6580">
        <v>0.18729305267333901</v>
      </c>
      <c r="H6580">
        <v>0</v>
      </c>
      <c r="I6580">
        <v>0</v>
      </c>
      <c r="J6580">
        <v>30</v>
      </c>
    </row>
    <row r="6581" spans="1:10" x14ac:dyDescent="0.25">
      <c r="A6581" t="s">
        <v>26</v>
      </c>
      <c r="B6581" t="s">
        <v>19</v>
      </c>
      <c r="C6581" t="s">
        <v>18</v>
      </c>
      <c r="D6581" t="s">
        <v>17</v>
      </c>
      <c r="E6581">
        <v>0</v>
      </c>
      <c r="F6581">
        <v>0.75</v>
      </c>
      <c r="G6581">
        <v>0.17121720314025801</v>
      </c>
      <c r="H6581">
        <v>0</v>
      </c>
      <c r="I6581">
        <v>0</v>
      </c>
      <c r="J6581">
        <v>30</v>
      </c>
    </row>
    <row r="6582" spans="1:10" x14ac:dyDescent="0.25">
      <c r="A6582" t="s">
        <v>26</v>
      </c>
      <c r="B6582" t="s">
        <v>19</v>
      </c>
      <c r="C6582" t="s">
        <v>18</v>
      </c>
      <c r="D6582" t="s">
        <v>17</v>
      </c>
      <c r="E6582">
        <v>0.25848765432098703</v>
      </c>
      <c r="F6582">
        <v>0.773876098808988</v>
      </c>
      <c r="G6582">
        <v>17.7064816951751</v>
      </c>
      <c r="H6582">
        <v>67</v>
      </c>
      <c r="I6582">
        <v>39</v>
      </c>
      <c r="J6582">
        <v>30</v>
      </c>
    </row>
    <row r="6583" spans="1:10" x14ac:dyDescent="0.25">
      <c r="A6583" t="s">
        <v>26</v>
      </c>
      <c r="B6583" t="s">
        <v>19</v>
      </c>
      <c r="C6583" t="s">
        <v>18</v>
      </c>
      <c r="D6583" t="s">
        <v>17</v>
      </c>
      <c r="E6583">
        <v>0.25810185185185103</v>
      </c>
      <c r="F6583">
        <v>0.75036027390856397</v>
      </c>
      <c r="G6583">
        <v>25.821879625320399</v>
      </c>
      <c r="H6583">
        <v>265</v>
      </c>
      <c r="I6583">
        <v>44</v>
      </c>
      <c r="J6583">
        <v>30</v>
      </c>
    </row>
    <row r="6584" spans="1:10" x14ac:dyDescent="0.25">
      <c r="A6584" t="s">
        <v>26</v>
      </c>
      <c r="B6584" t="s">
        <v>19</v>
      </c>
      <c r="C6584" t="s">
        <v>18</v>
      </c>
      <c r="D6584" t="s">
        <v>17</v>
      </c>
      <c r="E6584">
        <v>0.26967592592592499</v>
      </c>
      <c r="F6584">
        <v>0.75544616802025299</v>
      </c>
      <c r="G6584">
        <v>27.1845059394836</v>
      </c>
      <c r="H6584">
        <v>273</v>
      </c>
      <c r="I6584">
        <v>45</v>
      </c>
      <c r="J6584">
        <v>30</v>
      </c>
    </row>
    <row r="6585" spans="1:10" x14ac:dyDescent="0.25">
      <c r="A6585" t="s">
        <v>26</v>
      </c>
      <c r="B6585" t="s">
        <v>19</v>
      </c>
      <c r="C6585" t="s">
        <v>18</v>
      </c>
      <c r="D6585" t="s">
        <v>17</v>
      </c>
      <c r="E6585">
        <v>0.29205246913580202</v>
      </c>
      <c r="F6585">
        <v>0.76827712544232296</v>
      </c>
      <c r="G6585">
        <v>27.949189424514699</v>
      </c>
      <c r="H6585">
        <v>248</v>
      </c>
      <c r="I6585">
        <v>41</v>
      </c>
      <c r="J6585">
        <v>30</v>
      </c>
    </row>
    <row r="6586" spans="1:10" x14ac:dyDescent="0.25">
      <c r="A6586" t="s">
        <v>26</v>
      </c>
      <c r="B6586" t="s">
        <v>19</v>
      </c>
      <c r="C6586" t="s">
        <v>18</v>
      </c>
      <c r="D6586" t="s">
        <v>17</v>
      </c>
      <c r="E6586">
        <v>0.27044753086419698</v>
      </c>
      <c r="F6586">
        <v>0.75586564269533096</v>
      </c>
      <c r="G6586">
        <v>30.2836785316467</v>
      </c>
      <c r="H6586">
        <v>257</v>
      </c>
      <c r="I6586">
        <v>44</v>
      </c>
      <c r="J6586">
        <v>30</v>
      </c>
    </row>
    <row r="6587" spans="1:10" x14ac:dyDescent="0.25">
      <c r="A6587" t="s">
        <v>26</v>
      </c>
      <c r="B6587" t="s">
        <v>19</v>
      </c>
      <c r="C6587" t="s">
        <v>18</v>
      </c>
      <c r="D6587" t="s">
        <v>17</v>
      </c>
      <c r="E6587">
        <v>0.27430555555555503</v>
      </c>
      <c r="F6587">
        <v>0.75717132490463002</v>
      </c>
      <c r="G6587">
        <v>30.232862710952698</v>
      </c>
      <c r="H6587">
        <v>282</v>
      </c>
      <c r="I6587">
        <v>42</v>
      </c>
      <c r="J6587">
        <v>30</v>
      </c>
    </row>
    <row r="6588" spans="1:10" x14ac:dyDescent="0.25">
      <c r="A6588" t="s">
        <v>26</v>
      </c>
      <c r="B6588" t="s">
        <v>19</v>
      </c>
      <c r="C6588" t="s">
        <v>18</v>
      </c>
      <c r="D6588" t="s">
        <v>17</v>
      </c>
      <c r="E6588">
        <v>0.26813271604938199</v>
      </c>
      <c r="F6588">
        <v>0.75197744838113201</v>
      </c>
      <c r="G6588">
        <v>30.7652008533477</v>
      </c>
      <c r="H6588">
        <v>316</v>
      </c>
      <c r="I6588">
        <v>45</v>
      </c>
      <c r="J6588">
        <v>30</v>
      </c>
    </row>
    <row r="6589" spans="1:10" x14ac:dyDescent="0.25">
      <c r="A6589" t="s">
        <v>26</v>
      </c>
      <c r="B6589" t="s">
        <v>19</v>
      </c>
      <c r="C6589" t="s">
        <v>18</v>
      </c>
      <c r="D6589" t="s">
        <v>17</v>
      </c>
      <c r="E6589">
        <v>0.27199074074073998</v>
      </c>
      <c r="F6589">
        <v>0.75498162048772899</v>
      </c>
      <c r="G6589">
        <v>30.628782033920199</v>
      </c>
      <c r="H6589">
        <v>313</v>
      </c>
      <c r="I6589">
        <v>45</v>
      </c>
      <c r="J6589">
        <v>30</v>
      </c>
    </row>
    <row r="6590" spans="1:10" x14ac:dyDescent="0.25">
      <c r="A6590" t="s">
        <v>26</v>
      </c>
      <c r="B6590" t="s">
        <v>19</v>
      </c>
      <c r="C6590" t="s">
        <v>18</v>
      </c>
      <c r="D6590" t="s">
        <v>17</v>
      </c>
      <c r="E6590">
        <v>0.282021604938271</v>
      </c>
      <c r="F6590">
        <v>0.761724385007717</v>
      </c>
      <c r="G6590">
        <v>30.772278070449801</v>
      </c>
      <c r="H6590">
        <v>241</v>
      </c>
      <c r="I6590">
        <v>42</v>
      </c>
      <c r="J6590">
        <v>30</v>
      </c>
    </row>
    <row r="6591" spans="1:10" x14ac:dyDescent="0.25">
      <c r="A6591" t="s">
        <v>26</v>
      </c>
      <c r="B6591" t="s">
        <v>19</v>
      </c>
      <c r="C6591" t="s">
        <v>18</v>
      </c>
      <c r="D6591" t="s">
        <v>17</v>
      </c>
      <c r="E6591">
        <v>0.29591049382716</v>
      </c>
      <c r="F6591">
        <v>0.76728345362966799</v>
      </c>
      <c r="G6591">
        <v>31.832758188247599</v>
      </c>
      <c r="H6591">
        <v>259</v>
      </c>
      <c r="I6591">
        <v>46</v>
      </c>
      <c r="J6591">
        <v>30</v>
      </c>
    </row>
    <row r="6592" spans="1:10" x14ac:dyDescent="0.25">
      <c r="A6592" t="s">
        <v>26</v>
      </c>
      <c r="B6592" t="s">
        <v>19</v>
      </c>
      <c r="C6592" t="s">
        <v>18</v>
      </c>
      <c r="D6592" t="s">
        <v>17</v>
      </c>
      <c r="E6592">
        <v>0.282407407407407</v>
      </c>
      <c r="F6592">
        <v>0.75789102059131896</v>
      </c>
      <c r="G6592">
        <v>31.648887395858701</v>
      </c>
      <c r="H6592">
        <v>328</v>
      </c>
      <c r="I6592">
        <v>41</v>
      </c>
      <c r="J6592">
        <v>30</v>
      </c>
    </row>
    <row r="6593" spans="1:10" x14ac:dyDescent="0.25">
      <c r="A6593" t="s">
        <v>26</v>
      </c>
      <c r="B6593" t="s">
        <v>19</v>
      </c>
      <c r="C6593" t="s">
        <v>18</v>
      </c>
      <c r="D6593" t="s">
        <v>17</v>
      </c>
      <c r="E6593">
        <v>0.27006172839506098</v>
      </c>
      <c r="F6593">
        <v>0.74870186478182799</v>
      </c>
      <c r="G6593">
        <v>33.715617179870598</v>
      </c>
      <c r="H6593">
        <v>370</v>
      </c>
      <c r="I6593">
        <v>43</v>
      </c>
      <c r="J6593">
        <v>30</v>
      </c>
    </row>
    <row r="6594" spans="1:10" x14ac:dyDescent="0.25">
      <c r="A6594" t="s">
        <v>26</v>
      </c>
      <c r="B6594" t="s">
        <v>19</v>
      </c>
      <c r="C6594" t="s">
        <v>18</v>
      </c>
      <c r="D6594" t="s">
        <v>17</v>
      </c>
      <c r="E6594">
        <v>0.27932098765432101</v>
      </c>
      <c r="F6594">
        <v>0.75949381454926701</v>
      </c>
      <c r="G6594">
        <v>34.236192703246999</v>
      </c>
      <c r="H6594">
        <v>342</v>
      </c>
      <c r="I6594">
        <v>45</v>
      </c>
      <c r="J6594">
        <v>30</v>
      </c>
    </row>
    <row r="6595" spans="1:10" x14ac:dyDescent="0.25">
      <c r="A6595" t="s">
        <v>26</v>
      </c>
      <c r="B6595" t="s">
        <v>19</v>
      </c>
      <c r="C6595" t="s">
        <v>18</v>
      </c>
      <c r="D6595" t="s">
        <v>17</v>
      </c>
      <c r="E6595">
        <v>0.27584876543209802</v>
      </c>
      <c r="F6595">
        <v>0.75664315210289301</v>
      </c>
      <c r="G6595">
        <v>34.697298765182403</v>
      </c>
      <c r="H6595">
        <v>333</v>
      </c>
      <c r="I6595">
        <v>43</v>
      </c>
      <c r="J6595">
        <v>30</v>
      </c>
    </row>
    <row r="6596" spans="1:10" x14ac:dyDescent="0.25">
      <c r="A6596" t="s">
        <v>26</v>
      </c>
      <c r="B6596" t="s">
        <v>19</v>
      </c>
      <c r="C6596" t="s">
        <v>18</v>
      </c>
      <c r="D6596" t="s">
        <v>17</v>
      </c>
      <c r="E6596">
        <v>0.26195987654320901</v>
      </c>
      <c r="F6596">
        <v>0.74912382216338602</v>
      </c>
      <c r="G6596">
        <v>35.062063217163001</v>
      </c>
      <c r="H6596">
        <v>385</v>
      </c>
      <c r="I6596">
        <v>45</v>
      </c>
      <c r="J6596">
        <v>30</v>
      </c>
    </row>
    <row r="6597" spans="1:10" x14ac:dyDescent="0.25">
      <c r="A6597" t="s">
        <v>26</v>
      </c>
      <c r="B6597" t="s">
        <v>19</v>
      </c>
      <c r="C6597" t="s">
        <v>18</v>
      </c>
      <c r="D6597" t="s">
        <v>17</v>
      </c>
      <c r="E6597">
        <v>0.27854938271604901</v>
      </c>
      <c r="F6597">
        <v>0.75678521448896496</v>
      </c>
      <c r="G6597">
        <v>34.8724586963653</v>
      </c>
      <c r="H6597">
        <v>291</v>
      </c>
      <c r="I6597">
        <v>43</v>
      </c>
      <c r="J6597">
        <v>30</v>
      </c>
    </row>
    <row r="6598" spans="1:10" x14ac:dyDescent="0.25">
      <c r="A6598" t="s">
        <v>26</v>
      </c>
      <c r="B6598" t="s">
        <v>19</v>
      </c>
      <c r="C6598" t="s">
        <v>18</v>
      </c>
      <c r="D6598" t="s">
        <v>17</v>
      </c>
      <c r="E6598">
        <v>0.26311728395061701</v>
      </c>
      <c r="F6598">
        <v>0.77452979915366404</v>
      </c>
      <c r="G6598">
        <v>36.275856971740701</v>
      </c>
      <c r="H6598">
        <v>102</v>
      </c>
      <c r="I6598">
        <v>43</v>
      </c>
      <c r="J6598">
        <v>30</v>
      </c>
    </row>
    <row r="6599" spans="1:10" x14ac:dyDescent="0.25">
      <c r="A6599" t="s">
        <v>26</v>
      </c>
      <c r="B6599" t="s">
        <v>19</v>
      </c>
      <c r="C6599" t="s">
        <v>18</v>
      </c>
      <c r="D6599" t="s">
        <v>17</v>
      </c>
      <c r="E6599">
        <v>0.27739197530864101</v>
      </c>
      <c r="F6599">
        <v>0.76200841389502305</v>
      </c>
      <c r="G6599">
        <v>36.723750829696598</v>
      </c>
      <c r="H6599">
        <v>320</v>
      </c>
      <c r="I6599">
        <v>47</v>
      </c>
      <c r="J6599">
        <v>30</v>
      </c>
    </row>
    <row r="6600" spans="1:10" x14ac:dyDescent="0.25">
      <c r="A6600" t="s">
        <v>26</v>
      </c>
      <c r="B6600" t="s">
        <v>19</v>
      </c>
      <c r="C6600" t="s">
        <v>18</v>
      </c>
      <c r="D6600" t="s">
        <v>17</v>
      </c>
      <c r="E6600">
        <v>0.27006172839506098</v>
      </c>
      <c r="F6600">
        <v>0.753159383579321</v>
      </c>
      <c r="G6600">
        <v>38.003549098968499</v>
      </c>
      <c r="H6600">
        <v>395</v>
      </c>
      <c r="I6600">
        <v>47</v>
      </c>
      <c r="J6600">
        <v>30</v>
      </c>
    </row>
    <row r="6601" spans="1:10" x14ac:dyDescent="0.25">
      <c r="A6601" t="s">
        <v>26</v>
      </c>
      <c r="B6601" t="s">
        <v>19</v>
      </c>
      <c r="C6601" t="s">
        <v>18</v>
      </c>
      <c r="D6601" t="s">
        <v>17</v>
      </c>
      <c r="E6601">
        <v>0.28356481481481399</v>
      </c>
      <c r="F6601">
        <v>0.75693707299722002</v>
      </c>
      <c r="G6601">
        <v>38.035896539688103</v>
      </c>
      <c r="H6601">
        <v>347</v>
      </c>
      <c r="I6601">
        <v>44</v>
      </c>
      <c r="J6601">
        <v>30</v>
      </c>
    </row>
    <row r="6602" spans="1:10" x14ac:dyDescent="0.25">
      <c r="A6602" t="s">
        <v>26</v>
      </c>
      <c r="B6602" t="s">
        <v>20</v>
      </c>
      <c r="C6602" t="s">
        <v>12</v>
      </c>
      <c r="D6602" t="s">
        <v>13</v>
      </c>
      <c r="E6602">
        <v>0.33179012345678999</v>
      </c>
      <c r="F6602">
        <v>0.83294697013889096</v>
      </c>
      <c r="G6602">
        <v>0.70145988464355402</v>
      </c>
      <c r="H6602">
        <v>1</v>
      </c>
      <c r="I6602">
        <v>1</v>
      </c>
      <c r="J6602">
        <v>30</v>
      </c>
    </row>
    <row r="6603" spans="1:10" x14ac:dyDescent="0.25">
      <c r="A6603" t="s">
        <v>26</v>
      </c>
      <c r="B6603" t="s">
        <v>20</v>
      </c>
      <c r="C6603" t="s">
        <v>12</v>
      </c>
      <c r="D6603" t="s">
        <v>13</v>
      </c>
      <c r="E6603">
        <v>0.34799382716049299</v>
      </c>
      <c r="F6603">
        <v>0.83699785959791995</v>
      </c>
      <c r="G6603">
        <v>1.02965879440307</v>
      </c>
      <c r="H6603">
        <v>2</v>
      </c>
      <c r="I6603">
        <v>7</v>
      </c>
      <c r="J6603">
        <v>30</v>
      </c>
    </row>
    <row r="6604" spans="1:10" x14ac:dyDescent="0.25">
      <c r="A6604" t="s">
        <v>26</v>
      </c>
      <c r="B6604" t="s">
        <v>20</v>
      </c>
      <c r="C6604" t="s">
        <v>12</v>
      </c>
      <c r="D6604" t="s">
        <v>13</v>
      </c>
      <c r="E6604">
        <v>0.32986111111111099</v>
      </c>
      <c r="F6604">
        <v>0.83242645849610597</v>
      </c>
      <c r="G6604">
        <v>1.1196804046630799</v>
      </c>
      <c r="H6604">
        <v>3</v>
      </c>
      <c r="I6604">
        <v>6</v>
      </c>
      <c r="J6604">
        <v>30</v>
      </c>
    </row>
    <row r="6605" spans="1:10" x14ac:dyDescent="0.25">
      <c r="A6605" t="s">
        <v>26</v>
      </c>
      <c r="B6605" t="s">
        <v>20</v>
      </c>
      <c r="C6605" t="s">
        <v>12</v>
      </c>
      <c r="D6605" t="s">
        <v>13</v>
      </c>
      <c r="E6605">
        <v>0.328703703703703</v>
      </c>
      <c r="F6605">
        <v>0.83215512430046001</v>
      </c>
      <c r="G6605">
        <v>1.12895059585571</v>
      </c>
      <c r="H6605">
        <v>2</v>
      </c>
      <c r="I6605">
        <v>8</v>
      </c>
      <c r="J6605">
        <v>30</v>
      </c>
    </row>
    <row r="6606" spans="1:10" x14ac:dyDescent="0.25">
      <c r="A6606" t="s">
        <v>26</v>
      </c>
      <c r="B6606" t="s">
        <v>20</v>
      </c>
      <c r="C6606" t="s">
        <v>12</v>
      </c>
      <c r="D6606" t="s">
        <v>13</v>
      </c>
      <c r="E6606">
        <v>0.35300925925925902</v>
      </c>
      <c r="F6606">
        <v>0.83823144510185099</v>
      </c>
      <c r="G6606">
        <v>1.14695048332214</v>
      </c>
      <c r="H6606">
        <v>2</v>
      </c>
      <c r="I6606">
        <v>6</v>
      </c>
      <c r="J6606">
        <v>30</v>
      </c>
    </row>
    <row r="6607" spans="1:10" x14ac:dyDescent="0.25">
      <c r="A6607" t="s">
        <v>26</v>
      </c>
      <c r="B6607" t="s">
        <v>20</v>
      </c>
      <c r="C6607" t="s">
        <v>12</v>
      </c>
      <c r="D6607" t="s">
        <v>13</v>
      </c>
      <c r="E6607">
        <v>0.33294753086419698</v>
      </c>
      <c r="F6607">
        <v>0.83323632003472403</v>
      </c>
      <c r="G6607">
        <v>1.1446564197540201</v>
      </c>
      <c r="H6607">
        <v>3</v>
      </c>
      <c r="I6607">
        <v>7</v>
      </c>
      <c r="J6607">
        <v>30</v>
      </c>
    </row>
    <row r="6608" spans="1:10" x14ac:dyDescent="0.25">
      <c r="A6608" t="s">
        <v>26</v>
      </c>
      <c r="B6608" t="s">
        <v>20</v>
      </c>
      <c r="C6608" t="s">
        <v>12</v>
      </c>
      <c r="D6608" t="s">
        <v>13</v>
      </c>
      <c r="E6608">
        <v>0.34220679012345601</v>
      </c>
      <c r="F6608">
        <v>0.83555111026979501</v>
      </c>
      <c r="G6608">
        <v>1.2031230926513601</v>
      </c>
      <c r="H6608">
        <v>3</v>
      </c>
      <c r="I6608">
        <v>7</v>
      </c>
      <c r="J6608">
        <v>30</v>
      </c>
    </row>
    <row r="6609" spans="1:10" x14ac:dyDescent="0.25">
      <c r="A6609" t="s">
        <v>26</v>
      </c>
      <c r="B6609" t="s">
        <v>20</v>
      </c>
      <c r="C6609" t="s">
        <v>12</v>
      </c>
      <c r="D6609" t="s">
        <v>13</v>
      </c>
      <c r="E6609">
        <v>0.327932098765432</v>
      </c>
      <c r="F6609">
        <v>0.83198247897955002</v>
      </c>
      <c r="G6609">
        <v>1.21328568458557</v>
      </c>
      <c r="H6609">
        <v>3</v>
      </c>
      <c r="I6609">
        <v>7</v>
      </c>
      <c r="J6609">
        <v>30</v>
      </c>
    </row>
    <row r="6610" spans="1:10" x14ac:dyDescent="0.25">
      <c r="A6610" t="s">
        <v>26</v>
      </c>
      <c r="B6610" t="s">
        <v>20</v>
      </c>
      <c r="C6610" t="s">
        <v>12</v>
      </c>
      <c r="D6610" t="s">
        <v>13</v>
      </c>
      <c r="E6610">
        <v>0.328703703703703</v>
      </c>
      <c r="F6610">
        <v>0.83217537893008997</v>
      </c>
      <c r="G6610">
        <v>1.2000918388366699</v>
      </c>
      <c r="H6610">
        <v>3</v>
      </c>
      <c r="I6610">
        <v>7</v>
      </c>
      <c r="J6610">
        <v>30</v>
      </c>
    </row>
    <row r="6611" spans="1:10" x14ac:dyDescent="0.25">
      <c r="A6611" t="s">
        <v>26</v>
      </c>
      <c r="B6611" t="s">
        <v>20</v>
      </c>
      <c r="C6611" t="s">
        <v>12</v>
      </c>
      <c r="D6611" t="s">
        <v>13</v>
      </c>
      <c r="E6611">
        <v>0.313657407407407</v>
      </c>
      <c r="F6611">
        <v>0.82841383795555301</v>
      </c>
      <c r="G6611">
        <v>1.2151346206664999</v>
      </c>
      <c r="H6611">
        <v>3</v>
      </c>
      <c r="I6611">
        <v>6</v>
      </c>
      <c r="J6611">
        <v>30</v>
      </c>
    </row>
    <row r="6612" spans="1:10" x14ac:dyDescent="0.25">
      <c r="A6612" t="s">
        <v>26</v>
      </c>
      <c r="B6612" t="s">
        <v>20</v>
      </c>
      <c r="C6612" t="s">
        <v>12</v>
      </c>
      <c r="D6612" t="s">
        <v>13</v>
      </c>
      <c r="E6612">
        <v>0.33603395061728297</v>
      </c>
      <c r="F6612">
        <v>0.83400791975694699</v>
      </c>
      <c r="G6612">
        <v>1.2158999443054199</v>
      </c>
      <c r="H6612">
        <v>3</v>
      </c>
      <c r="I6612">
        <v>7</v>
      </c>
      <c r="J6612">
        <v>30</v>
      </c>
    </row>
    <row r="6613" spans="1:10" x14ac:dyDescent="0.25">
      <c r="A6613" t="s">
        <v>26</v>
      </c>
      <c r="B6613" t="s">
        <v>20</v>
      </c>
      <c r="C6613" t="s">
        <v>12</v>
      </c>
      <c r="D6613" t="s">
        <v>13</v>
      </c>
      <c r="E6613">
        <v>0.34182098765432101</v>
      </c>
      <c r="F6613">
        <v>0.83543440568495697</v>
      </c>
      <c r="G6613">
        <v>1.1711776256561199</v>
      </c>
      <c r="H6613">
        <v>2</v>
      </c>
      <c r="I6613">
        <v>6</v>
      </c>
      <c r="J6613">
        <v>30</v>
      </c>
    </row>
    <row r="6614" spans="1:10" x14ac:dyDescent="0.25">
      <c r="A6614" t="s">
        <v>26</v>
      </c>
      <c r="B6614" t="s">
        <v>20</v>
      </c>
      <c r="C6614" t="s">
        <v>12</v>
      </c>
      <c r="D6614" t="s">
        <v>13</v>
      </c>
      <c r="E6614">
        <v>0.35339506172839502</v>
      </c>
      <c r="F6614">
        <v>0.83832789504691196</v>
      </c>
      <c r="G6614">
        <v>1.2043333053588801</v>
      </c>
      <c r="H6614">
        <v>2</v>
      </c>
      <c r="I6614">
        <v>8</v>
      </c>
      <c r="J6614">
        <v>30</v>
      </c>
    </row>
    <row r="6615" spans="1:10" x14ac:dyDescent="0.25">
      <c r="A6615" t="s">
        <v>26</v>
      </c>
      <c r="B6615" t="s">
        <v>20</v>
      </c>
      <c r="C6615" t="s">
        <v>12</v>
      </c>
      <c r="D6615" t="s">
        <v>13</v>
      </c>
      <c r="E6615">
        <v>0.32638888888888801</v>
      </c>
      <c r="F6615">
        <v>0.83159667907846901</v>
      </c>
      <c r="G6615">
        <v>1.18675017356872</v>
      </c>
      <c r="H6615">
        <v>3</v>
      </c>
      <c r="I6615">
        <v>7</v>
      </c>
      <c r="J6615">
        <v>30</v>
      </c>
    </row>
    <row r="6616" spans="1:10" x14ac:dyDescent="0.25">
      <c r="A6616" t="s">
        <v>26</v>
      </c>
      <c r="B6616" t="s">
        <v>20</v>
      </c>
      <c r="C6616" t="s">
        <v>12</v>
      </c>
      <c r="D6616" t="s">
        <v>13</v>
      </c>
      <c r="E6616">
        <v>0.32445987654320901</v>
      </c>
      <c r="F6616">
        <v>0.83111442920211898</v>
      </c>
      <c r="G6616">
        <v>1.1873042583465501</v>
      </c>
      <c r="H6616">
        <v>2</v>
      </c>
      <c r="I6616">
        <v>7</v>
      </c>
      <c r="J6616">
        <v>30</v>
      </c>
    </row>
    <row r="6617" spans="1:10" x14ac:dyDescent="0.25">
      <c r="A6617" t="s">
        <v>26</v>
      </c>
      <c r="B6617" t="s">
        <v>20</v>
      </c>
      <c r="C6617" t="s">
        <v>12</v>
      </c>
      <c r="D6617" t="s">
        <v>13</v>
      </c>
      <c r="E6617">
        <v>0.33410493827160398</v>
      </c>
      <c r="F6617">
        <v>0.83352566993055699</v>
      </c>
      <c r="G6617">
        <v>1.23799204826354</v>
      </c>
      <c r="H6617">
        <v>3</v>
      </c>
      <c r="I6617">
        <v>7</v>
      </c>
      <c r="J6617">
        <v>30</v>
      </c>
    </row>
    <row r="6618" spans="1:10" x14ac:dyDescent="0.25">
      <c r="A6618" t="s">
        <v>26</v>
      </c>
      <c r="B6618" t="s">
        <v>20</v>
      </c>
      <c r="C6618" t="s">
        <v>12</v>
      </c>
      <c r="D6618" t="s">
        <v>13</v>
      </c>
      <c r="E6618">
        <v>0.327546296296296</v>
      </c>
      <c r="F6618">
        <v>0.83180950537148601</v>
      </c>
      <c r="G6618">
        <v>1.1641650199890099</v>
      </c>
      <c r="H6618">
        <v>3</v>
      </c>
      <c r="I6618">
        <v>6</v>
      </c>
      <c r="J6618">
        <v>30</v>
      </c>
    </row>
    <row r="6619" spans="1:10" x14ac:dyDescent="0.25">
      <c r="A6619" t="s">
        <v>26</v>
      </c>
      <c r="B6619" t="s">
        <v>20</v>
      </c>
      <c r="C6619" t="s">
        <v>12</v>
      </c>
      <c r="D6619" t="s">
        <v>13</v>
      </c>
      <c r="E6619">
        <v>0.344907407407407</v>
      </c>
      <c r="F6619">
        <v>0.83622625995625299</v>
      </c>
      <c r="G6619">
        <v>1.1169421672821001</v>
      </c>
      <c r="H6619">
        <v>2</v>
      </c>
      <c r="I6619">
        <v>7</v>
      </c>
      <c r="J6619">
        <v>30</v>
      </c>
    </row>
    <row r="6620" spans="1:10" x14ac:dyDescent="0.25">
      <c r="A6620" t="s">
        <v>26</v>
      </c>
      <c r="B6620" t="s">
        <v>20</v>
      </c>
      <c r="C6620" t="s">
        <v>12</v>
      </c>
      <c r="D6620" t="s">
        <v>13</v>
      </c>
      <c r="E6620">
        <v>0.33256172839506098</v>
      </c>
      <c r="F6620">
        <v>0.83313987006944601</v>
      </c>
      <c r="G6620">
        <v>0.97055029869079501</v>
      </c>
      <c r="H6620">
        <v>3</v>
      </c>
      <c r="I6620">
        <v>7</v>
      </c>
      <c r="J6620">
        <v>30</v>
      </c>
    </row>
    <row r="6621" spans="1:10" x14ac:dyDescent="0.25">
      <c r="A6621" t="s">
        <v>26</v>
      </c>
      <c r="B6621" t="s">
        <v>20</v>
      </c>
      <c r="C6621" t="s">
        <v>12</v>
      </c>
      <c r="D6621" t="s">
        <v>13</v>
      </c>
      <c r="E6621">
        <v>0.33603395061728297</v>
      </c>
      <c r="F6621">
        <v>0.83400791975694599</v>
      </c>
      <c r="G6621">
        <v>1.1240196228027299</v>
      </c>
      <c r="H6621">
        <v>2</v>
      </c>
      <c r="I6621">
        <v>7</v>
      </c>
      <c r="J6621">
        <v>30</v>
      </c>
    </row>
    <row r="6622" spans="1:10" x14ac:dyDescent="0.25">
      <c r="A6622" t="s">
        <v>26</v>
      </c>
      <c r="B6622" t="s">
        <v>20</v>
      </c>
      <c r="C6622" t="s">
        <v>12</v>
      </c>
      <c r="D6622" t="s">
        <v>13</v>
      </c>
      <c r="E6622">
        <v>0.33641975308641903</v>
      </c>
      <c r="F6622">
        <v>0.83410436972222401</v>
      </c>
      <c r="G6622">
        <v>1.1485967636108301</v>
      </c>
      <c r="H6622">
        <v>3</v>
      </c>
      <c r="I6622">
        <v>7</v>
      </c>
      <c r="J6622">
        <v>30</v>
      </c>
    </row>
    <row r="6623" spans="1:10" x14ac:dyDescent="0.25">
      <c r="A6623" t="s">
        <v>26</v>
      </c>
      <c r="B6623" t="s">
        <v>20</v>
      </c>
      <c r="C6623" t="s">
        <v>12</v>
      </c>
      <c r="D6623" t="s">
        <v>13</v>
      </c>
      <c r="E6623">
        <v>0.32330246913580202</v>
      </c>
      <c r="F6623">
        <v>0.830825079276309</v>
      </c>
      <c r="G6623">
        <v>0.97705030441284102</v>
      </c>
      <c r="H6623">
        <v>2</v>
      </c>
      <c r="I6623">
        <v>7</v>
      </c>
      <c r="J6623">
        <v>30</v>
      </c>
    </row>
    <row r="6624" spans="1:10" x14ac:dyDescent="0.25">
      <c r="A6624" t="s">
        <v>26</v>
      </c>
      <c r="B6624" t="s">
        <v>20</v>
      </c>
      <c r="C6624" t="s">
        <v>12</v>
      </c>
      <c r="D6624" t="s">
        <v>13</v>
      </c>
      <c r="E6624">
        <v>0.342592592592592</v>
      </c>
      <c r="F6624">
        <v>0.83564756022500297</v>
      </c>
      <c r="G6624">
        <v>1.0889937877655</v>
      </c>
      <c r="H6624">
        <v>3</v>
      </c>
      <c r="I6624">
        <v>7</v>
      </c>
      <c r="J6624">
        <v>30</v>
      </c>
    </row>
    <row r="6625" spans="1:10" x14ac:dyDescent="0.25">
      <c r="A6625" t="s">
        <v>26</v>
      </c>
      <c r="B6625" t="s">
        <v>20</v>
      </c>
      <c r="C6625" t="s">
        <v>12</v>
      </c>
      <c r="D6625" t="s">
        <v>13</v>
      </c>
      <c r="E6625">
        <v>0.342978395061728</v>
      </c>
      <c r="F6625">
        <v>0.83574401018021105</v>
      </c>
      <c r="G6625">
        <v>1.0571391582489</v>
      </c>
      <c r="H6625">
        <v>3</v>
      </c>
      <c r="I6625">
        <v>7</v>
      </c>
      <c r="J6625">
        <v>30</v>
      </c>
    </row>
    <row r="6626" spans="1:10" x14ac:dyDescent="0.25">
      <c r="A6626" t="s">
        <v>26</v>
      </c>
      <c r="B6626" t="s">
        <v>20</v>
      </c>
      <c r="C6626" t="s">
        <v>12</v>
      </c>
      <c r="D6626" t="s">
        <v>13</v>
      </c>
      <c r="E6626">
        <v>0.33873456790123402</v>
      </c>
      <c r="F6626">
        <v>0.83468306951389104</v>
      </c>
      <c r="G6626">
        <v>1.0123131275177</v>
      </c>
      <c r="H6626">
        <v>2</v>
      </c>
      <c r="I6626">
        <v>7</v>
      </c>
      <c r="J6626">
        <v>30</v>
      </c>
    </row>
    <row r="6627" spans="1:10" x14ac:dyDescent="0.25">
      <c r="A6627" t="s">
        <v>26</v>
      </c>
      <c r="B6627" t="s">
        <v>20</v>
      </c>
      <c r="C6627" t="s">
        <v>12</v>
      </c>
      <c r="D6627" t="s">
        <v>13</v>
      </c>
      <c r="E6627">
        <v>0.342592592592592</v>
      </c>
      <c r="F6627">
        <v>0.83564756022500297</v>
      </c>
      <c r="G6627">
        <v>1.19223928451538</v>
      </c>
      <c r="H6627">
        <v>3</v>
      </c>
      <c r="I6627">
        <v>7</v>
      </c>
      <c r="J6627">
        <v>30</v>
      </c>
    </row>
    <row r="6628" spans="1:10" x14ac:dyDescent="0.25">
      <c r="A6628" t="s">
        <v>26</v>
      </c>
      <c r="B6628" t="s">
        <v>20</v>
      </c>
      <c r="C6628" t="s">
        <v>12</v>
      </c>
      <c r="D6628" t="s">
        <v>13</v>
      </c>
      <c r="E6628">
        <v>0.33371913580246898</v>
      </c>
      <c r="F6628">
        <v>0.83342921996527997</v>
      </c>
      <c r="G6628">
        <v>0.972157001495361</v>
      </c>
      <c r="H6628">
        <v>3</v>
      </c>
      <c r="I6628">
        <v>7</v>
      </c>
      <c r="J6628">
        <v>30</v>
      </c>
    </row>
    <row r="6629" spans="1:10" x14ac:dyDescent="0.25">
      <c r="A6629" t="s">
        <v>26</v>
      </c>
      <c r="B6629" t="s">
        <v>20</v>
      </c>
      <c r="C6629" t="s">
        <v>12</v>
      </c>
      <c r="D6629" t="s">
        <v>13</v>
      </c>
      <c r="E6629">
        <v>0.33487654320987598</v>
      </c>
      <c r="F6629">
        <v>0.83371856986111303</v>
      </c>
      <c r="G6629">
        <v>1.0172920227050699</v>
      </c>
      <c r="H6629">
        <v>3</v>
      </c>
      <c r="I6629">
        <v>6</v>
      </c>
      <c r="J6629">
        <v>30</v>
      </c>
    </row>
    <row r="6630" spans="1:10" x14ac:dyDescent="0.25">
      <c r="A6630" t="s">
        <v>26</v>
      </c>
      <c r="B6630" t="s">
        <v>20</v>
      </c>
      <c r="C6630" t="s">
        <v>12</v>
      </c>
      <c r="D6630" t="s">
        <v>13</v>
      </c>
      <c r="E6630">
        <v>0.32407407407407401</v>
      </c>
      <c r="F6630">
        <v>0.83101797922684895</v>
      </c>
      <c r="G6630">
        <v>1.0670464038848799</v>
      </c>
      <c r="H6630">
        <v>3</v>
      </c>
      <c r="I6630">
        <v>7</v>
      </c>
      <c r="J6630">
        <v>30</v>
      </c>
    </row>
    <row r="6631" spans="1:10" x14ac:dyDescent="0.25">
      <c r="A6631" t="s">
        <v>26</v>
      </c>
      <c r="B6631" t="s">
        <v>20</v>
      </c>
      <c r="C6631" t="s">
        <v>12</v>
      </c>
      <c r="D6631" t="s">
        <v>13</v>
      </c>
      <c r="E6631">
        <v>0.33796296296296202</v>
      </c>
      <c r="F6631">
        <v>0.83446991495370604</v>
      </c>
      <c r="G6631">
        <v>1.0631072521209699</v>
      </c>
      <c r="H6631">
        <v>2</v>
      </c>
      <c r="I6631">
        <v>8</v>
      </c>
      <c r="J6631">
        <v>30</v>
      </c>
    </row>
    <row r="6632" spans="1:10" x14ac:dyDescent="0.25">
      <c r="A6632" t="s">
        <v>26</v>
      </c>
      <c r="B6632" t="s">
        <v>20</v>
      </c>
      <c r="C6632" t="s">
        <v>12</v>
      </c>
      <c r="D6632" t="s">
        <v>14</v>
      </c>
      <c r="E6632">
        <v>0.32638888888888801</v>
      </c>
      <c r="F6632">
        <v>0.83159667907846901</v>
      </c>
      <c r="G6632">
        <v>0.62515711784362704</v>
      </c>
      <c r="H6632">
        <v>1</v>
      </c>
      <c r="I6632">
        <v>1</v>
      </c>
      <c r="J6632">
        <v>30</v>
      </c>
    </row>
    <row r="6633" spans="1:10" x14ac:dyDescent="0.25">
      <c r="A6633" t="s">
        <v>26</v>
      </c>
      <c r="B6633" t="s">
        <v>20</v>
      </c>
      <c r="C6633" t="s">
        <v>12</v>
      </c>
      <c r="D6633" t="s">
        <v>14</v>
      </c>
      <c r="E6633">
        <v>0.33410493827160398</v>
      </c>
      <c r="F6633">
        <v>0.83352566993055799</v>
      </c>
      <c r="G6633">
        <v>0.70913362503051702</v>
      </c>
      <c r="H6633">
        <v>1</v>
      </c>
      <c r="I6633">
        <v>1</v>
      </c>
      <c r="J6633">
        <v>30</v>
      </c>
    </row>
    <row r="6634" spans="1:10" x14ac:dyDescent="0.25">
      <c r="A6634" t="s">
        <v>26</v>
      </c>
      <c r="B6634" t="s">
        <v>20</v>
      </c>
      <c r="C6634" t="s">
        <v>12</v>
      </c>
      <c r="D6634" t="s">
        <v>14</v>
      </c>
      <c r="E6634">
        <v>0.32330246913580202</v>
      </c>
      <c r="F6634">
        <v>0.830825079276309</v>
      </c>
      <c r="G6634">
        <v>0.77593684196472101</v>
      </c>
      <c r="H6634">
        <v>1</v>
      </c>
      <c r="I6634">
        <v>1</v>
      </c>
      <c r="J6634">
        <v>30</v>
      </c>
    </row>
    <row r="6635" spans="1:10" x14ac:dyDescent="0.25">
      <c r="A6635" t="s">
        <v>26</v>
      </c>
      <c r="B6635" t="s">
        <v>20</v>
      </c>
      <c r="C6635" t="s">
        <v>12</v>
      </c>
      <c r="D6635" t="s">
        <v>14</v>
      </c>
      <c r="E6635">
        <v>0.328703703703703</v>
      </c>
      <c r="F6635">
        <v>0.83217537893008997</v>
      </c>
      <c r="G6635">
        <v>0.76875090599060003</v>
      </c>
      <c r="H6635">
        <v>1</v>
      </c>
      <c r="I6635">
        <v>1</v>
      </c>
      <c r="J6635">
        <v>30</v>
      </c>
    </row>
    <row r="6636" spans="1:10" x14ac:dyDescent="0.25">
      <c r="A6636" t="s">
        <v>26</v>
      </c>
      <c r="B6636" t="s">
        <v>20</v>
      </c>
      <c r="C6636" t="s">
        <v>12</v>
      </c>
      <c r="D6636" t="s">
        <v>14</v>
      </c>
      <c r="E6636">
        <v>0.33217592592592499</v>
      </c>
      <c r="F6636">
        <v>0.83304342010416899</v>
      </c>
      <c r="G6636">
        <v>0.77190780639648404</v>
      </c>
      <c r="H6636">
        <v>1</v>
      </c>
      <c r="I6636">
        <v>1</v>
      </c>
      <c r="J6636">
        <v>30</v>
      </c>
    </row>
    <row r="6637" spans="1:10" x14ac:dyDescent="0.25">
      <c r="A6637" t="s">
        <v>26</v>
      </c>
      <c r="B6637" t="s">
        <v>20</v>
      </c>
      <c r="C6637" t="s">
        <v>12</v>
      </c>
      <c r="D6637" t="s">
        <v>14</v>
      </c>
      <c r="E6637">
        <v>0.34992283950617198</v>
      </c>
      <c r="F6637">
        <v>0.83748010017098695</v>
      </c>
      <c r="G6637">
        <v>0.76337575912475497</v>
      </c>
      <c r="H6637">
        <v>1</v>
      </c>
      <c r="I6637">
        <v>1</v>
      </c>
      <c r="J6637">
        <v>30</v>
      </c>
    </row>
    <row r="6638" spans="1:10" x14ac:dyDescent="0.25">
      <c r="A6638" t="s">
        <v>26</v>
      </c>
      <c r="B6638" t="s">
        <v>20</v>
      </c>
      <c r="C6638" t="s">
        <v>12</v>
      </c>
      <c r="D6638" t="s">
        <v>14</v>
      </c>
      <c r="E6638">
        <v>0.33950617283950602</v>
      </c>
      <c r="F6638">
        <v>0.83487596944444697</v>
      </c>
      <c r="G6638">
        <v>0.81730151176452603</v>
      </c>
      <c r="H6638">
        <v>1</v>
      </c>
      <c r="I6638">
        <v>1</v>
      </c>
      <c r="J6638">
        <v>30</v>
      </c>
    </row>
    <row r="6639" spans="1:10" x14ac:dyDescent="0.25">
      <c r="A6639" t="s">
        <v>26</v>
      </c>
      <c r="B6639" t="s">
        <v>20</v>
      </c>
      <c r="C6639" t="s">
        <v>12</v>
      </c>
      <c r="D6639" t="s">
        <v>14</v>
      </c>
      <c r="E6639">
        <v>0.33179012345678999</v>
      </c>
      <c r="F6639">
        <v>0.83294697013889096</v>
      </c>
      <c r="G6639">
        <v>0.83396291732787997</v>
      </c>
      <c r="H6639">
        <v>1</v>
      </c>
      <c r="I6639">
        <v>1</v>
      </c>
      <c r="J6639">
        <v>30</v>
      </c>
    </row>
    <row r="6640" spans="1:10" x14ac:dyDescent="0.25">
      <c r="A6640" t="s">
        <v>26</v>
      </c>
      <c r="B6640" t="s">
        <v>20</v>
      </c>
      <c r="C6640" t="s">
        <v>12</v>
      </c>
      <c r="D6640" t="s">
        <v>14</v>
      </c>
      <c r="E6640">
        <v>0.33603395061728297</v>
      </c>
      <c r="F6640">
        <v>0.83400791975694699</v>
      </c>
      <c r="G6640">
        <v>0.75962328910827603</v>
      </c>
      <c r="H6640">
        <v>1</v>
      </c>
      <c r="I6640">
        <v>1</v>
      </c>
      <c r="J6640">
        <v>30</v>
      </c>
    </row>
    <row r="6641" spans="1:10" x14ac:dyDescent="0.25">
      <c r="A6641" t="s">
        <v>26</v>
      </c>
      <c r="B6641" t="s">
        <v>20</v>
      </c>
      <c r="C6641" t="s">
        <v>12</v>
      </c>
      <c r="D6641" t="s">
        <v>14</v>
      </c>
      <c r="E6641">
        <v>0.32600308641975301</v>
      </c>
      <c r="F6641">
        <v>0.83150022910319898</v>
      </c>
      <c r="G6641">
        <v>0.85254168510437001</v>
      </c>
      <c r="H6641">
        <v>1</v>
      </c>
      <c r="I6641">
        <v>1</v>
      </c>
      <c r="J6641">
        <v>30</v>
      </c>
    </row>
    <row r="6642" spans="1:10" x14ac:dyDescent="0.25">
      <c r="A6642" t="s">
        <v>26</v>
      </c>
      <c r="B6642" t="s">
        <v>20</v>
      </c>
      <c r="C6642" t="s">
        <v>12</v>
      </c>
      <c r="D6642" t="s">
        <v>14</v>
      </c>
      <c r="E6642">
        <v>0.34529320987654299</v>
      </c>
      <c r="F6642">
        <v>0.83632270991146096</v>
      </c>
      <c r="G6642">
        <v>0.83191013336181596</v>
      </c>
      <c r="H6642">
        <v>1</v>
      </c>
      <c r="I6642">
        <v>1</v>
      </c>
      <c r="J6642">
        <v>30</v>
      </c>
    </row>
    <row r="6643" spans="1:10" x14ac:dyDescent="0.25">
      <c r="A6643" t="s">
        <v>26</v>
      </c>
      <c r="B6643" t="s">
        <v>20</v>
      </c>
      <c r="C6643" t="s">
        <v>12</v>
      </c>
      <c r="D6643" t="s">
        <v>14</v>
      </c>
      <c r="E6643">
        <v>0.33719135802469102</v>
      </c>
      <c r="F6643">
        <v>0.83429726965277995</v>
      </c>
      <c r="G6643">
        <v>0.82937026023864702</v>
      </c>
      <c r="H6643">
        <v>1</v>
      </c>
      <c r="I6643">
        <v>1</v>
      </c>
      <c r="J6643">
        <v>30</v>
      </c>
    </row>
    <row r="6644" spans="1:10" x14ac:dyDescent="0.25">
      <c r="A6644" t="s">
        <v>26</v>
      </c>
      <c r="B6644" t="s">
        <v>20</v>
      </c>
      <c r="C6644" t="s">
        <v>12</v>
      </c>
      <c r="D6644" t="s">
        <v>14</v>
      </c>
      <c r="E6644">
        <v>0.329089506172839</v>
      </c>
      <c r="F6644">
        <v>0.83227182890536</v>
      </c>
      <c r="G6644">
        <v>0.854378461837768</v>
      </c>
      <c r="H6644">
        <v>1</v>
      </c>
      <c r="I6644">
        <v>1</v>
      </c>
      <c r="J6644">
        <v>30</v>
      </c>
    </row>
    <row r="6645" spans="1:10" x14ac:dyDescent="0.25">
      <c r="A6645" t="s">
        <v>26</v>
      </c>
      <c r="B6645" t="s">
        <v>20</v>
      </c>
      <c r="C6645" t="s">
        <v>12</v>
      </c>
      <c r="D6645" t="s">
        <v>14</v>
      </c>
      <c r="E6645">
        <v>0.32561728395061701</v>
      </c>
      <c r="F6645">
        <v>0.83140377912792895</v>
      </c>
      <c r="G6645">
        <v>0.77069473266601496</v>
      </c>
      <c r="H6645">
        <v>1</v>
      </c>
      <c r="I6645">
        <v>1</v>
      </c>
      <c r="J6645">
        <v>30</v>
      </c>
    </row>
    <row r="6646" spans="1:10" x14ac:dyDescent="0.25">
      <c r="A6646" t="s">
        <v>26</v>
      </c>
      <c r="B6646" t="s">
        <v>20</v>
      </c>
      <c r="C6646" t="s">
        <v>12</v>
      </c>
      <c r="D6646" t="s">
        <v>14</v>
      </c>
      <c r="E6646">
        <v>0.34066358024691301</v>
      </c>
      <c r="F6646">
        <v>0.83516531044896103</v>
      </c>
      <c r="G6646">
        <v>0.83993434906005804</v>
      </c>
      <c r="H6646">
        <v>1</v>
      </c>
      <c r="I6646">
        <v>1</v>
      </c>
      <c r="J6646">
        <v>30</v>
      </c>
    </row>
    <row r="6647" spans="1:10" x14ac:dyDescent="0.25">
      <c r="A6647" t="s">
        <v>26</v>
      </c>
      <c r="B6647" t="s">
        <v>20</v>
      </c>
      <c r="C6647" t="s">
        <v>12</v>
      </c>
      <c r="D6647" t="s">
        <v>14</v>
      </c>
      <c r="E6647">
        <v>0.34722222222222199</v>
      </c>
      <c r="F6647">
        <v>0.83680495968750301</v>
      </c>
      <c r="G6647">
        <v>0.83295297622680597</v>
      </c>
      <c r="H6647">
        <v>1</v>
      </c>
      <c r="I6647">
        <v>1</v>
      </c>
      <c r="J6647">
        <v>30</v>
      </c>
    </row>
    <row r="6648" spans="1:10" x14ac:dyDescent="0.25">
      <c r="A6648" t="s">
        <v>26</v>
      </c>
      <c r="B6648" t="s">
        <v>20</v>
      </c>
      <c r="C6648" t="s">
        <v>12</v>
      </c>
      <c r="D6648" t="s">
        <v>14</v>
      </c>
      <c r="E6648">
        <v>0.33449074074073998</v>
      </c>
      <c r="F6648">
        <v>0.83362211989583601</v>
      </c>
      <c r="G6648">
        <v>0.80237674713134699</v>
      </c>
      <c r="H6648">
        <v>1</v>
      </c>
      <c r="I6648">
        <v>1</v>
      </c>
      <c r="J6648">
        <v>30</v>
      </c>
    </row>
    <row r="6649" spans="1:10" x14ac:dyDescent="0.25">
      <c r="A6649" t="s">
        <v>26</v>
      </c>
      <c r="B6649" t="s">
        <v>20</v>
      </c>
      <c r="C6649" t="s">
        <v>12</v>
      </c>
      <c r="D6649" t="s">
        <v>14</v>
      </c>
      <c r="E6649">
        <v>0.35339506172839502</v>
      </c>
      <c r="F6649">
        <v>0.83834814967654203</v>
      </c>
      <c r="G6649">
        <v>0.76919722557067804</v>
      </c>
      <c r="H6649">
        <v>1</v>
      </c>
      <c r="I6649">
        <v>1</v>
      </c>
      <c r="J6649">
        <v>30</v>
      </c>
    </row>
    <row r="6650" spans="1:10" x14ac:dyDescent="0.25">
      <c r="A6650" t="s">
        <v>26</v>
      </c>
      <c r="B6650" t="s">
        <v>20</v>
      </c>
      <c r="C6650" t="s">
        <v>12</v>
      </c>
      <c r="D6650" t="s">
        <v>14</v>
      </c>
      <c r="E6650">
        <v>0.32523148148148101</v>
      </c>
      <c r="F6650">
        <v>0.83130732915265904</v>
      </c>
      <c r="G6650">
        <v>0.80034732818603505</v>
      </c>
      <c r="H6650">
        <v>1</v>
      </c>
      <c r="I6650">
        <v>1</v>
      </c>
      <c r="J6650">
        <v>30</v>
      </c>
    </row>
    <row r="6651" spans="1:10" x14ac:dyDescent="0.25">
      <c r="A6651" t="s">
        <v>26</v>
      </c>
      <c r="B6651" t="s">
        <v>20</v>
      </c>
      <c r="C6651" t="s">
        <v>12</v>
      </c>
      <c r="D6651" t="s">
        <v>14</v>
      </c>
      <c r="E6651">
        <v>0.33140432098765399</v>
      </c>
      <c r="F6651">
        <v>0.83285052017361305</v>
      </c>
      <c r="G6651">
        <v>0.76818633079528797</v>
      </c>
      <c r="H6651">
        <v>1</v>
      </c>
      <c r="I6651">
        <v>1</v>
      </c>
      <c r="J6651">
        <v>30</v>
      </c>
    </row>
    <row r="6652" spans="1:10" x14ac:dyDescent="0.25">
      <c r="A6652" t="s">
        <v>26</v>
      </c>
      <c r="B6652" t="s">
        <v>20</v>
      </c>
      <c r="C6652" t="s">
        <v>12</v>
      </c>
      <c r="D6652" t="s">
        <v>14</v>
      </c>
      <c r="E6652">
        <v>0.33256172839506098</v>
      </c>
      <c r="F6652">
        <v>0.83313987006944601</v>
      </c>
      <c r="G6652">
        <v>0.69594430923461903</v>
      </c>
      <c r="H6652">
        <v>1</v>
      </c>
      <c r="I6652">
        <v>1</v>
      </c>
      <c r="J6652">
        <v>30</v>
      </c>
    </row>
    <row r="6653" spans="1:10" x14ac:dyDescent="0.25">
      <c r="A6653" t="s">
        <v>26</v>
      </c>
      <c r="B6653" t="s">
        <v>20</v>
      </c>
      <c r="C6653" t="s">
        <v>12</v>
      </c>
      <c r="D6653" t="s">
        <v>14</v>
      </c>
      <c r="E6653">
        <v>0.33796296296296202</v>
      </c>
      <c r="F6653">
        <v>0.834490169583335</v>
      </c>
      <c r="G6653">
        <v>0.76019620895385698</v>
      </c>
      <c r="H6653">
        <v>1</v>
      </c>
      <c r="I6653">
        <v>1</v>
      </c>
      <c r="J6653">
        <v>30</v>
      </c>
    </row>
    <row r="6654" spans="1:10" x14ac:dyDescent="0.25">
      <c r="A6654" t="s">
        <v>26</v>
      </c>
      <c r="B6654" t="s">
        <v>20</v>
      </c>
      <c r="C6654" t="s">
        <v>12</v>
      </c>
      <c r="D6654" t="s">
        <v>14</v>
      </c>
      <c r="E6654">
        <v>0.33179012345678999</v>
      </c>
      <c r="F6654">
        <v>0.83294697013889096</v>
      </c>
      <c r="G6654">
        <v>0.78627729415893499</v>
      </c>
      <c r="H6654">
        <v>1</v>
      </c>
      <c r="I6654">
        <v>1</v>
      </c>
      <c r="J6654">
        <v>30</v>
      </c>
    </row>
    <row r="6655" spans="1:10" x14ac:dyDescent="0.25">
      <c r="A6655" t="s">
        <v>26</v>
      </c>
      <c r="B6655" t="s">
        <v>20</v>
      </c>
      <c r="C6655" t="s">
        <v>12</v>
      </c>
      <c r="D6655" t="s">
        <v>14</v>
      </c>
      <c r="E6655">
        <v>0.329089506172839</v>
      </c>
      <c r="F6655">
        <v>0.83227182890536</v>
      </c>
      <c r="G6655">
        <v>0.65679240226745605</v>
      </c>
      <c r="H6655">
        <v>1</v>
      </c>
      <c r="I6655">
        <v>1</v>
      </c>
      <c r="J6655">
        <v>30</v>
      </c>
    </row>
    <row r="6656" spans="1:10" x14ac:dyDescent="0.25">
      <c r="A6656" t="s">
        <v>26</v>
      </c>
      <c r="B6656" t="s">
        <v>20</v>
      </c>
      <c r="C6656" t="s">
        <v>12</v>
      </c>
      <c r="D6656" t="s">
        <v>14</v>
      </c>
      <c r="E6656">
        <v>0.32523148148148101</v>
      </c>
      <c r="F6656">
        <v>0.83130732915265904</v>
      </c>
      <c r="G6656">
        <v>0.69442677497863703</v>
      </c>
      <c r="H6656">
        <v>1</v>
      </c>
      <c r="I6656">
        <v>1</v>
      </c>
      <c r="J6656">
        <v>30</v>
      </c>
    </row>
    <row r="6657" spans="1:10" x14ac:dyDescent="0.25">
      <c r="A6657" t="s">
        <v>26</v>
      </c>
      <c r="B6657" t="s">
        <v>20</v>
      </c>
      <c r="C6657" t="s">
        <v>12</v>
      </c>
      <c r="D6657" t="s">
        <v>14</v>
      </c>
      <c r="E6657">
        <v>0.33796296296296202</v>
      </c>
      <c r="F6657">
        <v>0.834490169583335</v>
      </c>
      <c r="G6657">
        <v>0.70395326614379805</v>
      </c>
      <c r="H6657">
        <v>1</v>
      </c>
      <c r="I6657">
        <v>1</v>
      </c>
      <c r="J6657">
        <v>30</v>
      </c>
    </row>
    <row r="6658" spans="1:10" x14ac:dyDescent="0.25">
      <c r="A6658" t="s">
        <v>26</v>
      </c>
      <c r="B6658" t="s">
        <v>20</v>
      </c>
      <c r="C6658" t="s">
        <v>12</v>
      </c>
      <c r="D6658" t="s">
        <v>14</v>
      </c>
      <c r="E6658">
        <v>0.33140432098765399</v>
      </c>
      <c r="F6658">
        <v>0.83285052017361305</v>
      </c>
      <c r="G6658">
        <v>0.67127203941345204</v>
      </c>
      <c r="H6658">
        <v>1</v>
      </c>
      <c r="I6658">
        <v>1</v>
      </c>
      <c r="J6658">
        <v>30</v>
      </c>
    </row>
    <row r="6659" spans="1:10" x14ac:dyDescent="0.25">
      <c r="A6659" t="s">
        <v>26</v>
      </c>
      <c r="B6659" t="s">
        <v>20</v>
      </c>
      <c r="C6659" t="s">
        <v>12</v>
      </c>
      <c r="D6659" t="s">
        <v>14</v>
      </c>
      <c r="E6659">
        <v>0.33487654320987598</v>
      </c>
      <c r="F6659">
        <v>0.83371856986111303</v>
      </c>
      <c r="G6659">
        <v>0.63561129570007302</v>
      </c>
      <c r="H6659">
        <v>1</v>
      </c>
      <c r="I6659">
        <v>1</v>
      </c>
      <c r="J6659">
        <v>30</v>
      </c>
    </row>
    <row r="6660" spans="1:10" x14ac:dyDescent="0.25">
      <c r="A6660" t="s">
        <v>26</v>
      </c>
      <c r="B6660" t="s">
        <v>20</v>
      </c>
      <c r="C6660" t="s">
        <v>12</v>
      </c>
      <c r="D6660" t="s">
        <v>14</v>
      </c>
      <c r="E6660">
        <v>0.34375</v>
      </c>
      <c r="F6660">
        <v>0.83593691009062798</v>
      </c>
      <c r="G6660">
        <v>0.70645999908447199</v>
      </c>
      <c r="H6660">
        <v>1</v>
      </c>
      <c r="I6660">
        <v>1</v>
      </c>
      <c r="J6660">
        <v>30</v>
      </c>
    </row>
    <row r="6661" spans="1:10" x14ac:dyDescent="0.25">
      <c r="A6661" t="s">
        <v>26</v>
      </c>
      <c r="B6661" t="s">
        <v>20</v>
      </c>
      <c r="C6661" t="s">
        <v>12</v>
      </c>
      <c r="D6661" t="s">
        <v>14</v>
      </c>
      <c r="E6661">
        <v>0.32021604938271597</v>
      </c>
      <c r="F6661">
        <v>0.83005347947414798</v>
      </c>
      <c r="G6661">
        <v>0.64619207382202104</v>
      </c>
      <c r="H6661">
        <v>1</v>
      </c>
      <c r="I6661">
        <v>1</v>
      </c>
      <c r="J6661">
        <v>30</v>
      </c>
    </row>
    <row r="6662" spans="1:10" x14ac:dyDescent="0.25">
      <c r="A6662" t="s">
        <v>26</v>
      </c>
      <c r="B6662" t="s">
        <v>20</v>
      </c>
      <c r="C6662" t="s">
        <v>12</v>
      </c>
      <c r="D6662" t="s">
        <v>15</v>
      </c>
      <c r="E6662">
        <v>0</v>
      </c>
      <c r="F6662">
        <v>0.75</v>
      </c>
      <c r="G6662">
        <v>0.36743402481079102</v>
      </c>
      <c r="H6662">
        <v>0</v>
      </c>
      <c r="I6662">
        <v>0</v>
      </c>
      <c r="J6662">
        <v>30</v>
      </c>
    </row>
    <row r="6663" spans="1:10" x14ac:dyDescent="0.25">
      <c r="A6663" t="s">
        <v>26</v>
      </c>
      <c r="B6663" t="s">
        <v>20</v>
      </c>
      <c r="C6663" t="s">
        <v>12</v>
      </c>
      <c r="D6663" t="s">
        <v>15</v>
      </c>
      <c r="E6663">
        <v>0</v>
      </c>
      <c r="F6663">
        <v>0.75</v>
      </c>
      <c r="G6663">
        <v>0.43225669860839799</v>
      </c>
      <c r="H6663">
        <v>0</v>
      </c>
      <c r="I6663">
        <v>0</v>
      </c>
      <c r="J6663">
        <v>30</v>
      </c>
    </row>
    <row r="6664" spans="1:10" x14ac:dyDescent="0.25">
      <c r="A6664" t="s">
        <v>26</v>
      </c>
      <c r="B6664" t="s">
        <v>20</v>
      </c>
      <c r="C6664" t="s">
        <v>12</v>
      </c>
      <c r="D6664" t="s">
        <v>15</v>
      </c>
      <c r="E6664">
        <v>0</v>
      </c>
      <c r="F6664">
        <v>0.75</v>
      </c>
      <c r="G6664">
        <v>0.55431342124938898</v>
      </c>
      <c r="H6664">
        <v>0</v>
      </c>
      <c r="I6664">
        <v>0</v>
      </c>
      <c r="J6664">
        <v>30</v>
      </c>
    </row>
    <row r="6665" spans="1:10" x14ac:dyDescent="0.25">
      <c r="A6665" t="s">
        <v>26</v>
      </c>
      <c r="B6665" t="s">
        <v>20</v>
      </c>
      <c r="C6665" t="s">
        <v>12</v>
      </c>
      <c r="D6665" t="s">
        <v>15</v>
      </c>
      <c r="E6665">
        <v>0</v>
      </c>
      <c r="F6665">
        <v>0.75</v>
      </c>
      <c r="G6665">
        <v>0.55135703086853005</v>
      </c>
      <c r="H6665">
        <v>0</v>
      </c>
      <c r="I6665">
        <v>0</v>
      </c>
      <c r="J6665">
        <v>30</v>
      </c>
    </row>
    <row r="6666" spans="1:10" x14ac:dyDescent="0.25">
      <c r="A6666" t="s">
        <v>26</v>
      </c>
      <c r="B6666" t="s">
        <v>20</v>
      </c>
      <c r="C6666" t="s">
        <v>12</v>
      </c>
      <c r="D6666" t="s">
        <v>15</v>
      </c>
      <c r="E6666">
        <v>0</v>
      </c>
      <c r="F6666">
        <v>0.75</v>
      </c>
      <c r="G6666">
        <v>0.61313581466674805</v>
      </c>
      <c r="H6666">
        <v>0</v>
      </c>
      <c r="I6666">
        <v>0</v>
      </c>
      <c r="J6666">
        <v>30</v>
      </c>
    </row>
    <row r="6667" spans="1:10" x14ac:dyDescent="0.25">
      <c r="A6667" t="s">
        <v>26</v>
      </c>
      <c r="B6667" t="s">
        <v>20</v>
      </c>
      <c r="C6667" t="s">
        <v>12</v>
      </c>
      <c r="D6667" t="s">
        <v>15</v>
      </c>
      <c r="E6667">
        <v>0</v>
      </c>
      <c r="F6667">
        <v>0.75</v>
      </c>
      <c r="G6667">
        <v>0.59210109710693304</v>
      </c>
      <c r="H6667">
        <v>0</v>
      </c>
      <c r="I6667">
        <v>0</v>
      </c>
      <c r="J6667">
        <v>30</v>
      </c>
    </row>
    <row r="6668" spans="1:10" x14ac:dyDescent="0.25">
      <c r="A6668" t="s">
        <v>26</v>
      </c>
      <c r="B6668" t="s">
        <v>20</v>
      </c>
      <c r="C6668" t="s">
        <v>12</v>
      </c>
      <c r="D6668" t="s">
        <v>15</v>
      </c>
      <c r="E6668">
        <v>0</v>
      </c>
      <c r="F6668">
        <v>0.75</v>
      </c>
      <c r="G6668">
        <v>0.60779809951782204</v>
      </c>
      <c r="H6668">
        <v>0</v>
      </c>
      <c r="I6668">
        <v>0</v>
      </c>
      <c r="J6668">
        <v>30</v>
      </c>
    </row>
    <row r="6669" spans="1:10" x14ac:dyDescent="0.25">
      <c r="A6669" t="s">
        <v>26</v>
      </c>
      <c r="B6669" t="s">
        <v>20</v>
      </c>
      <c r="C6669" t="s">
        <v>12</v>
      </c>
      <c r="D6669" t="s">
        <v>15</v>
      </c>
      <c r="E6669">
        <v>0</v>
      </c>
      <c r="F6669">
        <v>0.75</v>
      </c>
      <c r="G6669">
        <v>0.51842331886291504</v>
      </c>
      <c r="H6669">
        <v>0</v>
      </c>
      <c r="I6669">
        <v>0</v>
      </c>
      <c r="J6669">
        <v>30</v>
      </c>
    </row>
    <row r="6670" spans="1:10" x14ac:dyDescent="0.25">
      <c r="A6670" t="s">
        <v>26</v>
      </c>
      <c r="B6670" t="s">
        <v>20</v>
      </c>
      <c r="C6670" t="s">
        <v>12</v>
      </c>
      <c r="D6670" t="s">
        <v>15</v>
      </c>
      <c r="E6670">
        <v>0</v>
      </c>
      <c r="F6670">
        <v>0.75</v>
      </c>
      <c r="G6670">
        <v>0.59842610359191895</v>
      </c>
      <c r="H6670">
        <v>0</v>
      </c>
      <c r="I6670">
        <v>0</v>
      </c>
      <c r="J6670">
        <v>30</v>
      </c>
    </row>
    <row r="6671" spans="1:10" x14ac:dyDescent="0.25">
      <c r="A6671" t="s">
        <v>26</v>
      </c>
      <c r="B6671" t="s">
        <v>20</v>
      </c>
      <c r="C6671" t="s">
        <v>12</v>
      </c>
      <c r="D6671" t="s">
        <v>15</v>
      </c>
      <c r="E6671">
        <v>0</v>
      </c>
      <c r="F6671">
        <v>0.75</v>
      </c>
      <c r="G6671">
        <v>0.58138108253479004</v>
      </c>
      <c r="H6671">
        <v>0</v>
      </c>
      <c r="I6671">
        <v>0</v>
      </c>
      <c r="J6671">
        <v>30</v>
      </c>
    </row>
    <row r="6672" spans="1:10" x14ac:dyDescent="0.25">
      <c r="A6672" t="s">
        <v>26</v>
      </c>
      <c r="B6672" t="s">
        <v>20</v>
      </c>
      <c r="C6672" t="s">
        <v>12</v>
      </c>
      <c r="D6672" t="s">
        <v>15</v>
      </c>
      <c r="E6672">
        <v>0</v>
      </c>
      <c r="F6672">
        <v>0.75</v>
      </c>
      <c r="G6672">
        <v>0.58826589584350497</v>
      </c>
      <c r="H6672">
        <v>0</v>
      </c>
      <c r="I6672">
        <v>0</v>
      </c>
      <c r="J6672">
        <v>30</v>
      </c>
    </row>
    <row r="6673" spans="1:10" x14ac:dyDescent="0.25">
      <c r="A6673" t="s">
        <v>26</v>
      </c>
      <c r="B6673" t="s">
        <v>20</v>
      </c>
      <c r="C6673" t="s">
        <v>12</v>
      </c>
      <c r="D6673" t="s">
        <v>15</v>
      </c>
      <c r="E6673">
        <v>0</v>
      </c>
      <c r="F6673">
        <v>0.75</v>
      </c>
      <c r="G6673">
        <v>0.71956682205200195</v>
      </c>
      <c r="H6673">
        <v>0</v>
      </c>
      <c r="I6673">
        <v>0</v>
      </c>
      <c r="J6673">
        <v>30</v>
      </c>
    </row>
    <row r="6674" spans="1:10" x14ac:dyDescent="0.25">
      <c r="A6674" t="s">
        <v>26</v>
      </c>
      <c r="B6674" t="s">
        <v>20</v>
      </c>
      <c r="C6674" t="s">
        <v>12</v>
      </c>
      <c r="D6674" t="s">
        <v>15</v>
      </c>
      <c r="E6674">
        <v>0</v>
      </c>
      <c r="F6674">
        <v>0.75</v>
      </c>
      <c r="G6674">
        <v>0.60473728179931596</v>
      </c>
      <c r="H6674">
        <v>0</v>
      </c>
      <c r="I6674">
        <v>0</v>
      </c>
      <c r="J6674">
        <v>30</v>
      </c>
    </row>
    <row r="6675" spans="1:10" x14ac:dyDescent="0.25">
      <c r="A6675" t="s">
        <v>26</v>
      </c>
      <c r="B6675" t="s">
        <v>20</v>
      </c>
      <c r="C6675" t="s">
        <v>12</v>
      </c>
      <c r="D6675" t="s">
        <v>15</v>
      </c>
      <c r="E6675">
        <v>0</v>
      </c>
      <c r="F6675">
        <v>0.75</v>
      </c>
      <c r="G6675">
        <v>0.50475692749023404</v>
      </c>
      <c r="H6675">
        <v>0</v>
      </c>
      <c r="I6675">
        <v>0</v>
      </c>
      <c r="J6675">
        <v>30</v>
      </c>
    </row>
    <row r="6676" spans="1:10" x14ac:dyDescent="0.25">
      <c r="A6676" t="s">
        <v>26</v>
      </c>
      <c r="B6676" t="s">
        <v>20</v>
      </c>
      <c r="C6676" t="s">
        <v>12</v>
      </c>
      <c r="D6676" t="s">
        <v>15</v>
      </c>
      <c r="E6676">
        <v>0</v>
      </c>
      <c r="F6676">
        <v>0.75</v>
      </c>
      <c r="G6676">
        <v>0.93957972526550204</v>
      </c>
      <c r="H6676">
        <v>1</v>
      </c>
      <c r="I6676">
        <v>7</v>
      </c>
      <c r="J6676">
        <v>30</v>
      </c>
    </row>
    <row r="6677" spans="1:10" x14ac:dyDescent="0.25">
      <c r="A6677" t="s">
        <v>26</v>
      </c>
      <c r="B6677" t="s">
        <v>20</v>
      </c>
      <c r="C6677" t="s">
        <v>12</v>
      </c>
      <c r="D6677" t="s">
        <v>15</v>
      </c>
      <c r="E6677">
        <v>0</v>
      </c>
      <c r="F6677">
        <v>0.75</v>
      </c>
      <c r="G6677">
        <v>0.63494873046875</v>
      </c>
      <c r="H6677">
        <v>0</v>
      </c>
      <c r="I6677">
        <v>0</v>
      </c>
      <c r="J6677">
        <v>30</v>
      </c>
    </row>
    <row r="6678" spans="1:10" x14ac:dyDescent="0.25">
      <c r="A6678" t="s">
        <v>26</v>
      </c>
      <c r="B6678" t="s">
        <v>20</v>
      </c>
      <c r="C6678" t="s">
        <v>12</v>
      </c>
      <c r="D6678" t="s">
        <v>15</v>
      </c>
      <c r="E6678">
        <v>0</v>
      </c>
      <c r="F6678">
        <v>0.75</v>
      </c>
      <c r="G6678">
        <v>0.58116626739501898</v>
      </c>
      <c r="H6678">
        <v>0</v>
      </c>
      <c r="I6678">
        <v>0</v>
      </c>
      <c r="J6678">
        <v>30</v>
      </c>
    </row>
    <row r="6679" spans="1:10" x14ac:dyDescent="0.25">
      <c r="A6679" t="s">
        <v>26</v>
      </c>
      <c r="B6679" t="s">
        <v>20</v>
      </c>
      <c r="C6679" t="s">
        <v>12</v>
      </c>
      <c r="D6679" t="s">
        <v>15</v>
      </c>
      <c r="E6679">
        <v>0</v>
      </c>
      <c r="F6679">
        <v>0.75</v>
      </c>
      <c r="G6679">
        <v>0.61232709884643499</v>
      </c>
      <c r="H6679">
        <v>0</v>
      </c>
      <c r="I6679">
        <v>0</v>
      </c>
      <c r="J6679">
        <v>30</v>
      </c>
    </row>
    <row r="6680" spans="1:10" x14ac:dyDescent="0.25">
      <c r="A6680" t="s">
        <v>26</v>
      </c>
      <c r="B6680" t="s">
        <v>20</v>
      </c>
      <c r="C6680" t="s">
        <v>12</v>
      </c>
      <c r="D6680" t="s">
        <v>15</v>
      </c>
      <c r="E6680">
        <v>0</v>
      </c>
      <c r="F6680">
        <v>0.75</v>
      </c>
      <c r="G6680">
        <v>0.51696014404296797</v>
      </c>
      <c r="H6680">
        <v>0</v>
      </c>
      <c r="I6680">
        <v>0</v>
      </c>
      <c r="J6680">
        <v>30</v>
      </c>
    </row>
    <row r="6681" spans="1:10" x14ac:dyDescent="0.25">
      <c r="A6681" t="s">
        <v>26</v>
      </c>
      <c r="B6681" t="s">
        <v>20</v>
      </c>
      <c r="C6681" t="s">
        <v>12</v>
      </c>
      <c r="D6681" t="s">
        <v>15</v>
      </c>
      <c r="E6681">
        <v>0</v>
      </c>
      <c r="F6681">
        <v>0.75</v>
      </c>
      <c r="G6681">
        <v>1.0265364646911599</v>
      </c>
      <c r="H6681">
        <v>1</v>
      </c>
      <c r="I6681">
        <v>7</v>
      </c>
      <c r="J6681">
        <v>30</v>
      </c>
    </row>
    <row r="6682" spans="1:10" x14ac:dyDescent="0.25">
      <c r="A6682" t="s">
        <v>26</v>
      </c>
      <c r="B6682" t="s">
        <v>20</v>
      </c>
      <c r="C6682" t="s">
        <v>12</v>
      </c>
      <c r="D6682" t="s">
        <v>15</v>
      </c>
      <c r="E6682">
        <v>0</v>
      </c>
      <c r="F6682">
        <v>0.75</v>
      </c>
      <c r="G6682">
        <v>0.484781503677368</v>
      </c>
      <c r="H6682">
        <v>0</v>
      </c>
      <c r="I6682">
        <v>0</v>
      </c>
      <c r="J6682">
        <v>30</v>
      </c>
    </row>
    <row r="6683" spans="1:10" x14ac:dyDescent="0.25">
      <c r="A6683" t="s">
        <v>26</v>
      </c>
      <c r="B6683" t="s">
        <v>20</v>
      </c>
      <c r="C6683" t="s">
        <v>12</v>
      </c>
      <c r="D6683" t="s">
        <v>15</v>
      </c>
      <c r="E6683">
        <v>0</v>
      </c>
      <c r="F6683">
        <v>0.75</v>
      </c>
      <c r="G6683">
        <v>1.02258396148681</v>
      </c>
      <c r="H6683">
        <v>1</v>
      </c>
      <c r="I6683">
        <v>8</v>
      </c>
      <c r="J6683">
        <v>30</v>
      </c>
    </row>
    <row r="6684" spans="1:10" x14ac:dyDescent="0.25">
      <c r="A6684" t="s">
        <v>26</v>
      </c>
      <c r="B6684" t="s">
        <v>20</v>
      </c>
      <c r="C6684" t="s">
        <v>12</v>
      </c>
      <c r="D6684" t="s">
        <v>15</v>
      </c>
      <c r="E6684">
        <v>3.8580246913580201E-4</v>
      </c>
      <c r="F6684">
        <v>0.75001832561728399</v>
      </c>
      <c r="G6684">
        <v>0.86095237731933505</v>
      </c>
      <c r="H6684">
        <v>1</v>
      </c>
      <c r="I6684">
        <v>6</v>
      </c>
      <c r="J6684">
        <v>30</v>
      </c>
    </row>
    <row r="6685" spans="1:10" x14ac:dyDescent="0.25">
      <c r="A6685" t="s">
        <v>26</v>
      </c>
      <c r="B6685" t="s">
        <v>20</v>
      </c>
      <c r="C6685" t="s">
        <v>12</v>
      </c>
      <c r="D6685" t="s">
        <v>15</v>
      </c>
      <c r="E6685">
        <v>0</v>
      </c>
      <c r="F6685">
        <v>0.75</v>
      </c>
      <c r="G6685">
        <v>0.81372475624084395</v>
      </c>
      <c r="H6685">
        <v>1</v>
      </c>
      <c r="I6685">
        <v>8</v>
      </c>
      <c r="J6685">
        <v>30</v>
      </c>
    </row>
    <row r="6686" spans="1:10" x14ac:dyDescent="0.25">
      <c r="A6686" t="s">
        <v>26</v>
      </c>
      <c r="B6686" t="s">
        <v>20</v>
      </c>
      <c r="C6686" t="s">
        <v>12</v>
      </c>
      <c r="D6686" t="s">
        <v>15</v>
      </c>
      <c r="E6686">
        <v>0</v>
      </c>
      <c r="F6686">
        <v>0.74995949074073998</v>
      </c>
      <c r="G6686">
        <v>0.74889254570007302</v>
      </c>
      <c r="H6686">
        <v>1</v>
      </c>
      <c r="I6686">
        <v>8</v>
      </c>
      <c r="J6686">
        <v>30</v>
      </c>
    </row>
    <row r="6687" spans="1:10" x14ac:dyDescent="0.25">
      <c r="A6687" t="s">
        <v>26</v>
      </c>
      <c r="B6687" t="s">
        <v>20</v>
      </c>
      <c r="C6687" t="s">
        <v>12</v>
      </c>
      <c r="D6687" t="s">
        <v>15</v>
      </c>
      <c r="E6687">
        <v>0</v>
      </c>
      <c r="F6687">
        <v>0.74998325370798602</v>
      </c>
      <c r="G6687">
        <v>0.80211687088012695</v>
      </c>
      <c r="H6687">
        <v>1</v>
      </c>
      <c r="I6687">
        <v>5</v>
      </c>
      <c r="J6687">
        <v>30</v>
      </c>
    </row>
    <row r="6688" spans="1:10" x14ac:dyDescent="0.25">
      <c r="A6688" t="s">
        <v>26</v>
      </c>
      <c r="B6688" t="s">
        <v>20</v>
      </c>
      <c r="C6688" t="s">
        <v>12</v>
      </c>
      <c r="D6688" t="s">
        <v>15</v>
      </c>
      <c r="E6688">
        <v>3.8580246913580201E-4</v>
      </c>
      <c r="F6688">
        <v>0.75001540648576304</v>
      </c>
      <c r="G6688">
        <v>1.06752705574035</v>
      </c>
      <c r="H6688">
        <v>2</v>
      </c>
      <c r="I6688">
        <v>6</v>
      </c>
      <c r="J6688">
        <v>30</v>
      </c>
    </row>
    <row r="6689" spans="1:10" x14ac:dyDescent="0.25">
      <c r="A6689" t="s">
        <v>26</v>
      </c>
      <c r="B6689" t="s">
        <v>20</v>
      </c>
      <c r="C6689" t="s">
        <v>12</v>
      </c>
      <c r="D6689" t="s">
        <v>15</v>
      </c>
      <c r="E6689">
        <v>3.8580246913580201E-4</v>
      </c>
      <c r="F6689">
        <v>0.75001540648576304</v>
      </c>
      <c r="G6689">
        <v>1.6571676731109599</v>
      </c>
      <c r="H6689">
        <v>4</v>
      </c>
      <c r="I6689">
        <v>17</v>
      </c>
      <c r="J6689">
        <v>30</v>
      </c>
    </row>
    <row r="6690" spans="1:10" x14ac:dyDescent="0.25">
      <c r="A6690" t="s">
        <v>26</v>
      </c>
      <c r="B6690" t="s">
        <v>20</v>
      </c>
      <c r="C6690" t="s">
        <v>12</v>
      </c>
      <c r="D6690" t="s">
        <v>15</v>
      </c>
      <c r="E6690">
        <v>0</v>
      </c>
      <c r="F6690">
        <v>0.75</v>
      </c>
      <c r="G6690">
        <v>1.8775169849395701</v>
      </c>
      <c r="H6690">
        <v>4</v>
      </c>
      <c r="I6690">
        <v>20</v>
      </c>
      <c r="J6690">
        <v>30</v>
      </c>
    </row>
    <row r="6691" spans="1:10" x14ac:dyDescent="0.25">
      <c r="A6691" t="s">
        <v>26</v>
      </c>
      <c r="B6691" t="s">
        <v>20</v>
      </c>
      <c r="C6691" t="s">
        <v>12</v>
      </c>
      <c r="D6691" t="s">
        <v>15</v>
      </c>
      <c r="E6691">
        <v>0</v>
      </c>
      <c r="F6691">
        <v>0.75</v>
      </c>
      <c r="G6691">
        <v>2.0704779624938898</v>
      </c>
      <c r="H6691">
        <v>5</v>
      </c>
      <c r="I6691">
        <v>19</v>
      </c>
      <c r="J6691">
        <v>30</v>
      </c>
    </row>
    <row r="6692" spans="1:10" x14ac:dyDescent="0.25">
      <c r="A6692" t="s">
        <v>26</v>
      </c>
      <c r="B6692" t="s">
        <v>20</v>
      </c>
      <c r="C6692" t="s">
        <v>12</v>
      </c>
      <c r="D6692" t="s">
        <v>16</v>
      </c>
      <c r="E6692">
        <v>0</v>
      </c>
      <c r="F6692">
        <v>0.75</v>
      </c>
      <c r="G6692">
        <v>0.29770684242248502</v>
      </c>
      <c r="H6692">
        <v>0</v>
      </c>
      <c r="I6692">
        <v>0</v>
      </c>
      <c r="J6692">
        <v>30</v>
      </c>
    </row>
    <row r="6693" spans="1:10" x14ac:dyDescent="0.25">
      <c r="A6693" t="s">
        <v>26</v>
      </c>
      <c r="B6693" t="s">
        <v>20</v>
      </c>
      <c r="C6693" t="s">
        <v>12</v>
      </c>
      <c r="D6693" t="s">
        <v>16</v>
      </c>
      <c r="E6693">
        <v>0</v>
      </c>
      <c r="F6693">
        <v>0.75</v>
      </c>
      <c r="G6693">
        <v>0.31298065185546797</v>
      </c>
      <c r="H6693">
        <v>0</v>
      </c>
      <c r="I6693">
        <v>0</v>
      </c>
      <c r="J6693">
        <v>30</v>
      </c>
    </row>
    <row r="6694" spans="1:10" x14ac:dyDescent="0.25">
      <c r="A6694" t="s">
        <v>26</v>
      </c>
      <c r="B6694" t="s">
        <v>20</v>
      </c>
      <c r="C6694" t="s">
        <v>12</v>
      </c>
      <c r="D6694" t="s">
        <v>16</v>
      </c>
      <c r="E6694">
        <v>0</v>
      </c>
      <c r="F6694">
        <v>0.75</v>
      </c>
      <c r="G6694">
        <v>0.34813380241393999</v>
      </c>
      <c r="H6694">
        <v>0</v>
      </c>
      <c r="I6694">
        <v>0</v>
      </c>
      <c r="J6694">
        <v>30</v>
      </c>
    </row>
    <row r="6695" spans="1:10" x14ac:dyDescent="0.25">
      <c r="A6695" t="s">
        <v>26</v>
      </c>
      <c r="B6695" t="s">
        <v>20</v>
      </c>
      <c r="C6695" t="s">
        <v>12</v>
      </c>
      <c r="D6695" t="s">
        <v>16</v>
      </c>
      <c r="E6695">
        <v>0</v>
      </c>
      <c r="F6695">
        <v>0.75</v>
      </c>
      <c r="G6695">
        <v>0.36282682418823198</v>
      </c>
      <c r="H6695">
        <v>0</v>
      </c>
      <c r="I6695">
        <v>0</v>
      </c>
      <c r="J6695">
        <v>30</v>
      </c>
    </row>
    <row r="6696" spans="1:10" x14ac:dyDescent="0.25">
      <c r="A6696" t="s">
        <v>26</v>
      </c>
      <c r="B6696" t="s">
        <v>20</v>
      </c>
      <c r="C6696" t="s">
        <v>12</v>
      </c>
      <c r="D6696" t="s">
        <v>16</v>
      </c>
      <c r="E6696">
        <v>0</v>
      </c>
      <c r="F6696">
        <v>0.75</v>
      </c>
      <c r="G6696">
        <v>0.40299272537231401</v>
      </c>
      <c r="H6696">
        <v>0</v>
      </c>
      <c r="I6696">
        <v>0</v>
      </c>
      <c r="J6696">
        <v>30</v>
      </c>
    </row>
    <row r="6697" spans="1:10" x14ac:dyDescent="0.25">
      <c r="A6697" t="s">
        <v>26</v>
      </c>
      <c r="B6697" t="s">
        <v>20</v>
      </c>
      <c r="C6697" t="s">
        <v>12</v>
      </c>
      <c r="D6697" t="s">
        <v>16</v>
      </c>
      <c r="E6697">
        <v>0</v>
      </c>
      <c r="F6697">
        <v>0.75</v>
      </c>
      <c r="G6697">
        <v>0.40847349166870101</v>
      </c>
      <c r="H6697">
        <v>0</v>
      </c>
      <c r="I6697">
        <v>0</v>
      </c>
      <c r="J6697">
        <v>30</v>
      </c>
    </row>
    <row r="6698" spans="1:10" x14ac:dyDescent="0.25">
      <c r="A6698" t="s">
        <v>26</v>
      </c>
      <c r="B6698" t="s">
        <v>20</v>
      </c>
      <c r="C6698" t="s">
        <v>12</v>
      </c>
      <c r="D6698" t="s">
        <v>16</v>
      </c>
      <c r="E6698">
        <v>0</v>
      </c>
      <c r="F6698">
        <v>0.75</v>
      </c>
      <c r="G6698">
        <v>0.442108154296875</v>
      </c>
      <c r="H6698">
        <v>0</v>
      </c>
      <c r="I6698">
        <v>0</v>
      </c>
      <c r="J6698">
        <v>30</v>
      </c>
    </row>
    <row r="6699" spans="1:10" x14ac:dyDescent="0.25">
      <c r="A6699" t="s">
        <v>26</v>
      </c>
      <c r="B6699" t="s">
        <v>20</v>
      </c>
      <c r="C6699" t="s">
        <v>12</v>
      </c>
      <c r="D6699" t="s">
        <v>16</v>
      </c>
      <c r="E6699">
        <v>0</v>
      </c>
      <c r="F6699">
        <v>0.75</v>
      </c>
      <c r="G6699">
        <v>0.45568418502807601</v>
      </c>
      <c r="H6699">
        <v>0</v>
      </c>
      <c r="I6699">
        <v>0</v>
      </c>
      <c r="J6699">
        <v>30</v>
      </c>
    </row>
    <row r="6700" spans="1:10" x14ac:dyDescent="0.25">
      <c r="A6700" t="s">
        <v>26</v>
      </c>
      <c r="B6700" t="s">
        <v>20</v>
      </c>
      <c r="C6700" t="s">
        <v>12</v>
      </c>
      <c r="D6700" t="s">
        <v>16</v>
      </c>
      <c r="E6700">
        <v>0</v>
      </c>
      <c r="F6700">
        <v>0.75</v>
      </c>
      <c r="G6700">
        <v>0.43192696571350098</v>
      </c>
      <c r="H6700">
        <v>0</v>
      </c>
      <c r="I6700">
        <v>0</v>
      </c>
      <c r="J6700">
        <v>30</v>
      </c>
    </row>
    <row r="6701" spans="1:10" x14ac:dyDescent="0.25">
      <c r="A6701" t="s">
        <v>26</v>
      </c>
      <c r="B6701" t="s">
        <v>20</v>
      </c>
      <c r="C6701" t="s">
        <v>12</v>
      </c>
      <c r="D6701" t="s">
        <v>16</v>
      </c>
      <c r="E6701">
        <v>0</v>
      </c>
      <c r="F6701">
        <v>0.75</v>
      </c>
      <c r="G6701">
        <v>0.42652082443237299</v>
      </c>
      <c r="H6701">
        <v>0</v>
      </c>
      <c r="I6701">
        <v>0</v>
      </c>
      <c r="J6701">
        <v>30</v>
      </c>
    </row>
    <row r="6702" spans="1:10" x14ac:dyDescent="0.25">
      <c r="A6702" t="s">
        <v>26</v>
      </c>
      <c r="B6702" t="s">
        <v>20</v>
      </c>
      <c r="C6702" t="s">
        <v>12</v>
      </c>
      <c r="D6702" t="s">
        <v>16</v>
      </c>
      <c r="E6702">
        <v>0</v>
      </c>
      <c r="F6702">
        <v>0.75</v>
      </c>
      <c r="G6702">
        <v>0.48618841171264598</v>
      </c>
      <c r="H6702">
        <v>0</v>
      </c>
      <c r="I6702">
        <v>0</v>
      </c>
      <c r="J6702">
        <v>30</v>
      </c>
    </row>
    <row r="6703" spans="1:10" x14ac:dyDescent="0.25">
      <c r="A6703" t="s">
        <v>26</v>
      </c>
      <c r="B6703" t="s">
        <v>20</v>
      </c>
      <c r="C6703" t="s">
        <v>12</v>
      </c>
      <c r="D6703" t="s">
        <v>16</v>
      </c>
      <c r="E6703">
        <v>0</v>
      </c>
      <c r="F6703">
        <v>0.75</v>
      </c>
      <c r="G6703">
        <v>0.483202934265136</v>
      </c>
      <c r="H6703">
        <v>0</v>
      </c>
      <c r="I6703">
        <v>0</v>
      </c>
      <c r="J6703">
        <v>30</v>
      </c>
    </row>
    <row r="6704" spans="1:10" x14ac:dyDescent="0.25">
      <c r="A6704" t="s">
        <v>26</v>
      </c>
      <c r="B6704" t="s">
        <v>20</v>
      </c>
      <c r="C6704" t="s">
        <v>12</v>
      </c>
      <c r="D6704" t="s">
        <v>16</v>
      </c>
      <c r="E6704">
        <v>0</v>
      </c>
      <c r="F6704">
        <v>0.75</v>
      </c>
      <c r="G6704">
        <v>0.48696804046630798</v>
      </c>
      <c r="H6704">
        <v>0</v>
      </c>
      <c r="I6704">
        <v>0</v>
      </c>
      <c r="J6704">
        <v>30</v>
      </c>
    </row>
    <row r="6705" spans="1:10" x14ac:dyDescent="0.25">
      <c r="A6705" t="s">
        <v>26</v>
      </c>
      <c r="B6705" t="s">
        <v>20</v>
      </c>
      <c r="C6705" t="s">
        <v>12</v>
      </c>
      <c r="D6705" t="s">
        <v>16</v>
      </c>
      <c r="E6705">
        <v>0</v>
      </c>
      <c r="F6705">
        <v>0.75</v>
      </c>
      <c r="G6705">
        <v>0.47039484977722101</v>
      </c>
      <c r="H6705">
        <v>0</v>
      </c>
      <c r="I6705">
        <v>0</v>
      </c>
      <c r="J6705">
        <v>30</v>
      </c>
    </row>
    <row r="6706" spans="1:10" x14ac:dyDescent="0.25">
      <c r="A6706" t="s">
        <v>26</v>
      </c>
      <c r="B6706" t="s">
        <v>20</v>
      </c>
      <c r="C6706" t="s">
        <v>12</v>
      </c>
      <c r="D6706" t="s">
        <v>16</v>
      </c>
      <c r="E6706">
        <v>0</v>
      </c>
      <c r="F6706">
        <v>0.75</v>
      </c>
      <c r="G6706">
        <v>0.498997211456298</v>
      </c>
      <c r="H6706">
        <v>0</v>
      </c>
      <c r="I6706">
        <v>0</v>
      </c>
      <c r="J6706">
        <v>30</v>
      </c>
    </row>
    <row r="6707" spans="1:10" x14ac:dyDescent="0.25">
      <c r="A6707" t="s">
        <v>26</v>
      </c>
      <c r="B6707" t="s">
        <v>20</v>
      </c>
      <c r="C6707" t="s">
        <v>12</v>
      </c>
      <c r="D6707" t="s">
        <v>16</v>
      </c>
      <c r="E6707">
        <v>0</v>
      </c>
      <c r="F6707">
        <v>0.75</v>
      </c>
      <c r="G6707">
        <v>0.45480108261108398</v>
      </c>
      <c r="H6707">
        <v>0</v>
      </c>
      <c r="I6707">
        <v>0</v>
      </c>
      <c r="J6707">
        <v>30</v>
      </c>
    </row>
    <row r="6708" spans="1:10" x14ac:dyDescent="0.25">
      <c r="A6708" t="s">
        <v>26</v>
      </c>
      <c r="B6708" t="s">
        <v>20</v>
      </c>
      <c r="C6708" t="s">
        <v>12</v>
      </c>
      <c r="D6708" t="s">
        <v>16</v>
      </c>
      <c r="E6708">
        <v>0</v>
      </c>
      <c r="F6708">
        <v>0.75</v>
      </c>
      <c r="G6708">
        <v>0.50447845458984297</v>
      </c>
      <c r="H6708">
        <v>0</v>
      </c>
      <c r="I6708">
        <v>0</v>
      </c>
      <c r="J6708">
        <v>30</v>
      </c>
    </row>
    <row r="6709" spans="1:10" x14ac:dyDescent="0.25">
      <c r="A6709" t="s">
        <v>26</v>
      </c>
      <c r="B6709" t="s">
        <v>20</v>
      </c>
      <c r="C6709" t="s">
        <v>12</v>
      </c>
      <c r="D6709" t="s">
        <v>16</v>
      </c>
      <c r="E6709">
        <v>0</v>
      </c>
      <c r="F6709">
        <v>0.75</v>
      </c>
      <c r="G6709">
        <v>0.433718681335449</v>
      </c>
      <c r="H6709">
        <v>0</v>
      </c>
      <c r="I6709">
        <v>0</v>
      </c>
      <c r="J6709">
        <v>30</v>
      </c>
    </row>
    <row r="6710" spans="1:10" x14ac:dyDescent="0.25">
      <c r="A6710" t="s">
        <v>26</v>
      </c>
      <c r="B6710" t="s">
        <v>20</v>
      </c>
      <c r="C6710" t="s">
        <v>12</v>
      </c>
      <c r="D6710" t="s">
        <v>16</v>
      </c>
      <c r="E6710">
        <v>0</v>
      </c>
      <c r="F6710">
        <v>0.75</v>
      </c>
      <c r="G6710">
        <v>0.48544073104858398</v>
      </c>
      <c r="H6710">
        <v>0</v>
      </c>
      <c r="I6710">
        <v>0</v>
      </c>
      <c r="J6710">
        <v>30</v>
      </c>
    </row>
    <row r="6711" spans="1:10" x14ac:dyDescent="0.25">
      <c r="A6711" t="s">
        <v>26</v>
      </c>
      <c r="B6711" t="s">
        <v>20</v>
      </c>
      <c r="C6711" t="s">
        <v>12</v>
      </c>
      <c r="D6711" t="s">
        <v>16</v>
      </c>
      <c r="E6711">
        <v>0</v>
      </c>
      <c r="F6711">
        <v>0.75</v>
      </c>
      <c r="G6711">
        <v>0.48743820190429599</v>
      </c>
      <c r="H6711">
        <v>0</v>
      </c>
      <c r="I6711">
        <v>0</v>
      </c>
      <c r="J6711">
        <v>30</v>
      </c>
    </row>
    <row r="6712" spans="1:10" x14ac:dyDescent="0.25">
      <c r="A6712" t="s">
        <v>26</v>
      </c>
      <c r="B6712" t="s">
        <v>20</v>
      </c>
      <c r="C6712" t="s">
        <v>12</v>
      </c>
      <c r="D6712" t="s">
        <v>16</v>
      </c>
      <c r="E6712">
        <v>0</v>
      </c>
      <c r="F6712">
        <v>0.75</v>
      </c>
      <c r="G6712">
        <v>0.391041040420532</v>
      </c>
      <c r="H6712">
        <v>0</v>
      </c>
      <c r="I6712">
        <v>0</v>
      </c>
      <c r="J6712">
        <v>30</v>
      </c>
    </row>
    <row r="6713" spans="1:10" x14ac:dyDescent="0.25">
      <c r="A6713" t="s">
        <v>26</v>
      </c>
      <c r="B6713" t="s">
        <v>20</v>
      </c>
      <c r="C6713" t="s">
        <v>12</v>
      </c>
      <c r="D6713" t="s">
        <v>16</v>
      </c>
      <c r="E6713">
        <v>0</v>
      </c>
      <c r="F6713">
        <v>0.75</v>
      </c>
      <c r="G6713">
        <v>0.42713117599487299</v>
      </c>
      <c r="H6713">
        <v>0</v>
      </c>
      <c r="I6713">
        <v>0</v>
      </c>
      <c r="J6713">
        <v>30</v>
      </c>
    </row>
    <row r="6714" spans="1:10" x14ac:dyDescent="0.25">
      <c r="A6714" t="s">
        <v>26</v>
      </c>
      <c r="B6714" t="s">
        <v>20</v>
      </c>
      <c r="C6714" t="s">
        <v>12</v>
      </c>
      <c r="D6714" t="s">
        <v>16</v>
      </c>
      <c r="E6714">
        <v>0</v>
      </c>
      <c r="F6714">
        <v>0.75</v>
      </c>
      <c r="G6714">
        <v>0.426125288009643</v>
      </c>
      <c r="H6714">
        <v>0</v>
      </c>
      <c r="I6714">
        <v>0</v>
      </c>
      <c r="J6714">
        <v>30</v>
      </c>
    </row>
    <row r="6715" spans="1:10" x14ac:dyDescent="0.25">
      <c r="A6715" t="s">
        <v>26</v>
      </c>
      <c r="B6715" t="s">
        <v>20</v>
      </c>
      <c r="C6715" t="s">
        <v>12</v>
      </c>
      <c r="D6715" t="s">
        <v>16</v>
      </c>
      <c r="E6715">
        <v>0</v>
      </c>
      <c r="F6715">
        <v>0.75</v>
      </c>
      <c r="G6715">
        <v>0.39355134963989202</v>
      </c>
      <c r="H6715">
        <v>0</v>
      </c>
      <c r="I6715">
        <v>0</v>
      </c>
      <c r="J6715">
        <v>30</v>
      </c>
    </row>
    <row r="6716" spans="1:10" x14ac:dyDescent="0.25">
      <c r="A6716" t="s">
        <v>26</v>
      </c>
      <c r="B6716" t="s">
        <v>20</v>
      </c>
      <c r="C6716" t="s">
        <v>12</v>
      </c>
      <c r="D6716" t="s">
        <v>16</v>
      </c>
      <c r="E6716">
        <v>0</v>
      </c>
      <c r="F6716">
        <v>0.75</v>
      </c>
      <c r="G6716">
        <v>0.38853359222412098</v>
      </c>
      <c r="H6716">
        <v>0</v>
      </c>
      <c r="I6716">
        <v>0</v>
      </c>
      <c r="J6716">
        <v>30</v>
      </c>
    </row>
    <row r="6717" spans="1:10" x14ac:dyDescent="0.25">
      <c r="A6717" t="s">
        <v>26</v>
      </c>
      <c r="B6717" t="s">
        <v>20</v>
      </c>
      <c r="C6717" t="s">
        <v>12</v>
      </c>
      <c r="D6717" t="s">
        <v>16</v>
      </c>
      <c r="E6717">
        <v>0.342978395061728</v>
      </c>
      <c r="F6717">
        <v>0.83574401018021205</v>
      </c>
      <c r="G6717">
        <v>0.61756539344787598</v>
      </c>
      <c r="H6717">
        <v>1</v>
      </c>
      <c r="I6717">
        <v>1</v>
      </c>
      <c r="J6717">
        <v>30</v>
      </c>
    </row>
    <row r="6718" spans="1:10" x14ac:dyDescent="0.25">
      <c r="A6718" t="s">
        <v>26</v>
      </c>
      <c r="B6718" t="s">
        <v>20</v>
      </c>
      <c r="C6718" t="s">
        <v>12</v>
      </c>
      <c r="D6718" t="s">
        <v>16</v>
      </c>
      <c r="E6718">
        <v>0</v>
      </c>
      <c r="F6718">
        <v>0.75</v>
      </c>
      <c r="G6718">
        <v>0.34578871726989702</v>
      </c>
      <c r="H6718">
        <v>0</v>
      </c>
      <c r="I6718">
        <v>0</v>
      </c>
      <c r="J6718">
        <v>30</v>
      </c>
    </row>
    <row r="6719" spans="1:10" x14ac:dyDescent="0.25">
      <c r="A6719" t="s">
        <v>26</v>
      </c>
      <c r="B6719" t="s">
        <v>20</v>
      </c>
      <c r="C6719" t="s">
        <v>12</v>
      </c>
      <c r="D6719" t="s">
        <v>16</v>
      </c>
      <c r="E6719">
        <v>0</v>
      </c>
      <c r="F6719">
        <v>0.75</v>
      </c>
      <c r="G6719">
        <v>0.34679841995239202</v>
      </c>
      <c r="H6719">
        <v>0</v>
      </c>
      <c r="I6719">
        <v>0</v>
      </c>
      <c r="J6719">
        <v>30</v>
      </c>
    </row>
    <row r="6720" spans="1:10" x14ac:dyDescent="0.25">
      <c r="A6720" t="s">
        <v>26</v>
      </c>
      <c r="B6720" t="s">
        <v>20</v>
      </c>
      <c r="C6720" t="s">
        <v>12</v>
      </c>
      <c r="D6720" t="s">
        <v>16</v>
      </c>
      <c r="E6720">
        <v>0.33063271604938199</v>
      </c>
      <c r="F6720">
        <v>0.83265762024305801</v>
      </c>
      <c r="G6720">
        <v>0.53609585762023904</v>
      </c>
      <c r="H6720">
        <v>1</v>
      </c>
      <c r="I6720">
        <v>1</v>
      </c>
      <c r="J6720">
        <v>30</v>
      </c>
    </row>
    <row r="6721" spans="1:10" x14ac:dyDescent="0.25">
      <c r="A6721" t="s">
        <v>26</v>
      </c>
      <c r="B6721" t="s">
        <v>20</v>
      </c>
      <c r="C6721" t="s">
        <v>12</v>
      </c>
      <c r="D6721" t="s">
        <v>16</v>
      </c>
      <c r="E6721">
        <v>0.33757716049382702</v>
      </c>
      <c r="F6721">
        <v>0.83439371961805797</v>
      </c>
      <c r="G6721">
        <v>0.47269868850708002</v>
      </c>
      <c r="H6721">
        <v>1</v>
      </c>
      <c r="I6721">
        <v>1</v>
      </c>
      <c r="J6721">
        <v>30</v>
      </c>
    </row>
    <row r="6722" spans="1:10" x14ac:dyDescent="0.25">
      <c r="A6722" t="s">
        <v>26</v>
      </c>
      <c r="B6722" t="s">
        <v>20</v>
      </c>
      <c r="C6722" t="s">
        <v>12</v>
      </c>
      <c r="D6722" t="s">
        <v>17</v>
      </c>
      <c r="E6722">
        <v>0.21720679012345601</v>
      </c>
      <c r="F6722">
        <v>0.75618533278807798</v>
      </c>
      <c r="G6722">
        <v>135.423484563827</v>
      </c>
      <c r="H6722">
        <v>456</v>
      </c>
      <c r="I6722">
        <v>47</v>
      </c>
      <c r="J6722">
        <v>30</v>
      </c>
    </row>
    <row r="6723" spans="1:10" x14ac:dyDescent="0.25">
      <c r="A6723" t="s">
        <v>26</v>
      </c>
      <c r="B6723" t="s">
        <v>20</v>
      </c>
      <c r="C6723" t="s">
        <v>12</v>
      </c>
      <c r="D6723" t="s">
        <v>17</v>
      </c>
      <c r="E6723">
        <v>0.22222222222222199</v>
      </c>
      <c r="F6723">
        <v>0.75403644295254502</v>
      </c>
      <c r="G6723">
        <v>150.87327075004501</v>
      </c>
      <c r="H6723">
        <v>602</v>
      </c>
      <c r="I6723">
        <v>45</v>
      </c>
      <c r="J6723">
        <v>30</v>
      </c>
    </row>
    <row r="6724" spans="1:10" x14ac:dyDescent="0.25">
      <c r="A6724" t="s">
        <v>26</v>
      </c>
      <c r="B6724" t="s">
        <v>20</v>
      </c>
      <c r="C6724" t="s">
        <v>12</v>
      </c>
      <c r="D6724" t="s">
        <v>17</v>
      </c>
      <c r="E6724">
        <v>0.219521604938271</v>
      </c>
      <c r="F6724">
        <v>0.755778831276116</v>
      </c>
      <c r="G6724">
        <v>166.57900452613799</v>
      </c>
      <c r="H6724">
        <v>628</v>
      </c>
      <c r="I6724">
        <v>46</v>
      </c>
      <c r="J6724">
        <v>30</v>
      </c>
    </row>
    <row r="6725" spans="1:10" x14ac:dyDescent="0.25">
      <c r="A6725" t="s">
        <v>26</v>
      </c>
      <c r="B6725" t="s">
        <v>20</v>
      </c>
      <c r="C6725" t="s">
        <v>12</v>
      </c>
      <c r="D6725" t="s">
        <v>17</v>
      </c>
      <c r="E6725">
        <v>0.14699074074074001</v>
      </c>
      <c r="F6725">
        <v>0.75294015330026898</v>
      </c>
      <c r="G6725">
        <v>183.00528383254999</v>
      </c>
      <c r="H6725">
        <v>630</v>
      </c>
      <c r="I6725">
        <v>46</v>
      </c>
      <c r="J6725">
        <v>30</v>
      </c>
    </row>
    <row r="6726" spans="1:10" x14ac:dyDescent="0.25">
      <c r="A6726" t="s">
        <v>26</v>
      </c>
      <c r="B6726" t="s">
        <v>20</v>
      </c>
      <c r="C6726" t="s">
        <v>12</v>
      </c>
      <c r="D6726" t="s">
        <v>17</v>
      </c>
      <c r="E6726">
        <v>0.23765432098765399</v>
      </c>
      <c r="F6726">
        <v>0.76332040891554598</v>
      </c>
      <c r="G6726">
        <v>182.959895133972</v>
      </c>
      <c r="H6726">
        <v>697</v>
      </c>
      <c r="I6726">
        <v>49</v>
      </c>
      <c r="J6726">
        <v>30</v>
      </c>
    </row>
    <row r="6727" spans="1:10" x14ac:dyDescent="0.25">
      <c r="A6727" t="s">
        <v>26</v>
      </c>
      <c r="B6727" t="s">
        <v>20</v>
      </c>
      <c r="C6727" t="s">
        <v>12</v>
      </c>
      <c r="D6727" t="s">
        <v>17</v>
      </c>
      <c r="E6727">
        <v>0.22067901234567899</v>
      </c>
      <c r="F6727">
        <v>0.75327784344926496</v>
      </c>
      <c r="G6727">
        <v>189.247354507446</v>
      </c>
      <c r="H6727">
        <v>672</v>
      </c>
      <c r="I6727">
        <v>47</v>
      </c>
      <c r="J6727">
        <v>30</v>
      </c>
    </row>
    <row r="6728" spans="1:10" x14ac:dyDescent="0.25">
      <c r="A6728" t="s">
        <v>26</v>
      </c>
      <c r="B6728" t="s">
        <v>20</v>
      </c>
      <c r="C6728" t="s">
        <v>12</v>
      </c>
      <c r="D6728" t="s">
        <v>17</v>
      </c>
      <c r="E6728">
        <v>0.226851851851851</v>
      </c>
      <c r="F6728">
        <v>0.74688380859181902</v>
      </c>
      <c r="G6728">
        <v>191.84110927581699</v>
      </c>
      <c r="H6728">
        <v>678</v>
      </c>
      <c r="I6728">
        <v>50</v>
      </c>
      <c r="J6728">
        <v>30</v>
      </c>
    </row>
    <row r="6729" spans="1:10" x14ac:dyDescent="0.25">
      <c r="A6729" t="s">
        <v>26</v>
      </c>
      <c r="B6729" t="s">
        <v>20</v>
      </c>
      <c r="C6729" t="s">
        <v>12</v>
      </c>
      <c r="D6729" t="s">
        <v>17</v>
      </c>
      <c r="E6729">
        <v>0.21296296296296199</v>
      </c>
      <c r="F6729">
        <v>0.75283945279509801</v>
      </c>
      <c r="G6729">
        <v>198.85733103752099</v>
      </c>
      <c r="H6729">
        <v>729</v>
      </c>
      <c r="I6729">
        <v>49</v>
      </c>
      <c r="J6729">
        <v>30</v>
      </c>
    </row>
    <row r="6730" spans="1:10" x14ac:dyDescent="0.25">
      <c r="A6730" t="s">
        <v>26</v>
      </c>
      <c r="B6730" t="s">
        <v>20</v>
      </c>
      <c r="C6730" t="s">
        <v>12</v>
      </c>
      <c r="D6730" t="s">
        <v>17</v>
      </c>
      <c r="E6730">
        <v>0.23225308641975301</v>
      </c>
      <c r="F6730">
        <v>0.75323273730945095</v>
      </c>
      <c r="G6730">
        <v>200.51450848579401</v>
      </c>
      <c r="H6730">
        <v>718</v>
      </c>
      <c r="I6730">
        <v>48</v>
      </c>
      <c r="J6730">
        <v>30</v>
      </c>
    </row>
    <row r="6731" spans="1:10" x14ac:dyDescent="0.25">
      <c r="A6731" t="s">
        <v>26</v>
      </c>
      <c r="B6731" t="s">
        <v>20</v>
      </c>
      <c r="C6731" t="s">
        <v>12</v>
      </c>
      <c r="D6731" t="s">
        <v>17</v>
      </c>
      <c r="E6731">
        <v>0.21682098765432001</v>
      </c>
      <c r="F6731">
        <v>0.75106431596427303</v>
      </c>
      <c r="G6731">
        <v>220.52842283248901</v>
      </c>
      <c r="H6731">
        <v>767</v>
      </c>
      <c r="I6731">
        <v>51</v>
      </c>
      <c r="J6731">
        <v>30</v>
      </c>
    </row>
    <row r="6732" spans="1:10" x14ac:dyDescent="0.25">
      <c r="A6732" t="s">
        <v>26</v>
      </c>
      <c r="B6732" t="s">
        <v>20</v>
      </c>
      <c r="C6732" t="s">
        <v>12</v>
      </c>
      <c r="D6732" t="s">
        <v>17</v>
      </c>
      <c r="E6732">
        <v>0.22260802469135799</v>
      </c>
      <c r="F6732">
        <v>0.74854675347769795</v>
      </c>
      <c r="G6732">
        <v>237.75077629089299</v>
      </c>
      <c r="H6732">
        <v>919</v>
      </c>
      <c r="I6732">
        <v>49</v>
      </c>
      <c r="J6732">
        <v>30</v>
      </c>
    </row>
    <row r="6733" spans="1:10" x14ac:dyDescent="0.25">
      <c r="A6733" t="s">
        <v>26</v>
      </c>
      <c r="B6733" t="s">
        <v>20</v>
      </c>
      <c r="C6733" t="s">
        <v>12</v>
      </c>
      <c r="D6733" t="s">
        <v>17</v>
      </c>
      <c r="E6733">
        <v>0.21643518518518501</v>
      </c>
      <c r="F6733">
        <v>0.73894804779814705</v>
      </c>
      <c r="G6733">
        <v>244.02854442596399</v>
      </c>
      <c r="H6733">
        <v>928</v>
      </c>
      <c r="I6733">
        <v>49</v>
      </c>
      <c r="J6733">
        <v>30</v>
      </c>
    </row>
    <row r="6734" spans="1:10" x14ac:dyDescent="0.25">
      <c r="A6734" t="s">
        <v>26</v>
      </c>
      <c r="B6734" t="s">
        <v>20</v>
      </c>
      <c r="C6734" t="s">
        <v>12</v>
      </c>
      <c r="D6734" t="s">
        <v>17</v>
      </c>
      <c r="E6734">
        <v>0.22839506172839499</v>
      </c>
      <c r="F6734">
        <v>0.74536594814008295</v>
      </c>
      <c r="G6734">
        <v>246.68112969398399</v>
      </c>
      <c r="H6734">
        <v>941</v>
      </c>
      <c r="I6734">
        <v>49</v>
      </c>
      <c r="J6734">
        <v>30</v>
      </c>
    </row>
    <row r="6735" spans="1:10" x14ac:dyDescent="0.25">
      <c r="A6735" t="s">
        <v>26</v>
      </c>
      <c r="B6735" t="s">
        <v>20</v>
      </c>
      <c r="C6735" t="s">
        <v>12</v>
      </c>
      <c r="D6735" t="s">
        <v>17</v>
      </c>
      <c r="E6735">
        <v>0.23263888888888801</v>
      </c>
      <c r="F6735">
        <v>0.74932201514139396</v>
      </c>
      <c r="G6735">
        <v>248.895241498947</v>
      </c>
      <c r="H6735">
        <v>960</v>
      </c>
      <c r="I6735">
        <v>52</v>
      </c>
      <c r="J6735">
        <v>30</v>
      </c>
    </row>
    <row r="6736" spans="1:10" x14ac:dyDescent="0.25">
      <c r="A6736" t="s">
        <v>26</v>
      </c>
      <c r="B6736" t="s">
        <v>20</v>
      </c>
      <c r="C6736" t="s">
        <v>12</v>
      </c>
      <c r="D6736" t="s">
        <v>17</v>
      </c>
      <c r="E6736">
        <v>0.26427469135802401</v>
      </c>
      <c r="F6736">
        <v>0.74309208627113998</v>
      </c>
      <c r="G6736">
        <v>250.505932092666</v>
      </c>
      <c r="H6736">
        <v>1043</v>
      </c>
      <c r="I6736">
        <v>50</v>
      </c>
      <c r="J6736">
        <v>30</v>
      </c>
    </row>
    <row r="6737" spans="1:10" x14ac:dyDescent="0.25">
      <c r="A6737" t="s">
        <v>26</v>
      </c>
      <c r="B6737" t="s">
        <v>20</v>
      </c>
      <c r="C6737" t="s">
        <v>12</v>
      </c>
      <c r="D6737" t="s">
        <v>17</v>
      </c>
      <c r="E6737">
        <v>0.25462962962962898</v>
      </c>
      <c r="F6737">
        <v>0.74546869335837096</v>
      </c>
      <c r="G6737">
        <v>251.00662350654599</v>
      </c>
      <c r="H6737">
        <v>973</v>
      </c>
      <c r="I6737">
        <v>48</v>
      </c>
      <c r="J6737">
        <v>30</v>
      </c>
    </row>
    <row r="6738" spans="1:10" x14ac:dyDescent="0.25">
      <c r="A6738" t="s">
        <v>26</v>
      </c>
      <c r="B6738" t="s">
        <v>20</v>
      </c>
      <c r="C6738" t="s">
        <v>12</v>
      </c>
      <c r="D6738" t="s">
        <v>17</v>
      </c>
      <c r="E6738">
        <v>0.24498456790123399</v>
      </c>
      <c r="F6738">
        <v>0.73942522575937397</v>
      </c>
      <c r="G6738">
        <v>258.38666391372601</v>
      </c>
      <c r="H6738">
        <v>1116</v>
      </c>
      <c r="I6738">
        <v>49</v>
      </c>
      <c r="J6738">
        <v>30</v>
      </c>
    </row>
    <row r="6739" spans="1:10" x14ac:dyDescent="0.25">
      <c r="A6739" t="s">
        <v>26</v>
      </c>
      <c r="B6739" t="s">
        <v>20</v>
      </c>
      <c r="C6739" t="s">
        <v>12</v>
      </c>
      <c r="D6739" t="s">
        <v>17</v>
      </c>
      <c r="E6739">
        <v>0.217978395061728</v>
      </c>
      <c r="F6739">
        <v>0.74356599949089397</v>
      </c>
      <c r="G6739">
        <v>261.63921570777802</v>
      </c>
      <c r="H6739">
        <v>1084</v>
      </c>
      <c r="I6739">
        <v>51</v>
      </c>
      <c r="J6739">
        <v>30</v>
      </c>
    </row>
    <row r="6740" spans="1:10" x14ac:dyDescent="0.25">
      <c r="A6740" t="s">
        <v>26</v>
      </c>
      <c r="B6740" t="s">
        <v>20</v>
      </c>
      <c r="C6740" t="s">
        <v>12</v>
      </c>
      <c r="D6740" t="s">
        <v>17</v>
      </c>
      <c r="E6740">
        <v>0.23109567901234501</v>
      </c>
      <c r="F6740">
        <v>0.73663586278325499</v>
      </c>
      <c r="G6740">
        <v>262.82476329803399</v>
      </c>
      <c r="H6740">
        <v>1076</v>
      </c>
      <c r="I6740">
        <v>49</v>
      </c>
      <c r="J6740">
        <v>30</v>
      </c>
    </row>
    <row r="6741" spans="1:10" x14ac:dyDescent="0.25">
      <c r="A6741" t="s">
        <v>26</v>
      </c>
      <c r="B6741" t="s">
        <v>20</v>
      </c>
      <c r="C6741" t="s">
        <v>12</v>
      </c>
      <c r="D6741" t="s">
        <v>17</v>
      </c>
      <c r="E6741">
        <v>0.29166666666666602</v>
      </c>
      <c r="F6741">
        <v>0.74888596522982098</v>
      </c>
      <c r="G6741">
        <v>271.60039877891501</v>
      </c>
      <c r="H6741">
        <v>1267</v>
      </c>
      <c r="I6741">
        <v>52</v>
      </c>
      <c r="J6741">
        <v>30</v>
      </c>
    </row>
    <row r="6742" spans="1:10" x14ac:dyDescent="0.25">
      <c r="A6742" t="s">
        <v>26</v>
      </c>
      <c r="B6742" t="s">
        <v>20</v>
      </c>
      <c r="C6742" t="s">
        <v>12</v>
      </c>
      <c r="D6742" t="s">
        <v>17</v>
      </c>
      <c r="E6742">
        <v>0.24382716049382699</v>
      </c>
      <c r="F6742">
        <v>0.74283856805613302</v>
      </c>
      <c r="G6742">
        <v>272.61723017692498</v>
      </c>
      <c r="H6742">
        <v>1164</v>
      </c>
      <c r="I6742">
        <v>49</v>
      </c>
      <c r="J6742">
        <v>30</v>
      </c>
    </row>
    <row r="6743" spans="1:10" x14ac:dyDescent="0.25">
      <c r="A6743" t="s">
        <v>26</v>
      </c>
      <c r="B6743" t="s">
        <v>20</v>
      </c>
      <c r="C6743" t="s">
        <v>12</v>
      </c>
      <c r="D6743" t="s">
        <v>17</v>
      </c>
      <c r="E6743">
        <v>0.23958333333333301</v>
      </c>
      <c r="F6743">
        <v>0.74230192476052903</v>
      </c>
      <c r="G6743">
        <v>273.73621273040698</v>
      </c>
      <c r="H6743">
        <v>1165</v>
      </c>
      <c r="I6743">
        <v>49</v>
      </c>
      <c r="J6743">
        <v>30</v>
      </c>
    </row>
    <row r="6744" spans="1:10" x14ac:dyDescent="0.25">
      <c r="A6744" t="s">
        <v>26</v>
      </c>
      <c r="B6744" t="s">
        <v>20</v>
      </c>
      <c r="C6744" t="s">
        <v>12</v>
      </c>
      <c r="D6744" t="s">
        <v>17</v>
      </c>
      <c r="E6744">
        <v>0.30285493827160398</v>
      </c>
      <c r="F6744">
        <v>0.75001066970131003</v>
      </c>
      <c r="G6744">
        <v>274.39776444435103</v>
      </c>
      <c r="H6744">
        <v>1301</v>
      </c>
      <c r="I6744">
        <v>51</v>
      </c>
      <c r="J6744">
        <v>30</v>
      </c>
    </row>
    <row r="6745" spans="1:10" x14ac:dyDescent="0.25">
      <c r="A6745" t="s">
        <v>26</v>
      </c>
      <c r="B6745" t="s">
        <v>20</v>
      </c>
      <c r="C6745" t="s">
        <v>12</v>
      </c>
      <c r="D6745" t="s">
        <v>17</v>
      </c>
      <c r="E6745">
        <v>0.26427469135802401</v>
      </c>
      <c r="F6745">
        <v>0.74057314836404398</v>
      </c>
      <c r="G6745">
        <v>276.522355318069</v>
      </c>
      <c r="H6745">
        <v>1243</v>
      </c>
      <c r="I6745">
        <v>49</v>
      </c>
      <c r="J6745">
        <v>30</v>
      </c>
    </row>
    <row r="6746" spans="1:10" x14ac:dyDescent="0.25">
      <c r="A6746" t="s">
        <v>26</v>
      </c>
      <c r="B6746" t="s">
        <v>20</v>
      </c>
      <c r="C6746" t="s">
        <v>12</v>
      </c>
      <c r="D6746" t="s">
        <v>17</v>
      </c>
      <c r="E6746">
        <v>0.296682098765432</v>
      </c>
      <c r="F6746">
        <v>0.746356485616124</v>
      </c>
      <c r="G6746">
        <v>276.977483034133</v>
      </c>
      <c r="H6746">
        <v>1329</v>
      </c>
      <c r="I6746">
        <v>50</v>
      </c>
      <c r="J6746">
        <v>30</v>
      </c>
    </row>
    <row r="6747" spans="1:10" x14ac:dyDescent="0.25">
      <c r="A6747" t="s">
        <v>26</v>
      </c>
      <c r="B6747" t="s">
        <v>20</v>
      </c>
      <c r="C6747" t="s">
        <v>12</v>
      </c>
      <c r="D6747" t="s">
        <v>17</v>
      </c>
      <c r="E6747">
        <v>0.31828703703703698</v>
      </c>
      <c r="F6747">
        <v>0.75567388530177404</v>
      </c>
      <c r="G6747">
        <v>294.238987922668</v>
      </c>
      <c r="H6747">
        <v>1415</v>
      </c>
      <c r="I6747">
        <v>51</v>
      </c>
      <c r="J6747">
        <v>30</v>
      </c>
    </row>
    <row r="6748" spans="1:10" x14ac:dyDescent="0.25">
      <c r="A6748" t="s">
        <v>26</v>
      </c>
      <c r="B6748" t="s">
        <v>20</v>
      </c>
      <c r="C6748" t="s">
        <v>12</v>
      </c>
      <c r="D6748" t="s">
        <v>17</v>
      </c>
      <c r="E6748">
        <v>0.33564814814814797</v>
      </c>
      <c r="F6748">
        <v>0.74492919404914903</v>
      </c>
      <c r="G6748">
        <v>296.97896885871802</v>
      </c>
      <c r="H6748">
        <v>1482</v>
      </c>
      <c r="I6748">
        <v>51</v>
      </c>
      <c r="J6748">
        <v>30</v>
      </c>
    </row>
    <row r="6749" spans="1:10" x14ac:dyDescent="0.25">
      <c r="A6749" t="s">
        <v>26</v>
      </c>
      <c r="B6749" t="s">
        <v>20</v>
      </c>
      <c r="C6749" t="s">
        <v>12</v>
      </c>
      <c r="D6749" t="s">
        <v>17</v>
      </c>
      <c r="E6749">
        <v>0.27893518518518501</v>
      </c>
      <c r="F6749">
        <v>0.72809308372411197</v>
      </c>
      <c r="G6749">
        <v>314.07622504234303</v>
      </c>
      <c r="H6749">
        <v>1622</v>
      </c>
      <c r="I6749">
        <v>52</v>
      </c>
      <c r="J6749">
        <v>30</v>
      </c>
    </row>
    <row r="6750" spans="1:10" x14ac:dyDescent="0.25">
      <c r="A6750" t="s">
        <v>26</v>
      </c>
      <c r="B6750" t="s">
        <v>20</v>
      </c>
      <c r="C6750" t="s">
        <v>12</v>
      </c>
      <c r="D6750" t="s">
        <v>17</v>
      </c>
      <c r="E6750">
        <v>0.28896604938271597</v>
      </c>
      <c r="F6750">
        <v>0.73376361851716598</v>
      </c>
      <c r="G6750">
        <v>320.75027799606301</v>
      </c>
      <c r="H6750">
        <v>1712</v>
      </c>
      <c r="I6750">
        <v>49</v>
      </c>
      <c r="J6750">
        <v>30</v>
      </c>
    </row>
    <row r="6751" spans="1:10" x14ac:dyDescent="0.25">
      <c r="A6751" t="s">
        <v>26</v>
      </c>
      <c r="B6751" t="s">
        <v>20</v>
      </c>
      <c r="C6751" t="s">
        <v>12</v>
      </c>
      <c r="D6751" t="s">
        <v>17</v>
      </c>
      <c r="E6751">
        <v>0.28858024691357997</v>
      </c>
      <c r="F6751">
        <v>0.72353207582658097</v>
      </c>
      <c r="G6751">
        <v>332.69088792800898</v>
      </c>
      <c r="H6751">
        <v>1965</v>
      </c>
      <c r="I6751">
        <v>51</v>
      </c>
      <c r="J6751">
        <v>30</v>
      </c>
    </row>
    <row r="6752" spans="1:10" x14ac:dyDescent="0.25">
      <c r="A6752" t="s">
        <v>26</v>
      </c>
      <c r="B6752" t="s">
        <v>20</v>
      </c>
      <c r="C6752" t="s">
        <v>18</v>
      </c>
      <c r="D6752" t="s">
        <v>13</v>
      </c>
      <c r="E6752">
        <v>0.33256172839506098</v>
      </c>
      <c r="F6752">
        <v>0.83313987006944601</v>
      </c>
      <c r="G6752">
        <v>1.17225790023803</v>
      </c>
      <c r="H6752">
        <v>3</v>
      </c>
      <c r="I6752">
        <v>7</v>
      </c>
      <c r="J6752">
        <v>30</v>
      </c>
    </row>
    <row r="6753" spans="1:10" x14ac:dyDescent="0.25">
      <c r="A6753" t="s">
        <v>26</v>
      </c>
      <c r="B6753" t="s">
        <v>20</v>
      </c>
      <c r="C6753" t="s">
        <v>18</v>
      </c>
      <c r="D6753" t="s">
        <v>13</v>
      </c>
      <c r="E6753">
        <v>0.34143518518518501</v>
      </c>
      <c r="F6753">
        <v>0.83531994854298097</v>
      </c>
      <c r="G6753">
        <v>1.1066968441009499</v>
      </c>
      <c r="H6753">
        <v>2</v>
      </c>
      <c r="I6753">
        <v>6</v>
      </c>
      <c r="J6753">
        <v>30</v>
      </c>
    </row>
    <row r="6754" spans="1:10" x14ac:dyDescent="0.25">
      <c r="A6754" t="s">
        <v>26</v>
      </c>
      <c r="B6754" t="s">
        <v>20</v>
      </c>
      <c r="C6754" t="s">
        <v>18</v>
      </c>
      <c r="D6754" t="s">
        <v>13</v>
      </c>
      <c r="E6754">
        <v>0.33719135802469102</v>
      </c>
      <c r="F6754">
        <v>0.83427701502314999</v>
      </c>
      <c r="G6754">
        <v>1.19055676460266</v>
      </c>
      <c r="H6754">
        <v>2</v>
      </c>
      <c r="I6754">
        <v>6</v>
      </c>
      <c r="J6754">
        <v>30</v>
      </c>
    </row>
    <row r="6755" spans="1:10" x14ac:dyDescent="0.25">
      <c r="A6755" t="s">
        <v>26</v>
      </c>
      <c r="B6755" t="s">
        <v>20</v>
      </c>
      <c r="C6755" t="s">
        <v>18</v>
      </c>
      <c r="D6755" t="s">
        <v>13</v>
      </c>
      <c r="E6755">
        <v>0.32484567901234501</v>
      </c>
      <c r="F6755">
        <v>0.83119062454776005</v>
      </c>
      <c r="G6755">
        <v>1.2549407482147199</v>
      </c>
      <c r="H6755">
        <v>2</v>
      </c>
      <c r="I6755">
        <v>6</v>
      </c>
      <c r="J6755">
        <v>30</v>
      </c>
    </row>
    <row r="6756" spans="1:10" x14ac:dyDescent="0.25">
      <c r="A6756" t="s">
        <v>26</v>
      </c>
      <c r="B6756" t="s">
        <v>20</v>
      </c>
      <c r="C6756" t="s">
        <v>18</v>
      </c>
      <c r="D6756" t="s">
        <v>13</v>
      </c>
      <c r="E6756">
        <v>0.32214506172839502</v>
      </c>
      <c r="F6756">
        <v>0.83053572935049902</v>
      </c>
      <c r="G6756">
        <v>1.2914614677429199</v>
      </c>
      <c r="H6756">
        <v>2</v>
      </c>
      <c r="I6756">
        <v>7</v>
      </c>
      <c r="J6756">
        <v>30</v>
      </c>
    </row>
    <row r="6757" spans="1:10" x14ac:dyDescent="0.25">
      <c r="A6757" t="s">
        <v>26</v>
      </c>
      <c r="B6757" t="s">
        <v>20</v>
      </c>
      <c r="C6757" t="s">
        <v>18</v>
      </c>
      <c r="D6757" t="s">
        <v>13</v>
      </c>
      <c r="E6757">
        <v>0.33333333333333298</v>
      </c>
      <c r="F6757">
        <v>0.83333277000000205</v>
      </c>
      <c r="G6757">
        <v>1.24933505058288</v>
      </c>
      <c r="H6757">
        <v>2</v>
      </c>
      <c r="I6757">
        <v>7</v>
      </c>
      <c r="J6757">
        <v>30</v>
      </c>
    </row>
    <row r="6758" spans="1:10" x14ac:dyDescent="0.25">
      <c r="A6758" t="s">
        <v>26</v>
      </c>
      <c r="B6758" t="s">
        <v>20</v>
      </c>
      <c r="C6758" t="s">
        <v>18</v>
      </c>
      <c r="D6758" t="s">
        <v>13</v>
      </c>
      <c r="E6758">
        <v>0.33333333333333298</v>
      </c>
      <c r="F6758">
        <v>0.83333277000000205</v>
      </c>
      <c r="G6758">
        <v>1.2463347911834699</v>
      </c>
      <c r="H6758">
        <v>3</v>
      </c>
      <c r="I6758">
        <v>6</v>
      </c>
      <c r="J6758">
        <v>30</v>
      </c>
    </row>
    <row r="6759" spans="1:10" x14ac:dyDescent="0.25">
      <c r="A6759" t="s">
        <v>26</v>
      </c>
      <c r="B6759" t="s">
        <v>20</v>
      </c>
      <c r="C6759" t="s">
        <v>18</v>
      </c>
      <c r="D6759" t="s">
        <v>13</v>
      </c>
      <c r="E6759">
        <v>0.33950617283950602</v>
      </c>
      <c r="F6759">
        <v>0.83477759046682298</v>
      </c>
      <c r="G6759">
        <v>1.23359942436218</v>
      </c>
      <c r="H6759">
        <v>2</v>
      </c>
      <c r="I6759">
        <v>6</v>
      </c>
      <c r="J6759">
        <v>30</v>
      </c>
    </row>
    <row r="6760" spans="1:10" x14ac:dyDescent="0.25">
      <c r="A6760" t="s">
        <v>26</v>
      </c>
      <c r="B6760" t="s">
        <v>20</v>
      </c>
      <c r="C6760" t="s">
        <v>18</v>
      </c>
      <c r="D6760" t="s">
        <v>13</v>
      </c>
      <c r="E6760">
        <v>0.33294753086419698</v>
      </c>
      <c r="F6760">
        <v>0.83323632003472403</v>
      </c>
      <c r="G6760">
        <v>1.26236152648925</v>
      </c>
      <c r="H6760">
        <v>3</v>
      </c>
      <c r="I6760">
        <v>6</v>
      </c>
      <c r="J6760">
        <v>30</v>
      </c>
    </row>
    <row r="6761" spans="1:10" x14ac:dyDescent="0.25">
      <c r="A6761" t="s">
        <v>26</v>
      </c>
      <c r="B6761" t="s">
        <v>20</v>
      </c>
      <c r="C6761" t="s">
        <v>18</v>
      </c>
      <c r="D6761" t="s">
        <v>13</v>
      </c>
      <c r="E6761">
        <v>0.33641975308641903</v>
      </c>
      <c r="F6761">
        <v>0.83410436972222401</v>
      </c>
      <c r="G6761">
        <v>1.2391443252563401</v>
      </c>
      <c r="H6761">
        <v>2</v>
      </c>
      <c r="I6761">
        <v>7</v>
      </c>
      <c r="J6761">
        <v>30</v>
      </c>
    </row>
    <row r="6762" spans="1:10" x14ac:dyDescent="0.25">
      <c r="A6762" t="s">
        <v>26</v>
      </c>
      <c r="B6762" t="s">
        <v>20</v>
      </c>
      <c r="C6762" t="s">
        <v>18</v>
      </c>
      <c r="D6762" t="s">
        <v>13</v>
      </c>
      <c r="E6762">
        <v>0.32986111111111099</v>
      </c>
      <c r="F6762">
        <v>0.83242645849610497</v>
      </c>
      <c r="G6762">
        <v>1.2622385025024401</v>
      </c>
      <c r="H6762">
        <v>2</v>
      </c>
      <c r="I6762">
        <v>6</v>
      </c>
      <c r="J6762">
        <v>30</v>
      </c>
    </row>
    <row r="6763" spans="1:10" x14ac:dyDescent="0.25">
      <c r="A6763" t="s">
        <v>26</v>
      </c>
      <c r="B6763" t="s">
        <v>20</v>
      </c>
      <c r="C6763" t="s">
        <v>18</v>
      </c>
      <c r="D6763" t="s">
        <v>13</v>
      </c>
      <c r="E6763">
        <v>0.329475308641975</v>
      </c>
      <c r="F6763">
        <v>0.83236827888063003</v>
      </c>
      <c r="G6763">
        <v>1.31674027442932</v>
      </c>
      <c r="H6763">
        <v>3</v>
      </c>
      <c r="I6763">
        <v>7</v>
      </c>
      <c r="J6763">
        <v>30</v>
      </c>
    </row>
    <row r="6764" spans="1:10" x14ac:dyDescent="0.25">
      <c r="A6764" t="s">
        <v>26</v>
      </c>
      <c r="B6764" t="s">
        <v>20</v>
      </c>
      <c r="C6764" t="s">
        <v>18</v>
      </c>
      <c r="D6764" t="s">
        <v>13</v>
      </c>
      <c r="E6764">
        <v>0.34915123456790098</v>
      </c>
      <c r="F6764">
        <v>0.83728720946354396</v>
      </c>
      <c r="G6764">
        <v>1.1677551269531199</v>
      </c>
      <c r="H6764">
        <v>3</v>
      </c>
      <c r="I6764">
        <v>7</v>
      </c>
      <c r="J6764">
        <v>30</v>
      </c>
    </row>
    <row r="6765" spans="1:10" x14ac:dyDescent="0.25">
      <c r="A6765" t="s">
        <v>26</v>
      </c>
      <c r="B6765" t="s">
        <v>20</v>
      </c>
      <c r="C6765" t="s">
        <v>18</v>
      </c>
      <c r="D6765" t="s">
        <v>13</v>
      </c>
      <c r="E6765">
        <v>0.34182098765432101</v>
      </c>
      <c r="F6765">
        <v>0.83545466031458604</v>
      </c>
      <c r="G6765">
        <v>1.3165869712829501</v>
      </c>
      <c r="H6765">
        <v>2</v>
      </c>
      <c r="I6765">
        <v>7</v>
      </c>
      <c r="J6765">
        <v>30</v>
      </c>
    </row>
    <row r="6766" spans="1:10" x14ac:dyDescent="0.25">
      <c r="A6766" t="s">
        <v>26</v>
      </c>
      <c r="B6766" t="s">
        <v>20</v>
      </c>
      <c r="C6766" t="s">
        <v>18</v>
      </c>
      <c r="D6766" t="s">
        <v>13</v>
      </c>
      <c r="E6766">
        <v>0.329475308641975</v>
      </c>
      <c r="F6766">
        <v>0.83236827888063003</v>
      </c>
      <c r="G6766">
        <v>1.2336237430572501</v>
      </c>
      <c r="H6766">
        <v>3</v>
      </c>
      <c r="I6766">
        <v>7</v>
      </c>
      <c r="J6766">
        <v>30</v>
      </c>
    </row>
    <row r="6767" spans="1:10" x14ac:dyDescent="0.25">
      <c r="A6767" t="s">
        <v>26</v>
      </c>
      <c r="B6767" t="s">
        <v>20</v>
      </c>
      <c r="C6767" t="s">
        <v>18</v>
      </c>
      <c r="D6767" t="s">
        <v>13</v>
      </c>
      <c r="E6767">
        <v>0.33294753086419698</v>
      </c>
      <c r="F6767">
        <v>0.83315979640193105</v>
      </c>
      <c r="G6767">
        <v>1.21845531463623</v>
      </c>
      <c r="H6767">
        <v>3</v>
      </c>
      <c r="I6767">
        <v>6</v>
      </c>
      <c r="J6767">
        <v>30</v>
      </c>
    </row>
    <row r="6768" spans="1:10" x14ac:dyDescent="0.25">
      <c r="A6768" t="s">
        <v>26</v>
      </c>
      <c r="B6768" t="s">
        <v>20</v>
      </c>
      <c r="C6768" t="s">
        <v>18</v>
      </c>
      <c r="D6768" t="s">
        <v>13</v>
      </c>
      <c r="E6768">
        <v>0.33603395061728297</v>
      </c>
      <c r="F6768">
        <v>0.83400791975694699</v>
      </c>
      <c r="G6768">
        <v>1.2773234844207699</v>
      </c>
      <c r="H6768">
        <v>3</v>
      </c>
      <c r="I6768">
        <v>7</v>
      </c>
      <c r="J6768">
        <v>30</v>
      </c>
    </row>
    <row r="6769" spans="1:10" x14ac:dyDescent="0.25">
      <c r="A6769" t="s">
        <v>26</v>
      </c>
      <c r="B6769" t="s">
        <v>20</v>
      </c>
      <c r="C6769" t="s">
        <v>18</v>
      </c>
      <c r="D6769" t="s">
        <v>13</v>
      </c>
      <c r="E6769">
        <v>0.342978395061728</v>
      </c>
      <c r="F6769">
        <v>0.83574401018021105</v>
      </c>
      <c r="G6769">
        <v>1.2064468860626201</v>
      </c>
      <c r="H6769">
        <v>2</v>
      </c>
      <c r="I6769">
        <v>7</v>
      </c>
      <c r="J6769">
        <v>30</v>
      </c>
    </row>
    <row r="6770" spans="1:10" x14ac:dyDescent="0.25">
      <c r="A6770" t="s">
        <v>26</v>
      </c>
      <c r="B6770" t="s">
        <v>20</v>
      </c>
      <c r="C6770" t="s">
        <v>18</v>
      </c>
      <c r="D6770" t="s">
        <v>13</v>
      </c>
      <c r="E6770">
        <v>0.344135802469135</v>
      </c>
      <c r="F6770">
        <v>0.83603336004583595</v>
      </c>
      <c r="G6770">
        <v>1.20492959022521</v>
      </c>
      <c r="H6770">
        <v>3</v>
      </c>
      <c r="I6770">
        <v>6</v>
      </c>
      <c r="J6770">
        <v>30</v>
      </c>
    </row>
    <row r="6771" spans="1:10" x14ac:dyDescent="0.25">
      <c r="A6771" t="s">
        <v>26</v>
      </c>
      <c r="B6771" t="s">
        <v>20</v>
      </c>
      <c r="C6771" t="s">
        <v>18</v>
      </c>
      <c r="D6771" t="s">
        <v>13</v>
      </c>
      <c r="E6771">
        <v>0.33796296296296202</v>
      </c>
      <c r="F6771">
        <v>0.83445190776693901</v>
      </c>
      <c r="G6771">
        <v>1.1301524639129601</v>
      </c>
      <c r="H6771">
        <v>2</v>
      </c>
      <c r="I6771">
        <v>6</v>
      </c>
      <c r="J6771">
        <v>30</v>
      </c>
    </row>
    <row r="6772" spans="1:10" x14ac:dyDescent="0.25">
      <c r="A6772" t="s">
        <v>26</v>
      </c>
      <c r="B6772" t="s">
        <v>20</v>
      </c>
      <c r="C6772" t="s">
        <v>18</v>
      </c>
      <c r="D6772" t="s">
        <v>13</v>
      </c>
      <c r="E6772">
        <v>0.328703703703703</v>
      </c>
      <c r="F6772">
        <v>0.83217537893008997</v>
      </c>
      <c r="G6772">
        <v>1.1326560974121</v>
      </c>
      <c r="H6772">
        <v>3</v>
      </c>
      <c r="I6772">
        <v>6</v>
      </c>
      <c r="J6772">
        <v>30</v>
      </c>
    </row>
    <row r="6773" spans="1:10" x14ac:dyDescent="0.25">
      <c r="A6773" t="s">
        <v>26</v>
      </c>
      <c r="B6773" t="s">
        <v>20</v>
      </c>
      <c r="C6773" t="s">
        <v>18</v>
      </c>
      <c r="D6773" t="s">
        <v>13</v>
      </c>
      <c r="E6773">
        <v>0.344521604938271</v>
      </c>
      <c r="F6773">
        <v>0.83612981000104403</v>
      </c>
      <c r="G6773">
        <v>1.2692341804504299</v>
      </c>
      <c r="H6773">
        <v>3</v>
      </c>
      <c r="I6773">
        <v>7</v>
      </c>
      <c r="J6773">
        <v>30</v>
      </c>
    </row>
    <row r="6774" spans="1:10" x14ac:dyDescent="0.25">
      <c r="A6774" t="s">
        <v>26</v>
      </c>
      <c r="B6774" t="s">
        <v>20</v>
      </c>
      <c r="C6774" t="s">
        <v>18</v>
      </c>
      <c r="D6774" t="s">
        <v>13</v>
      </c>
      <c r="E6774">
        <v>0.32060185185185103</v>
      </c>
      <c r="F6774">
        <v>0.83014992944941801</v>
      </c>
      <c r="G6774">
        <v>1.1958935260772701</v>
      </c>
      <c r="H6774">
        <v>3</v>
      </c>
      <c r="I6774">
        <v>7</v>
      </c>
      <c r="J6774">
        <v>30</v>
      </c>
    </row>
    <row r="6775" spans="1:10" x14ac:dyDescent="0.25">
      <c r="A6775" t="s">
        <v>26</v>
      </c>
      <c r="B6775" t="s">
        <v>20</v>
      </c>
      <c r="C6775" t="s">
        <v>18</v>
      </c>
      <c r="D6775" t="s">
        <v>13</v>
      </c>
      <c r="E6775">
        <v>0.33217592592592499</v>
      </c>
      <c r="F6775">
        <v>0.83304342010416899</v>
      </c>
      <c r="G6775">
        <v>1.11056876182556</v>
      </c>
      <c r="H6775">
        <v>3</v>
      </c>
      <c r="I6775">
        <v>7</v>
      </c>
      <c r="J6775">
        <v>30</v>
      </c>
    </row>
    <row r="6776" spans="1:10" x14ac:dyDescent="0.25">
      <c r="A6776" t="s">
        <v>26</v>
      </c>
      <c r="B6776" t="s">
        <v>20</v>
      </c>
      <c r="C6776" t="s">
        <v>18</v>
      </c>
      <c r="D6776" t="s">
        <v>13</v>
      </c>
      <c r="E6776">
        <v>0.33757716049382702</v>
      </c>
      <c r="F6776">
        <v>0.83439371961805797</v>
      </c>
      <c r="G6776">
        <v>1.1361501216888401</v>
      </c>
      <c r="H6776">
        <v>3</v>
      </c>
      <c r="I6776">
        <v>7</v>
      </c>
      <c r="J6776">
        <v>30</v>
      </c>
    </row>
    <row r="6777" spans="1:10" x14ac:dyDescent="0.25">
      <c r="A6777" t="s">
        <v>26</v>
      </c>
      <c r="B6777" t="s">
        <v>20</v>
      </c>
      <c r="C6777" t="s">
        <v>18</v>
      </c>
      <c r="D6777" t="s">
        <v>13</v>
      </c>
      <c r="E6777">
        <v>0.33641975308641903</v>
      </c>
      <c r="F6777">
        <v>0.83410436972222401</v>
      </c>
      <c r="G6777">
        <v>1.0963268280029199</v>
      </c>
      <c r="H6777">
        <v>3</v>
      </c>
      <c r="I6777">
        <v>6</v>
      </c>
      <c r="J6777">
        <v>30</v>
      </c>
    </row>
    <row r="6778" spans="1:10" x14ac:dyDescent="0.25">
      <c r="A6778" t="s">
        <v>26</v>
      </c>
      <c r="B6778" t="s">
        <v>20</v>
      </c>
      <c r="C6778" t="s">
        <v>18</v>
      </c>
      <c r="D6778" t="s">
        <v>13</v>
      </c>
      <c r="E6778">
        <v>0.33333333333333298</v>
      </c>
      <c r="F6778">
        <v>0.83333277000000205</v>
      </c>
      <c r="G6778">
        <v>1.06520295143127</v>
      </c>
      <c r="H6778">
        <v>3</v>
      </c>
      <c r="I6778">
        <v>7</v>
      </c>
      <c r="J6778">
        <v>30</v>
      </c>
    </row>
    <row r="6779" spans="1:10" x14ac:dyDescent="0.25">
      <c r="A6779" t="s">
        <v>26</v>
      </c>
      <c r="B6779" t="s">
        <v>20</v>
      </c>
      <c r="C6779" t="s">
        <v>18</v>
      </c>
      <c r="D6779" t="s">
        <v>13</v>
      </c>
      <c r="E6779">
        <v>0.32175925925925902</v>
      </c>
      <c r="F6779">
        <v>0.83043927937522799</v>
      </c>
      <c r="G6779">
        <v>1.2079648971557599</v>
      </c>
      <c r="H6779">
        <v>3</v>
      </c>
      <c r="I6779">
        <v>7</v>
      </c>
      <c r="J6779">
        <v>30</v>
      </c>
    </row>
    <row r="6780" spans="1:10" x14ac:dyDescent="0.25">
      <c r="A6780" t="s">
        <v>26</v>
      </c>
      <c r="B6780" t="s">
        <v>20</v>
      </c>
      <c r="C6780" t="s">
        <v>18</v>
      </c>
      <c r="D6780" t="s">
        <v>13</v>
      </c>
      <c r="E6780">
        <v>0.33063271604938199</v>
      </c>
      <c r="F6780">
        <v>0.83265762024305801</v>
      </c>
      <c r="G6780">
        <v>1.06608343124389</v>
      </c>
      <c r="H6780">
        <v>2</v>
      </c>
      <c r="I6780">
        <v>7</v>
      </c>
      <c r="J6780">
        <v>30</v>
      </c>
    </row>
    <row r="6781" spans="1:10" x14ac:dyDescent="0.25">
      <c r="A6781" t="s">
        <v>26</v>
      </c>
      <c r="B6781" t="s">
        <v>20</v>
      </c>
      <c r="C6781" t="s">
        <v>18</v>
      </c>
      <c r="D6781" t="s">
        <v>13</v>
      </c>
      <c r="E6781">
        <v>0.34606481481481399</v>
      </c>
      <c r="F6781">
        <v>0.836515609821878</v>
      </c>
      <c r="G6781">
        <v>1.0605816841125399</v>
      </c>
      <c r="H6781">
        <v>3</v>
      </c>
      <c r="I6781">
        <v>7</v>
      </c>
      <c r="J6781">
        <v>30</v>
      </c>
    </row>
    <row r="6782" spans="1:10" x14ac:dyDescent="0.25">
      <c r="A6782" t="s">
        <v>26</v>
      </c>
      <c r="B6782" t="s">
        <v>20</v>
      </c>
      <c r="C6782" t="s">
        <v>18</v>
      </c>
      <c r="D6782" t="s">
        <v>14</v>
      </c>
      <c r="E6782">
        <v>0.32638888888888801</v>
      </c>
      <c r="F6782">
        <v>0.83159667907846901</v>
      </c>
      <c r="G6782">
        <v>0.79120397567749001</v>
      </c>
      <c r="H6782">
        <v>1</v>
      </c>
      <c r="I6782">
        <v>1</v>
      </c>
      <c r="J6782">
        <v>30</v>
      </c>
    </row>
    <row r="6783" spans="1:10" x14ac:dyDescent="0.25">
      <c r="A6783" t="s">
        <v>26</v>
      </c>
      <c r="B6783" t="s">
        <v>20</v>
      </c>
      <c r="C6783" t="s">
        <v>18</v>
      </c>
      <c r="D6783" t="s">
        <v>14</v>
      </c>
      <c r="E6783">
        <v>0.32137345679012302</v>
      </c>
      <c r="F6783">
        <v>0.83034282939995896</v>
      </c>
      <c r="G6783">
        <v>0.79762458801269498</v>
      </c>
      <c r="H6783">
        <v>1</v>
      </c>
      <c r="I6783">
        <v>1</v>
      </c>
      <c r="J6783">
        <v>30</v>
      </c>
    </row>
    <row r="6784" spans="1:10" x14ac:dyDescent="0.25">
      <c r="A6784" t="s">
        <v>26</v>
      </c>
      <c r="B6784" t="s">
        <v>20</v>
      </c>
      <c r="C6784" t="s">
        <v>18</v>
      </c>
      <c r="D6784" t="s">
        <v>14</v>
      </c>
      <c r="E6784">
        <v>0.342978395061728</v>
      </c>
      <c r="F6784">
        <v>0.83574401018021105</v>
      </c>
      <c r="G6784">
        <v>0.76884555816650302</v>
      </c>
      <c r="H6784">
        <v>1</v>
      </c>
      <c r="I6784">
        <v>1</v>
      </c>
      <c r="J6784">
        <v>30</v>
      </c>
    </row>
    <row r="6785" spans="1:10" x14ac:dyDescent="0.25">
      <c r="A6785" t="s">
        <v>26</v>
      </c>
      <c r="B6785" t="s">
        <v>20</v>
      </c>
      <c r="C6785" t="s">
        <v>18</v>
      </c>
      <c r="D6785" t="s">
        <v>14</v>
      </c>
      <c r="E6785">
        <v>0.32561728395061701</v>
      </c>
      <c r="F6785">
        <v>0.83140377912792895</v>
      </c>
      <c r="G6785">
        <v>0.81727647781372004</v>
      </c>
      <c r="H6785">
        <v>1</v>
      </c>
      <c r="I6785">
        <v>1</v>
      </c>
      <c r="J6785">
        <v>30</v>
      </c>
    </row>
    <row r="6786" spans="1:10" x14ac:dyDescent="0.25">
      <c r="A6786" t="s">
        <v>26</v>
      </c>
      <c r="B6786" t="s">
        <v>20</v>
      </c>
      <c r="C6786" t="s">
        <v>18</v>
      </c>
      <c r="D6786" t="s">
        <v>14</v>
      </c>
      <c r="E6786">
        <v>0.33796296296296202</v>
      </c>
      <c r="F6786">
        <v>0.834490169583335</v>
      </c>
      <c r="G6786">
        <v>0.76514816284179599</v>
      </c>
      <c r="H6786">
        <v>1</v>
      </c>
      <c r="I6786">
        <v>1</v>
      </c>
      <c r="J6786">
        <v>30</v>
      </c>
    </row>
    <row r="6787" spans="1:10" x14ac:dyDescent="0.25">
      <c r="A6787" t="s">
        <v>26</v>
      </c>
      <c r="B6787" t="s">
        <v>20</v>
      </c>
      <c r="C6787" t="s">
        <v>18</v>
      </c>
      <c r="D6787" t="s">
        <v>14</v>
      </c>
      <c r="E6787">
        <v>0.33873456790123402</v>
      </c>
      <c r="F6787">
        <v>0.83468306951389104</v>
      </c>
      <c r="G6787">
        <v>0.84601736068725497</v>
      </c>
      <c r="H6787">
        <v>1</v>
      </c>
      <c r="I6787">
        <v>1</v>
      </c>
      <c r="J6787">
        <v>30</v>
      </c>
    </row>
    <row r="6788" spans="1:10" x14ac:dyDescent="0.25">
      <c r="A6788" t="s">
        <v>26</v>
      </c>
      <c r="B6788" t="s">
        <v>20</v>
      </c>
      <c r="C6788" t="s">
        <v>18</v>
      </c>
      <c r="D6788" t="s">
        <v>14</v>
      </c>
      <c r="E6788">
        <v>0.35069444444444398</v>
      </c>
      <c r="F6788">
        <v>0.83767300006111001</v>
      </c>
      <c r="G6788">
        <v>0.83469438552856401</v>
      </c>
      <c r="H6788">
        <v>1</v>
      </c>
      <c r="I6788">
        <v>1</v>
      </c>
      <c r="J6788">
        <v>30</v>
      </c>
    </row>
    <row r="6789" spans="1:10" x14ac:dyDescent="0.25">
      <c r="A6789" t="s">
        <v>26</v>
      </c>
      <c r="B6789" t="s">
        <v>20</v>
      </c>
      <c r="C6789" t="s">
        <v>18</v>
      </c>
      <c r="D6789" t="s">
        <v>14</v>
      </c>
      <c r="E6789">
        <v>0.32638888888888801</v>
      </c>
      <c r="F6789">
        <v>0.83159667907846901</v>
      </c>
      <c r="G6789">
        <v>0.84577417373657204</v>
      </c>
      <c r="H6789">
        <v>1</v>
      </c>
      <c r="I6789">
        <v>1</v>
      </c>
      <c r="J6789">
        <v>30</v>
      </c>
    </row>
    <row r="6790" spans="1:10" x14ac:dyDescent="0.25">
      <c r="A6790" t="s">
        <v>26</v>
      </c>
      <c r="B6790" t="s">
        <v>20</v>
      </c>
      <c r="C6790" t="s">
        <v>18</v>
      </c>
      <c r="D6790" t="s">
        <v>14</v>
      </c>
      <c r="E6790">
        <v>0.31944444444444398</v>
      </c>
      <c r="F6790">
        <v>0.82986057952360803</v>
      </c>
      <c r="G6790">
        <v>0.84656977653503396</v>
      </c>
      <c r="H6790">
        <v>1</v>
      </c>
      <c r="I6790">
        <v>1</v>
      </c>
      <c r="J6790">
        <v>30</v>
      </c>
    </row>
    <row r="6791" spans="1:10" x14ac:dyDescent="0.25">
      <c r="A6791" t="s">
        <v>26</v>
      </c>
      <c r="B6791" t="s">
        <v>20</v>
      </c>
      <c r="C6791" t="s">
        <v>18</v>
      </c>
      <c r="D6791" t="s">
        <v>14</v>
      </c>
      <c r="E6791">
        <v>0.34104938271604901</v>
      </c>
      <c r="F6791">
        <v>0.83526176040417</v>
      </c>
      <c r="G6791">
        <v>0.85115504264831499</v>
      </c>
      <c r="H6791">
        <v>1</v>
      </c>
      <c r="I6791">
        <v>1</v>
      </c>
      <c r="J6791">
        <v>30</v>
      </c>
    </row>
    <row r="6792" spans="1:10" x14ac:dyDescent="0.25">
      <c r="A6792" t="s">
        <v>26</v>
      </c>
      <c r="B6792" t="s">
        <v>20</v>
      </c>
      <c r="C6792" t="s">
        <v>18</v>
      </c>
      <c r="D6792" t="s">
        <v>14</v>
      </c>
      <c r="E6792">
        <v>0.32098765432098703</v>
      </c>
      <c r="F6792">
        <v>0.83024637942468804</v>
      </c>
      <c r="G6792">
        <v>0.88743519783019997</v>
      </c>
      <c r="H6792">
        <v>1</v>
      </c>
      <c r="I6792">
        <v>1</v>
      </c>
      <c r="J6792">
        <v>30</v>
      </c>
    </row>
    <row r="6793" spans="1:10" x14ac:dyDescent="0.25">
      <c r="A6793" t="s">
        <v>26</v>
      </c>
      <c r="B6793" t="s">
        <v>20</v>
      </c>
      <c r="C6793" t="s">
        <v>18</v>
      </c>
      <c r="D6793" t="s">
        <v>14</v>
      </c>
      <c r="E6793">
        <v>0.344135802469135</v>
      </c>
      <c r="F6793">
        <v>0.83603336004583595</v>
      </c>
      <c r="G6793">
        <v>0.80636978149413996</v>
      </c>
      <c r="H6793">
        <v>1</v>
      </c>
      <c r="I6793">
        <v>1</v>
      </c>
      <c r="J6793">
        <v>30</v>
      </c>
    </row>
    <row r="6794" spans="1:10" x14ac:dyDescent="0.25">
      <c r="A6794" t="s">
        <v>26</v>
      </c>
      <c r="B6794" t="s">
        <v>20</v>
      </c>
      <c r="C6794" t="s">
        <v>18</v>
      </c>
      <c r="D6794" t="s">
        <v>14</v>
      </c>
      <c r="E6794">
        <v>0.32523148148148101</v>
      </c>
      <c r="F6794">
        <v>0.83130732915265904</v>
      </c>
      <c r="G6794">
        <v>0.87720298767089799</v>
      </c>
      <c r="H6794">
        <v>1</v>
      </c>
      <c r="I6794">
        <v>1</v>
      </c>
      <c r="J6794">
        <v>30</v>
      </c>
    </row>
    <row r="6795" spans="1:10" x14ac:dyDescent="0.25">
      <c r="A6795" t="s">
        <v>26</v>
      </c>
      <c r="B6795" t="s">
        <v>20</v>
      </c>
      <c r="C6795" t="s">
        <v>18</v>
      </c>
      <c r="D6795" t="s">
        <v>14</v>
      </c>
      <c r="E6795">
        <v>0.32368827160493802</v>
      </c>
      <c r="F6795">
        <v>0.83092152925157903</v>
      </c>
      <c r="G6795">
        <v>0.90278601646423295</v>
      </c>
      <c r="H6795">
        <v>1</v>
      </c>
      <c r="I6795">
        <v>1</v>
      </c>
      <c r="J6795">
        <v>30</v>
      </c>
    </row>
    <row r="6796" spans="1:10" x14ac:dyDescent="0.25">
      <c r="A6796" t="s">
        <v>26</v>
      </c>
      <c r="B6796" t="s">
        <v>20</v>
      </c>
      <c r="C6796" t="s">
        <v>18</v>
      </c>
      <c r="D6796" t="s">
        <v>14</v>
      </c>
      <c r="E6796">
        <v>0.343364197530864</v>
      </c>
      <c r="F6796">
        <v>0.83584046013542002</v>
      </c>
      <c r="G6796">
        <v>0.78246808052062899</v>
      </c>
      <c r="H6796">
        <v>1</v>
      </c>
      <c r="I6796">
        <v>1</v>
      </c>
      <c r="J6796">
        <v>30</v>
      </c>
    </row>
    <row r="6797" spans="1:10" x14ac:dyDescent="0.25">
      <c r="A6797" t="s">
        <v>26</v>
      </c>
      <c r="B6797" t="s">
        <v>20</v>
      </c>
      <c r="C6797" t="s">
        <v>18</v>
      </c>
      <c r="D6797" t="s">
        <v>14</v>
      </c>
      <c r="E6797">
        <v>0.32986111111111099</v>
      </c>
      <c r="F6797">
        <v>0.83246472031250196</v>
      </c>
      <c r="G6797">
        <v>0.94011306762695301</v>
      </c>
      <c r="H6797">
        <v>1</v>
      </c>
      <c r="I6797">
        <v>1</v>
      </c>
      <c r="J6797">
        <v>30</v>
      </c>
    </row>
    <row r="6798" spans="1:10" x14ac:dyDescent="0.25">
      <c r="A6798" t="s">
        <v>26</v>
      </c>
      <c r="B6798" t="s">
        <v>20</v>
      </c>
      <c r="C6798" t="s">
        <v>18</v>
      </c>
      <c r="D6798" t="s">
        <v>14</v>
      </c>
      <c r="E6798">
        <v>0.33179012345678999</v>
      </c>
      <c r="F6798">
        <v>0.83294697013889096</v>
      </c>
      <c r="G6798">
        <v>0.87682318687438898</v>
      </c>
      <c r="H6798">
        <v>1</v>
      </c>
      <c r="I6798">
        <v>1</v>
      </c>
      <c r="J6798">
        <v>30</v>
      </c>
    </row>
    <row r="6799" spans="1:10" x14ac:dyDescent="0.25">
      <c r="A6799" t="s">
        <v>26</v>
      </c>
      <c r="B6799" t="s">
        <v>20</v>
      </c>
      <c r="C6799" t="s">
        <v>18</v>
      </c>
      <c r="D6799" t="s">
        <v>14</v>
      </c>
      <c r="E6799">
        <v>0.32638888888888801</v>
      </c>
      <c r="F6799">
        <v>0.83159667907846901</v>
      </c>
      <c r="G6799">
        <v>0.79992890357971103</v>
      </c>
      <c r="H6799">
        <v>1</v>
      </c>
      <c r="I6799">
        <v>1</v>
      </c>
      <c r="J6799">
        <v>30</v>
      </c>
    </row>
    <row r="6800" spans="1:10" x14ac:dyDescent="0.25">
      <c r="A6800" t="s">
        <v>26</v>
      </c>
      <c r="B6800" t="s">
        <v>20</v>
      </c>
      <c r="C6800" t="s">
        <v>18</v>
      </c>
      <c r="D6800" t="s">
        <v>14</v>
      </c>
      <c r="E6800">
        <v>0.32677469135802401</v>
      </c>
      <c r="F6800">
        <v>0.83169312905373904</v>
      </c>
      <c r="G6800">
        <v>0.735914707183837</v>
      </c>
      <c r="H6800">
        <v>1</v>
      </c>
      <c r="I6800">
        <v>1</v>
      </c>
      <c r="J6800">
        <v>30</v>
      </c>
    </row>
    <row r="6801" spans="1:10" x14ac:dyDescent="0.25">
      <c r="A6801" t="s">
        <v>26</v>
      </c>
      <c r="B6801" t="s">
        <v>20</v>
      </c>
      <c r="C6801" t="s">
        <v>18</v>
      </c>
      <c r="D6801" t="s">
        <v>14</v>
      </c>
      <c r="E6801">
        <v>0.33217592592592499</v>
      </c>
      <c r="F6801">
        <v>0.83304342010416899</v>
      </c>
      <c r="G6801">
        <v>0.77923965454101496</v>
      </c>
      <c r="H6801">
        <v>1</v>
      </c>
      <c r="I6801">
        <v>1</v>
      </c>
      <c r="J6801">
        <v>30</v>
      </c>
    </row>
    <row r="6802" spans="1:10" x14ac:dyDescent="0.25">
      <c r="A6802" t="s">
        <v>26</v>
      </c>
      <c r="B6802" t="s">
        <v>20</v>
      </c>
      <c r="C6802" t="s">
        <v>18</v>
      </c>
      <c r="D6802" t="s">
        <v>14</v>
      </c>
      <c r="E6802">
        <v>0.33641975308641903</v>
      </c>
      <c r="F6802">
        <v>0.83410436972222401</v>
      </c>
      <c r="G6802">
        <v>0.62673711776733398</v>
      </c>
      <c r="H6802">
        <v>1</v>
      </c>
      <c r="I6802">
        <v>1</v>
      </c>
      <c r="J6802">
        <v>30</v>
      </c>
    </row>
    <row r="6803" spans="1:10" x14ac:dyDescent="0.25">
      <c r="A6803" t="s">
        <v>26</v>
      </c>
      <c r="B6803" t="s">
        <v>20</v>
      </c>
      <c r="C6803" t="s">
        <v>18</v>
      </c>
      <c r="D6803" t="s">
        <v>14</v>
      </c>
      <c r="E6803">
        <v>0.32137345679012302</v>
      </c>
      <c r="F6803">
        <v>0.83034282939995796</v>
      </c>
      <c r="G6803">
        <v>0.81031918525695801</v>
      </c>
      <c r="H6803">
        <v>1</v>
      </c>
      <c r="I6803">
        <v>1</v>
      </c>
      <c r="J6803">
        <v>30</v>
      </c>
    </row>
    <row r="6804" spans="1:10" x14ac:dyDescent="0.25">
      <c r="A6804" t="s">
        <v>26</v>
      </c>
      <c r="B6804" t="s">
        <v>20</v>
      </c>
      <c r="C6804" t="s">
        <v>18</v>
      </c>
      <c r="D6804" t="s">
        <v>14</v>
      </c>
      <c r="E6804">
        <v>0.35030864197530798</v>
      </c>
      <c r="F6804">
        <v>0.83757655011604804</v>
      </c>
      <c r="G6804">
        <v>0.72024512290954501</v>
      </c>
      <c r="H6804">
        <v>1</v>
      </c>
      <c r="I6804">
        <v>1</v>
      </c>
      <c r="J6804">
        <v>30</v>
      </c>
    </row>
    <row r="6805" spans="1:10" x14ac:dyDescent="0.25">
      <c r="A6805" t="s">
        <v>26</v>
      </c>
      <c r="B6805" t="s">
        <v>20</v>
      </c>
      <c r="C6805" t="s">
        <v>18</v>
      </c>
      <c r="D6805" t="s">
        <v>14</v>
      </c>
      <c r="E6805">
        <v>0.34182098765432101</v>
      </c>
      <c r="F6805">
        <v>0.83545466031458604</v>
      </c>
      <c r="G6805">
        <v>0.87180447578430098</v>
      </c>
      <c r="H6805">
        <v>1</v>
      </c>
      <c r="I6805">
        <v>1</v>
      </c>
      <c r="J6805">
        <v>30</v>
      </c>
    </row>
    <row r="6806" spans="1:10" x14ac:dyDescent="0.25">
      <c r="A6806" t="s">
        <v>26</v>
      </c>
      <c r="B6806" t="s">
        <v>20</v>
      </c>
      <c r="C6806" t="s">
        <v>18</v>
      </c>
      <c r="D6806" t="s">
        <v>14</v>
      </c>
      <c r="E6806">
        <v>0.33834876543209802</v>
      </c>
      <c r="F6806">
        <v>0.83458661954861302</v>
      </c>
      <c r="G6806">
        <v>0.64843916893005304</v>
      </c>
      <c r="H6806">
        <v>1</v>
      </c>
      <c r="I6806">
        <v>1</v>
      </c>
      <c r="J6806">
        <v>30</v>
      </c>
    </row>
    <row r="6807" spans="1:10" x14ac:dyDescent="0.25">
      <c r="A6807" t="s">
        <v>26</v>
      </c>
      <c r="B6807" t="s">
        <v>20</v>
      </c>
      <c r="C6807" t="s">
        <v>18</v>
      </c>
      <c r="D6807" t="s">
        <v>14</v>
      </c>
      <c r="E6807">
        <v>0.327546296296296</v>
      </c>
      <c r="F6807">
        <v>0.83188602900427899</v>
      </c>
      <c r="G6807">
        <v>0.77467370033264105</v>
      </c>
      <c r="H6807">
        <v>1</v>
      </c>
      <c r="I6807">
        <v>1</v>
      </c>
      <c r="J6807">
        <v>30</v>
      </c>
    </row>
    <row r="6808" spans="1:10" x14ac:dyDescent="0.25">
      <c r="A6808" t="s">
        <v>26</v>
      </c>
      <c r="B6808" t="s">
        <v>20</v>
      </c>
      <c r="C6808" t="s">
        <v>18</v>
      </c>
      <c r="D6808" t="s">
        <v>14</v>
      </c>
      <c r="E6808">
        <v>0.33989197530864101</v>
      </c>
      <c r="F6808">
        <v>0.83497241053854399</v>
      </c>
      <c r="G6808">
        <v>0.69765877723693803</v>
      </c>
      <c r="H6808">
        <v>1</v>
      </c>
      <c r="I6808">
        <v>1</v>
      </c>
      <c r="J6808">
        <v>30</v>
      </c>
    </row>
    <row r="6809" spans="1:10" x14ac:dyDescent="0.25">
      <c r="A6809" t="s">
        <v>26</v>
      </c>
      <c r="B6809" t="s">
        <v>20</v>
      </c>
      <c r="C6809" t="s">
        <v>18</v>
      </c>
      <c r="D6809" t="s">
        <v>14</v>
      </c>
      <c r="E6809">
        <v>0.33256172839506098</v>
      </c>
      <c r="F6809">
        <v>0.83313987006944601</v>
      </c>
      <c r="G6809">
        <v>0.70870351791381803</v>
      </c>
      <c r="H6809">
        <v>1</v>
      </c>
      <c r="I6809">
        <v>1</v>
      </c>
      <c r="J6809">
        <v>30</v>
      </c>
    </row>
    <row r="6810" spans="1:10" x14ac:dyDescent="0.25">
      <c r="A6810" t="s">
        <v>26</v>
      </c>
      <c r="B6810" t="s">
        <v>20</v>
      </c>
      <c r="C6810" t="s">
        <v>18</v>
      </c>
      <c r="D6810" t="s">
        <v>14</v>
      </c>
      <c r="E6810">
        <v>0.33796296296296202</v>
      </c>
      <c r="F6810">
        <v>0.83449016958333599</v>
      </c>
      <c r="G6810">
        <v>0.81938982009887695</v>
      </c>
      <c r="H6810">
        <v>1</v>
      </c>
      <c r="I6810">
        <v>1</v>
      </c>
      <c r="J6810">
        <v>30</v>
      </c>
    </row>
    <row r="6811" spans="1:10" x14ac:dyDescent="0.25">
      <c r="A6811" t="s">
        <v>26</v>
      </c>
      <c r="B6811" t="s">
        <v>20</v>
      </c>
      <c r="C6811" t="s">
        <v>18</v>
      </c>
      <c r="D6811" t="s">
        <v>14</v>
      </c>
      <c r="E6811">
        <v>0.33757716049382702</v>
      </c>
      <c r="F6811">
        <v>0.83439371961805797</v>
      </c>
      <c r="G6811">
        <v>0.70683956146240201</v>
      </c>
      <c r="H6811">
        <v>1</v>
      </c>
      <c r="I6811">
        <v>1</v>
      </c>
      <c r="J6811">
        <v>30</v>
      </c>
    </row>
    <row r="6812" spans="1:10" x14ac:dyDescent="0.25">
      <c r="A6812" t="s">
        <v>26</v>
      </c>
      <c r="B6812" t="s">
        <v>20</v>
      </c>
      <c r="C6812" t="s">
        <v>18</v>
      </c>
      <c r="D6812" t="s">
        <v>15</v>
      </c>
      <c r="E6812">
        <v>0</v>
      </c>
      <c r="F6812">
        <v>0.75</v>
      </c>
      <c r="G6812">
        <v>0.32936024665832497</v>
      </c>
      <c r="H6812">
        <v>0</v>
      </c>
      <c r="I6812">
        <v>0</v>
      </c>
      <c r="J6812">
        <v>30</v>
      </c>
    </row>
    <row r="6813" spans="1:10" x14ac:dyDescent="0.25">
      <c r="A6813" t="s">
        <v>26</v>
      </c>
      <c r="B6813" t="s">
        <v>20</v>
      </c>
      <c r="C6813" t="s">
        <v>18</v>
      </c>
      <c r="D6813" t="s">
        <v>15</v>
      </c>
      <c r="E6813">
        <v>0</v>
      </c>
      <c r="F6813">
        <v>0.75</v>
      </c>
      <c r="G6813">
        <v>0.35760402679443298</v>
      </c>
      <c r="H6813">
        <v>0</v>
      </c>
      <c r="I6813">
        <v>0</v>
      </c>
      <c r="J6813">
        <v>30</v>
      </c>
    </row>
    <row r="6814" spans="1:10" x14ac:dyDescent="0.25">
      <c r="A6814" t="s">
        <v>26</v>
      </c>
      <c r="B6814" t="s">
        <v>20</v>
      </c>
      <c r="C6814" t="s">
        <v>18</v>
      </c>
      <c r="D6814" t="s">
        <v>15</v>
      </c>
      <c r="E6814">
        <v>0</v>
      </c>
      <c r="F6814">
        <v>0.75</v>
      </c>
      <c r="G6814">
        <v>0.42838668823242099</v>
      </c>
      <c r="H6814">
        <v>0</v>
      </c>
      <c r="I6814">
        <v>0</v>
      </c>
      <c r="J6814">
        <v>30</v>
      </c>
    </row>
    <row r="6815" spans="1:10" x14ac:dyDescent="0.25">
      <c r="A6815" t="s">
        <v>26</v>
      </c>
      <c r="B6815" t="s">
        <v>20</v>
      </c>
      <c r="C6815" t="s">
        <v>18</v>
      </c>
      <c r="D6815" t="s">
        <v>15</v>
      </c>
      <c r="E6815">
        <v>0</v>
      </c>
      <c r="F6815">
        <v>0.75</v>
      </c>
      <c r="G6815">
        <v>0.41137480735778797</v>
      </c>
      <c r="H6815">
        <v>0</v>
      </c>
      <c r="I6815">
        <v>0</v>
      </c>
      <c r="J6815">
        <v>30</v>
      </c>
    </row>
    <row r="6816" spans="1:10" x14ac:dyDescent="0.25">
      <c r="A6816" t="s">
        <v>26</v>
      </c>
      <c r="B6816" t="s">
        <v>20</v>
      </c>
      <c r="C6816" t="s">
        <v>18</v>
      </c>
      <c r="D6816" t="s">
        <v>15</v>
      </c>
      <c r="E6816">
        <v>0</v>
      </c>
      <c r="F6816">
        <v>0.75</v>
      </c>
      <c r="G6816">
        <v>0.43605208396911599</v>
      </c>
      <c r="H6816">
        <v>0</v>
      </c>
      <c r="I6816">
        <v>0</v>
      </c>
      <c r="J6816">
        <v>30</v>
      </c>
    </row>
    <row r="6817" spans="1:10" x14ac:dyDescent="0.25">
      <c r="A6817" t="s">
        <v>26</v>
      </c>
      <c r="B6817" t="s">
        <v>20</v>
      </c>
      <c r="C6817" t="s">
        <v>18</v>
      </c>
      <c r="D6817" t="s">
        <v>15</v>
      </c>
      <c r="E6817">
        <v>0</v>
      </c>
      <c r="F6817">
        <v>0.75</v>
      </c>
      <c r="G6817">
        <v>0.42600822448730402</v>
      </c>
      <c r="H6817">
        <v>0</v>
      </c>
      <c r="I6817">
        <v>0</v>
      </c>
      <c r="J6817">
        <v>30</v>
      </c>
    </row>
    <row r="6818" spans="1:10" x14ac:dyDescent="0.25">
      <c r="A6818" t="s">
        <v>26</v>
      </c>
      <c r="B6818" t="s">
        <v>20</v>
      </c>
      <c r="C6818" t="s">
        <v>18</v>
      </c>
      <c r="D6818" t="s">
        <v>15</v>
      </c>
      <c r="E6818">
        <v>0</v>
      </c>
      <c r="F6818">
        <v>0.75</v>
      </c>
      <c r="G6818">
        <v>0.43157935142517001</v>
      </c>
      <c r="H6818">
        <v>0</v>
      </c>
      <c r="I6818">
        <v>0</v>
      </c>
      <c r="J6818">
        <v>30</v>
      </c>
    </row>
    <row r="6819" spans="1:10" x14ac:dyDescent="0.25">
      <c r="A6819" t="s">
        <v>26</v>
      </c>
      <c r="B6819" t="s">
        <v>20</v>
      </c>
      <c r="C6819" t="s">
        <v>18</v>
      </c>
      <c r="D6819" t="s">
        <v>15</v>
      </c>
      <c r="E6819">
        <v>0</v>
      </c>
      <c r="F6819">
        <v>0.75</v>
      </c>
      <c r="G6819">
        <v>0.52998733520507801</v>
      </c>
      <c r="H6819">
        <v>0</v>
      </c>
      <c r="I6819">
        <v>0</v>
      </c>
      <c r="J6819">
        <v>30</v>
      </c>
    </row>
    <row r="6820" spans="1:10" x14ac:dyDescent="0.25">
      <c r="A6820" t="s">
        <v>26</v>
      </c>
      <c r="B6820" t="s">
        <v>20</v>
      </c>
      <c r="C6820" t="s">
        <v>18</v>
      </c>
      <c r="D6820" t="s">
        <v>15</v>
      </c>
      <c r="E6820">
        <v>0</v>
      </c>
      <c r="F6820">
        <v>0.75</v>
      </c>
      <c r="G6820">
        <v>0.52350831031799305</v>
      </c>
      <c r="H6820">
        <v>0</v>
      </c>
      <c r="I6820">
        <v>0</v>
      </c>
      <c r="J6820">
        <v>30</v>
      </c>
    </row>
    <row r="6821" spans="1:10" x14ac:dyDescent="0.25">
      <c r="A6821" t="s">
        <v>26</v>
      </c>
      <c r="B6821" t="s">
        <v>20</v>
      </c>
      <c r="C6821" t="s">
        <v>18</v>
      </c>
      <c r="D6821" t="s">
        <v>15</v>
      </c>
      <c r="E6821">
        <v>0</v>
      </c>
      <c r="F6821">
        <v>0.75</v>
      </c>
      <c r="G6821">
        <v>0.55625724792480402</v>
      </c>
      <c r="H6821">
        <v>0</v>
      </c>
      <c r="I6821">
        <v>0</v>
      </c>
      <c r="J6821">
        <v>30</v>
      </c>
    </row>
    <row r="6822" spans="1:10" x14ac:dyDescent="0.25">
      <c r="A6822" t="s">
        <v>26</v>
      </c>
      <c r="B6822" t="s">
        <v>20</v>
      </c>
      <c r="C6822" t="s">
        <v>18</v>
      </c>
      <c r="D6822" t="s">
        <v>15</v>
      </c>
      <c r="E6822">
        <v>0</v>
      </c>
      <c r="F6822">
        <v>0.75</v>
      </c>
      <c r="G6822">
        <v>0.55679464340209905</v>
      </c>
      <c r="H6822">
        <v>0</v>
      </c>
      <c r="I6822">
        <v>0</v>
      </c>
      <c r="J6822">
        <v>30</v>
      </c>
    </row>
    <row r="6823" spans="1:10" x14ac:dyDescent="0.25">
      <c r="A6823" t="s">
        <v>26</v>
      </c>
      <c r="B6823" t="s">
        <v>20</v>
      </c>
      <c r="C6823" t="s">
        <v>18</v>
      </c>
      <c r="D6823" t="s">
        <v>15</v>
      </c>
      <c r="E6823">
        <v>0</v>
      </c>
      <c r="F6823">
        <v>0.75</v>
      </c>
      <c r="G6823">
        <v>0.54221892356872503</v>
      </c>
      <c r="H6823">
        <v>0</v>
      </c>
      <c r="I6823">
        <v>0</v>
      </c>
      <c r="J6823">
        <v>30</v>
      </c>
    </row>
    <row r="6824" spans="1:10" x14ac:dyDescent="0.25">
      <c r="A6824" t="s">
        <v>26</v>
      </c>
      <c r="B6824" t="s">
        <v>20</v>
      </c>
      <c r="C6824" t="s">
        <v>18</v>
      </c>
      <c r="D6824" t="s">
        <v>15</v>
      </c>
      <c r="E6824">
        <v>0</v>
      </c>
      <c r="F6824">
        <v>0.75</v>
      </c>
      <c r="G6824">
        <v>0.50707840919494596</v>
      </c>
      <c r="H6824">
        <v>0</v>
      </c>
      <c r="I6824">
        <v>0</v>
      </c>
      <c r="J6824">
        <v>30</v>
      </c>
    </row>
    <row r="6825" spans="1:10" x14ac:dyDescent="0.25">
      <c r="A6825" t="s">
        <v>26</v>
      </c>
      <c r="B6825" t="s">
        <v>20</v>
      </c>
      <c r="C6825" t="s">
        <v>18</v>
      </c>
      <c r="D6825" t="s">
        <v>15</v>
      </c>
      <c r="E6825">
        <v>0</v>
      </c>
      <c r="F6825">
        <v>0.75</v>
      </c>
      <c r="G6825">
        <v>0.56637310981750399</v>
      </c>
      <c r="H6825">
        <v>0</v>
      </c>
      <c r="I6825">
        <v>0</v>
      </c>
      <c r="J6825">
        <v>30</v>
      </c>
    </row>
    <row r="6826" spans="1:10" x14ac:dyDescent="0.25">
      <c r="A6826" t="s">
        <v>26</v>
      </c>
      <c r="B6826" t="s">
        <v>20</v>
      </c>
      <c r="C6826" t="s">
        <v>18</v>
      </c>
      <c r="D6826" t="s">
        <v>15</v>
      </c>
      <c r="E6826">
        <v>0</v>
      </c>
      <c r="F6826">
        <v>0.75</v>
      </c>
      <c r="G6826">
        <v>0.63508963584899902</v>
      </c>
      <c r="H6826">
        <v>0</v>
      </c>
      <c r="I6826">
        <v>0</v>
      </c>
      <c r="J6826">
        <v>30</v>
      </c>
    </row>
    <row r="6827" spans="1:10" x14ac:dyDescent="0.25">
      <c r="A6827" t="s">
        <v>26</v>
      </c>
      <c r="B6827" t="s">
        <v>20</v>
      </c>
      <c r="C6827" t="s">
        <v>18</v>
      </c>
      <c r="D6827" t="s">
        <v>15</v>
      </c>
      <c r="E6827">
        <v>0</v>
      </c>
      <c r="F6827">
        <v>0.75</v>
      </c>
      <c r="G6827">
        <v>0.47433543205261203</v>
      </c>
      <c r="H6827">
        <v>0</v>
      </c>
      <c r="I6827">
        <v>0</v>
      </c>
      <c r="J6827">
        <v>30</v>
      </c>
    </row>
    <row r="6828" spans="1:10" x14ac:dyDescent="0.25">
      <c r="A6828" t="s">
        <v>26</v>
      </c>
      <c r="B6828" t="s">
        <v>20</v>
      </c>
      <c r="C6828" t="s">
        <v>18</v>
      </c>
      <c r="D6828" t="s">
        <v>15</v>
      </c>
      <c r="E6828">
        <v>0</v>
      </c>
      <c r="F6828">
        <v>0.75</v>
      </c>
      <c r="G6828">
        <v>0.465678930282592</v>
      </c>
      <c r="H6828">
        <v>0</v>
      </c>
      <c r="I6828">
        <v>0</v>
      </c>
      <c r="J6828">
        <v>30</v>
      </c>
    </row>
    <row r="6829" spans="1:10" x14ac:dyDescent="0.25">
      <c r="A6829" t="s">
        <v>26</v>
      </c>
      <c r="B6829" t="s">
        <v>20</v>
      </c>
      <c r="C6829" t="s">
        <v>18</v>
      </c>
      <c r="D6829" t="s">
        <v>15</v>
      </c>
      <c r="E6829">
        <v>0</v>
      </c>
      <c r="F6829">
        <v>0.75</v>
      </c>
      <c r="G6829">
        <v>0.54112601280212402</v>
      </c>
      <c r="H6829">
        <v>0</v>
      </c>
      <c r="I6829">
        <v>0</v>
      </c>
      <c r="J6829">
        <v>30</v>
      </c>
    </row>
    <row r="6830" spans="1:10" x14ac:dyDescent="0.25">
      <c r="A6830" t="s">
        <v>26</v>
      </c>
      <c r="B6830" t="s">
        <v>20</v>
      </c>
      <c r="C6830" t="s">
        <v>18</v>
      </c>
      <c r="D6830" t="s">
        <v>15</v>
      </c>
      <c r="E6830">
        <v>0</v>
      </c>
      <c r="F6830">
        <v>0.75</v>
      </c>
      <c r="G6830">
        <v>0.54063630104064897</v>
      </c>
      <c r="H6830">
        <v>0</v>
      </c>
      <c r="I6830">
        <v>0</v>
      </c>
      <c r="J6830">
        <v>30</v>
      </c>
    </row>
    <row r="6831" spans="1:10" x14ac:dyDescent="0.25">
      <c r="A6831" t="s">
        <v>26</v>
      </c>
      <c r="B6831" t="s">
        <v>20</v>
      </c>
      <c r="C6831" t="s">
        <v>18</v>
      </c>
      <c r="D6831" t="s">
        <v>15</v>
      </c>
      <c r="E6831">
        <v>0</v>
      </c>
      <c r="F6831">
        <v>0.75</v>
      </c>
      <c r="G6831">
        <v>0.40242457389831499</v>
      </c>
      <c r="H6831">
        <v>0</v>
      </c>
      <c r="I6831">
        <v>0</v>
      </c>
      <c r="J6831">
        <v>30</v>
      </c>
    </row>
    <row r="6832" spans="1:10" x14ac:dyDescent="0.25">
      <c r="A6832" t="s">
        <v>26</v>
      </c>
      <c r="B6832" t="s">
        <v>20</v>
      </c>
      <c r="C6832" t="s">
        <v>18</v>
      </c>
      <c r="D6832" t="s">
        <v>15</v>
      </c>
      <c r="E6832">
        <v>0</v>
      </c>
      <c r="F6832">
        <v>0.75</v>
      </c>
      <c r="G6832">
        <v>0.498960971832275</v>
      </c>
      <c r="H6832">
        <v>0</v>
      </c>
      <c r="I6832">
        <v>0</v>
      </c>
      <c r="J6832">
        <v>30</v>
      </c>
    </row>
    <row r="6833" spans="1:10" x14ac:dyDescent="0.25">
      <c r="A6833" t="s">
        <v>26</v>
      </c>
      <c r="B6833" t="s">
        <v>20</v>
      </c>
      <c r="C6833" t="s">
        <v>18</v>
      </c>
      <c r="D6833" t="s">
        <v>15</v>
      </c>
      <c r="E6833">
        <v>0</v>
      </c>
      <c r="F6833">
        <v>0.75</v>
      </c>
      <c r="G6833">
        <v>0.460096836090087</v>
      </c>
      <c r="H6833">
        <v>0</v>
      </c>
      <c r="I6833">
        <v>0</v>
      </c>
      <c r="J6833">
        <v>30</v>
      </c>
    </row>
    <row r="6834" spans="1:10" x14ac:dyDescent="0.25">
      <c r="A6834" t="s">
        <v>26</v>
      </c>
      <c r="B6834" t="s">
        <v>20</v>
      </c>
      <c r="C6834" t="s">
        <v>18</v>
      </c>
      <c r="D6834" t="s">
        <v>15</v>
      </c>
      <c r="E6834">
        <v>0</v>
      </c>
      <c r="F6834">
        <v>0.75</v>
      </c>
      <c r="G6834">
        <v>0.49023938179016102</v>
      </c>
      <c r="H6834">
        <v>0</v>
      </c>
      <c r="I6834">
        <v>0</v>
      </c>
      <c r="J6834">
        <v>30</v>
      </c>
    </row>
    <row r="6835" spans="1:10" x14ac:dyDescent="0.25">
      <c r="A6835" t="s">
        <v>26</v>
      </c>
      <c r="B6835" t="s">
        <v>20</v>
      </c>
      <c r="C6835" t="s">
        <v>18</v>
      </c>
      <c r="D6835" t="s">
        <v>15</v>
      </c>
      <c r="E6835">
        <v>0</v>
      </c>
      <c r="F6835">
        <v>0.75</v>
      </c>
      <c r="G6835">
        <v>0.95546507835388095</v>
      </c>
      <c r="H6835">
        <v>1</v>
      </c>
      <c r="I6835">
        <v>9</v>
      </c>
      <c r="J6835">
        <v>30</v>
      </c>
    </row>
    <row r="6836" spans="1:10" x14ac:dyDescent="0.25">
      <c r="A6836" t="s">
        <v>26</v>
      </c>
      <c r="B6836" t="s">
        <v>20</v>
      </c>
      <c r="C6836" t="s">
        <v>18</v>
      </c>
      <c r="D6836" t="s">
        <v>15</v>
      </c>
      <c r="E6836">
        <v>0</v>
      </c>
      <c r="F6836">
        <v>0.75</v>
      </c>
      <c r="G6836">
        <v>0.84495544433593694</v>
      </c>
      <c r="H6836">
        <v>1</v>
      </c>
      <c r="I6836">
        <v>6</v>
      </c>
      <c r="J6836">
        <v>30</v>
      </c>
    </row>
    <row r="6837" spans="1:10" x14ac:dyDescent="0.25">
      <c r="A6837" t="s">
        <v>26</v>
      </c>
      <c r="B6837" t="s">
        <v>20</v>
      </c>
      <c r="C6837" t="s">
        <v>18</v>
      </c>
      <c r="D6837" t="s">
        <v>15</v>
      </c>
      <c r="E6837">
        <v>0</v>
      </c>
      <c r="F6837">
        <v>0.75</v>
      </c>
      <c r="G6837">
        <v>0.75585007667541504</v>
      </c>
      <c r="H6837">
        <v>1</v>
      </c>
      <c r="I6837">
        <v>8</v>
      </c>
      <c r="J6837">
        <v>30</v>
      </c>
    </row>
    <row r="6838" spans="1:10" x14ac:dyDescent="0.25">
      <c r="A6838" t="s">
        <v>26</v>
      </c>
      <c r="B6838" t="s">
        <v>20</v>
      </c>
      <c r="C6838" t="s">
        <v>18</v>
      </c>
      <c r="D6838" t="s">
        <v>15</v>
      </c>
      <c r="E6838">
        <v>0</v>
      </c>
      <c r="F6838">
        <v>0.75</v>
      </c>
      <c r="G6838">
        <v>1.1586947441101001</v>
      </c>
      <c r="H6838">
        <v>2</v>
      </c>
      <c r="I6838">
        <v>10</v>
      </c>
      <c r="J6838">
        <v>30</v>
      </c>
    </row>
    <row r="6839" spans="1:10" x14ac:dyDescent="0.25">
      <c r="A6839" t="s">
        <v>26</v>
      </c>
      <c r="B6839" t="s">
        <v>20</v>
      </c>
      <c r="C6839" t="s">
        <v>18</v>
      </c>
      <c r="D6839" t="s">
        <v>15</v>
      </c>
      <c r="E6839">
        <v>0</v>
      </c>
      <c r="F6839">
        <v>0.75</v>
      </c>
      <c r="G6839">
        <v>1.1746897697448699</v>
      </c>
      <c r="H6839">
        <v>2</v>
      </c>
      <c r="I6839">
        <v>8</v>
      </c>
      <c r="J6839">
        <v>30</v>
      </c>
    </row>
    <row r="6840" spans="1:10" x14ac:dyDescent="0.25">
      <c r="A6840" t="s">
        <v>26</v>
      </c>
      <c r="B6840" t="s">
        <v>20</v>
      </c>
      <c r="C6840" t="s">
        <v>18</v>
      </c>
      <c r="D6840" t="s">
        <v>15</v>
      </c>
      <c r="E6840">
        <v>3.8580246913580201E-4</v>
      </c>
      <c r="F6840">
        <v>0.74998191390173596</v>
      </c>
      <c r="G6840">
        <v>0.986525058746337</v>
      </c>
      <c r="H6840">
        <v>2</v>
      </c>
      <c r="I6840">
        <v>12</v>
      </c>
      <c r="J6840">
        <v>30</v>
      </c>
    </row>
    <row r="6841" spans="1:10" x14ac:dyDescent="0.25">
      <c r="A6841" t="s">
        <v>26</v>
      </c>
      <c r="B6841" t="s">
        <v>20</v>
      </c>
      <c r="C6841" t="s">
        <v>18</v>
      </c>
      <c r="D6841" t="s">
        <v>15</v>
      </c>
      <c r="E6841">
        <v>0</v>
      </c>
      <c r="F6841">
        <v>0.75</v>
      </c>
      <c r="G6841">
        <v>1.4407093524932799</v>
      </c>
      <c r="H6841">
        <v>3</v>
      </c>
      <c r="I6841">
        <v>13</v>
      </c>
      <c r="J6841">
        <v>30</v>
      </c>
    </row>
    <row r="6842" spans="1:10" x14ac:dyDescent="0.25">
      <c r="A6842" t="s">
        <v>26</v>
      </c>
      <c r="B6842" t="s">
        <v>20</v>
      </c>
      <c r="C6842" t="s">
        <v>18</v>
      </c>
      <c r="D6842" t="s">
        <v>16</v>
      </c>
      <c r="E6842">
        <v>0</v>
      </c>
      <c r="F6842">
        <v>0.75</v>
      </c>
      <c r="G6842">
        <v>0.32040762901306102</v>
      </c>
      <c r="H6842">
        <v>0</v>
      </c>
      <c r="I6842">
        <v>0</v>
      </c>
      <c r="J6842">
        <v>30</v>
      </c>
    </row>
    <row r="6843" spans="1:10" x14ac:dyDescent="0.25">
      <c r="A6843" t="s">
        <v>26</v>
      </c>
      <c r="B6843" t="s">
        <v>20</v>
      </c>
      <c r="C6843" t="s">
        <v>18</v>
      </c>
      <c r="D6843" t="s">
        <v>16</v>
      </c>
      <c r="E6843">
        <v>0</v>
      </c>
      <c r="F6843">
        <v>0.75</v>
      </c>
      <c r="G6843">
        <v>0.33238410949706998</v>
      </c>
      <c r="H6843">
        <v>0</v>
      </c>
      <c r="I6843">
        <v>0</v>
      </c>
      <c r="J6843">
        <v>30</v>
      </c>
    </row>
    <row r="6844" spans="1:10" x14ac:dyDescent="0.25">
      <c r="A6844" t="s">
        <v>26</v>
      </c>
      <c r="B6844" t="s">
        <v>20</v>
      </c>
      <c r="C6844" t="s">
        <v>18</v>
      </c>
      <c r="D6844" t="s">
        <v>16</v>
      </c>
      <c r="E6844">
        <v>0</v>
      </c>
      <c r="F6844">
        <v>0.75</v>
      </c>
      <c r="G6844">
        <v>0.326968193054199</v>
      </c>
      <c r="H6844">
        <v>0</v>
      </c>
      <c r="I6844">
        <v>0</v>
      </c>
      <c r="J6844">
        <v>30</v>
      </c>
    </row>
    <row r="6845" spans="1:10" x14ac:dyDescent="0.25">
      <c r="A6845" t="s">
        <v>26</v>
      </c>
      <c r="B6845" t="s">
        <v>20</v>
      </c>
      <c r="C6845" t="s">
        <v>18</v>
      </c>
      <c r="D6845" t="s">
        <v>16</v>
      </c>
      <c r="E6845">
        <v>0</v>
      </c>
      <c r="F6845">
        <v>0.75</v>
      </c>
      <c r="G6845">
        <v>0.34903049468994102</v>
      </c>
      <c r="H6845">
        <v>0</v>
      </c>
      <c r="I6845">
        <v>0</v>
      </c>
      <c r="J6845">
        <v>30</v>
      </c>
    </row>
    <row r="6846" spans="1:10" x14ac:dyDescent="0.25">
      <c r="A6846" t="s">
        <v>26</v>
      </c>
      <c r="B6846" t="s">
        <v>20</v>
      </c>
      <c r="C6846" t="s">
        <v>18</v>
      </c>
      <c r="D6846" t="s">
        <v>16</v>
      </c>
      <c r="E6846">
        <v>0</v>
      </c>
      <c r="F6846">
        <v>0.75</v>
      </c>
      <c r="G6846">
        <v>0.408760786056518</v>
      </c>
      <c r="H6846">
        <v>0</v>
      </c>
      <c r="I6846">
        <v>0</v>
      </c>
      <c r="J6846">
        <v>30</v>
      </c>
    </row>
    <row r="6847" spans="1:10" x14ac:dyDescent="0.25">
      <c r="A6847" t="s">
        <v>26</v>
      </c>
      <c r="B6847" t="s">
        <v>20</v>
      </c>
      <c r="C6847" t="s">
        <v>18</v>
      </c>
      <c r="D6847" t="s">
        <v>16</v>
      </c>
      <c r="E6847">
        <v>0</v>
      </c>
      <c r="F6847">
        <v>0.75</v>
      </c>
      <c r="G6847">
        <v>0.452432870864868</v>
      </c>
      <c r="H6847">
        <v>0</v>
      </c>
      <c r="I6847">
        <v>0</v>
      </c>
      <c r="J6847">
        <v>30</v>
      </c>
    </row>
    <row r="6848" spans="1:10" x14ac:dyDescent="0.25">
      <c r="A6848" t="s">
        <v>26</v>
      </c>
      <c r="B6848" t="s">
        <v>20</v>
      </c>
      <c r="C6848" t="s">
        <v>18</v>
      </c>
      <c r="D6848" t="s">
        <v>16</v>
      </c>
      <c r="E6848">
        <v>0</v>
      </c>
      <c r="F6848">
        <v>0.75</v>
      </c>
      <c r="G6848">
        <v>0.51275229454040505</v>
      </c>
      <c r="H6848">
        <v>0</v>
      </c>
      <c r="I6848">
        <v>0</v>
      </c>
      <c r="J6848">
        <v>30</v>
      </c>
    </row>
    <row r="6849" spans="1:10" x14ac:dyDescent="0.25">
      <c r="A6849" t="s">
        <v>26</v>
      </c>
      <c r="B6849" t="s">
        <v>20</v>
      </c>
      <c r="C6849" t="s">
        <v>18</v>
      </c>
      <c r="D6849" t="s">
        <v>16</v>
      </c>
      <c r="E6849">
        <v>0</v>
      </c>
      <c r="F6849">
        <v>0.75</v>
      </c>
      <c r="G6849">
        <v>0.48299360275268499</v>
      </c>
      <c r="H6849">
        <v>0</v>
      </c>
      <c r="I6849">
        <v>0</v>
      </c>
      <c r="J6849">
        <v>30</v>
      </c>
    </row>
    <row r="6850" spans="1:10" x14ac:dyDescent="0.25">
      <c r="A6850" t="s">
        <v>26</v>
      </c>
      <c r="B6850" t="s">
        <v>20</v>
      </c>
      <c r="C6850" t="s">
        <v>18</v>
      </c>
      <c r="D6850" t="s">
        <v>16</v>
      </c>
      <c r="E6850">
        <v>0</v>
      </c>
      <c r="F6850">
        <v>0.75</v>
      </c>
      <c r="G6850">
        <v>0.45692110061645502</v>
      </c>
      <c r="H6850">
        <v>0</v>
      </c>
      <c r="I6850">
        <v>0</v>
      </c>
      <c r="J6850">
        <v>30</v>
      </c>
    </row>
    <row r="6851" spans="1:10" x14ac:dyDescent="0.25">
      <c r="A6851" t="s">
        <v>26</v>
      </c>
      <c r="B6851" t="s">
        <v>20</v>
      </c>
      <c r="C6851" t="s">
        <v>18</v>
      </c>
      <c r="D6851" t="s">
        <v>16</v>
      </c>
      <c r="E6851">
        <v>0</v>
      </c>
      <c r="F6851">
        <v>0.75</v>
      </c>
      <c r="G6851">
        <v>0.47453117370605402</v>
      </c>
      <c r="H6851">
        <v>0</v>
      </c>
      <c r="I6851">
        <v>0</v>
      </c>
      <c r="J6851">
        <v>30</v>
      </c>
    </row>
    <row r="6852" spans="1:10" x14ac:dyDescent="0.25">
      <c r="A6852" t="s">
        <v>26</v>
      </c>
      <c r="B6852" t="s">
        <v>20</v>
      </c>
      <c r="C6852" t="s">
        <v>18</v>
      </c>
      <c r="D6852" t="s">
        <v>16</v>
      </c>
      <c r="E6852">
        <v>0</v>
      </c>
      <c r="F6852">
        <v>0.75</v>
      </c>
      <c r="G6852">
        <v>0.46899294853210399</v>
      </c>
      <c r="H6852">
        <v>0</v>
      </c>
      <c r="I6852">
        <v>0</v>
      </c>
      <c r="J6852">
        <v>30</v>
      </c>
    </row>
    <row r="6853" spans="1:10" x14ac:dyDescent="0.25">
      <c r="A6853" t="s">
        <v>26</v>
      </c>
      <c r="B6853" t="s">
        <v>20</v>
      </c>
      <c r="C6853" t="s">
        <v>18</v>
      </c>
      <c r="D6853" t="s">
        <v>16</v>
      </c>
      <c r="E6853">
        <v>0</v>
      </c>
      <c r="F6853">
        <v>0.75</v>
      </c>
      <c r="G6853">
        <v>0.47454261779785101</v>
      </c>
      <c r="H6853">
        <v>0</v>
      </c>
      <c r="I6853">
        <v>0</v>
      </c>
      <c r="J6853">
        <v>30</v>
      </c>
    </row>
    <row r="6854" spans="1:10" x14ac:dyDescent="0.25">
      <c r="A6854" t="s">
        <v>26</v>
      </c>
      <c r="B6854" t="s">
        <v>20</v>
      </c>
      <c r="C6854" t="s">
        <v>18</v>
      </c>
      <c r="D6854" t="s">
        <v>16</v>
      </c>
      <c r="E6854">
        <v>0</v>
      </c>
      <c r="F6854">
        <v>0.75</v>
      </c>
      <c r="G6854">
        <v>0.458977460861206</v>
      </c>
      <c r="H6854">
        <v>0</v>
      </c>
      <c r="I6854">
        <v>0</v>
      </c>
      <c r="J6854">
        <v>30</v>
      </c>
    </row>
    <row r="6855" spans="1:10" x14ac:dyDescent="0.25">
      <c r="A6855" t="s">
        <v>26</v>
      </c>
      <c r="B6855" t="s">
        <v>20</v>
      </c>
      <c r="C6855" t="s">
        <v>18</v>
      </c>
      <c r="D6855" t="s">
        <v>16</v>
      </c>
      <c r="E6855">
        <v>0</v>
      </c>
      <c r="F6855">
        <v>0.75</v>
      </c>
      <c r="G6855">
        <v>0.46455740928649902</v>
      </c>
      <c r="H6855">
        <v>0</v>
      </c>
      <c r="I6855">
        <v>0</v>
      </c>
      <c r="J6855">
        <v>30</v>
      </c>
    </row>
    <row r="6856" spans="1:10" x14ac:dyDescent="0.25">
      <c r="A6856" t="s">
        <v>26</v>
      </c>
      <c r="B6856" t="s">
        <v>20</v>
      </c>
      <c r="C6856" t="s">
        <v>18</v>
      </c>
      <c r="D6856" t="s">
        <v>16</v>
      </c>
      <c r="E6856">
        <v>0</v>
      </c>
      <c r="F6856">
        <v>0.75</v>
      </c>
      <c r="G6856">
        <v>0.49508762359619102</v>
      </c>
      <c r="H6856">
        <v>0</v>
      </c>
      <c r="I6856">
        <v>0</v>
      </c>
      <c r="J6856">
        <v>30</v>
      </c>
    </row>
    <row r="6857" spans="1:10" x14ac:dyDescent="0.25">
      <c r="A6857" t="s">
        <v>26</v>
      </c>
      <c r="B6857" t="s">
        <v>20</v>
      </c>
      <c r="C6857" t="s">
        <v>18</v>
      </c>
      <c r="D6857" t="s">
        <v>16</v>
      </c>
      <c r="E6857">
        <v>0</v>
      </c>
      <c r="F6857">
        <v>0.75</v>
      </c>
      <c r="G6857">
        <v>0.46407437324523898</v>
      </c>
      <c r="H6857">
        <v>0</v>
      </c>
      <c r="I6857">
        <v>0</v>
      </c>
      <c r="J6857">
        <v>30</v>
      </c>
    </row>
    <row r="6858" spans="1:10" x14ac:dyDescent="0.25">
      <c r="A6858" t="s">
        <v>26</v>
      </c>
      <c r="B6858" t="s">
        <v>20</v>
      </c>
      <c r="C6858" t="s">
        <v>18</v>
      </c>
      <c r="D6858" t="s">
        <v>16</v>
      </c>
      <c r="E6858">
        <v>0</v>
      </c>
      <c r="F6858">
        <v>0.75</v>
      </c>
      <c r="G6858">
        <v>0.46852898597717202</v>
      </c>
      <c r="H6858">
        <v>0</v>
      </c>
      <c r="I6858">
        <v>0</v>
      </c>
      <c r="J6858">
        <v>30</v>
      </c>
    </row>
    <row r="6859" spans="1:10" x14ac:dyDescent="0.25">
      <c r="A6859" t="s">
        <v>26</v>
      </c>
      <c r="B6859" t="s">
        <v>20</v>
      </c>
      <c r="C6859" t="s">
        <v>18</v>
      </c>
      <c r="D6859" t="s">
        <v>16</v>
      </c>
      <c r="E6859">
        <v>0</v>
      </c>
      <c r="F6859">
        <v>0.75</v>
      </c>
      <c r="G6859">
        <v>0.49716067314147899</v>
      </c>
      <c r="H6859">
        <v>0</v>
      </c>
      <c r="I6859">
        <v>0</v>
      </c>
      <c r="J6859">
        <v>30</v>
      </c>
    </row>
    <row r="6860" spans="1:10" x14ac:dyDescent="0.25">
      <c r="A6860" t="s">
        <v>26</v>
      </c>
      <c r="B6860" t="s">
        <v>20</v>
      </c>
      <c r="C6860" t="s">
        <v>18</v>
      </c>
      <c r="D6860" t="s">
        <v>16</v>
      </c>
      <c r="E6860">
        <v>0</v>
      </c>
      <c r="F6860">
        <v>0.75</v>
      </c>
      <c r="G6860">
        <v>0.476598501205444</v>
      </c>
      <c r="H6860">
        <v>0</v>
      </c>
      <c r="I6860">
        <v>0</v>
      </c>
      <c r="J6860">
        <v>30</v>
      </c>
    </row>
    <row r="6861" spans="1:10" x14ac:dyDescent="0.25">
      <c r="A6861" t="s">
        <v>26</v>
      </c>
      <c r="B6861" t="s">
        <v>20</v>
      </c>
      <c r="C6861" t="s">
        <v>18</v>
      </c>
      <c r="D6861" t="s">
        <v>16</v>
      </c>
      <c r="E6861">
        <v>0</v>
      </c>
      <c r="F6861">
        <v>0.75</v>
      </c>
      <c r="G6861">
        <v>0.43149852752685502</v>
      </c>
      <c r="H6861">
        <v>0</v>
      </c>
      <c r="I6861">
        <v>0</v>
      </c>
      <c r="J6861">
        <v>30</v>
      </c>
    </row>
    <row r="6862" spans="1:10" x14ac:dyDescent="0.25">
      <c r="A6862" t="s">
        <v>26</v>
      </c>
      <c r="B6862" t="s">
        <v>20</v>
      </c>
      <c r="C6862" t="s">
        <v>18</v>
      </c>
      <c r="D6862" t="s">
        <v>16</v>
      </c>
      <c r="E6862">
        <v>0</v>
      </c>
      <c r="F6862">
        <v>0.75</v>
      </c>
      <c r="G6862">
        <v>0.45507240295410101</v>
      </c>
      <c r="H6862">
        <v>0</v>
      </c>
      <c r="I6862">
        <v>0</v>
      </c>
      <c r="J6862">
        <v>30</v>
      </c>
    </row>
    <row r="6863" spans="1:10" x14ac:dyDescent="0.25">
      <c r="A6863" t="s">
        <v>26</v>
      </c>
      <c r="B6863" t="s">
        <v>20</v>
      </c>
      <c r="C6863" t="s">
        <v>18</v>
      </c>
      <c r="D6863" t="s">
        <v>16</v>
      </c>
      <c r="E6863">
        <v>0</v>
      </c>
      <c r="F6863">
        <v>0.75</v>
      </c>
      <c r="G6863">
        <v>0.47773265838623002</v>
      </c>
      <c r="H6863">
        <v>0</v>
      </c>
      <c r="I6863">
        <v>0</v>
      </c>
      <c r="J6863">
        <v>30</v>
      </c>
    </row>
    <row r="6864" spans="1:10" x14ac:dyDescent="0.25">
      <c r="A6864" t="s">
        <v>26</v>
      </c>
      <c r="B6864" t="s">
        <v>20</v>
      </c>
      <c r="C6864" t="s">
        <v>18</v>
      </c>
      <c r="D6864" t="s">
        <v>16</v>
      </c>
      <c r="E6864">
        <v>0</v>
      </c>
      <c r="F6864">
        <v>0.75</v>
      </c>
      <c r="G6864">
        <v>0.40192866325378401</v>
      </c>
      <c r="H6864">
        <v>0</v>
      </c>
      <c r="I6864">
        <v>0</v>
      </c>
      <c r="J6864">
        <v>30</v>
      </c>
    </row>
    <row r="6865" spans="1:10" x14ac:dyDescent="0.25">
      <c r="A6865" t="s">
        <v>26</v>
      </c>
      <c r="B6865" t="s">
        <v>20</v>
      </c>
      <c r="C6865" t="s">
        <v>18</v>
      </c>
      <c r="D6865" t="s">
        <v>16</v>
      </c>
      <c r="E6865">
        <v>0</v>
      </c>
      <c r="F6865">
        <v>0.75</v>
      </c>
      <c r="G6865">
        <v>0.43806433677673301</v>
      </c>
      <c r="H6865">
        <v>0</v>
      </c>
      <c r="I6865">
        <v>0</v>
      </c>
      <c r="J6865">
        <v>30</v>
      </c>
    </row>
    <row r="6866" spans="1:10" x14ac:dyDescent="0.25">
      <c r="A6866" t="s">
        <v>26</v>
      </c>
      <c r="B6866" t="s">
        <v>20</v>
      </c>
      <c r="C6866" t="s">
        <v>18</v>
      </c>
      <c r="D6866" t="s">
        <v>16</v>
      </c>
      <c r="E6866">
        <v>0.32523148148148101</v>
      </c>
      <c r="F6866">
        <v>0.83130732915265904</v>
      </c>
      <c r="G6866">
        <v>0.62381434440612704</v>
      </c>
      <c r="H6866">
        <v>1</v>
      </c>
      <c r="I6866">
        <v>1</v>
      </c>
      <c r="J6866">
        <v>30</v>
      </c>
    </row>
    <row r="6867" spans="1:10" x14ac:dyDescent="0.25">
      <c r="A6867" t="s">
        <v>26</v>
      </c>
      <c r="B6867" t="s">
        <v>20</v>
      </c>
      <c r="C6867" t="s">
        <v>18</v>
      </c>
      <c r="D6867" t="s">
        <v>16</v>
      </c>
      <c r="E6867">
        <v>0</v>
      </c>
      <c r="F6867">
        <v>0.75</v>
      </c>
      <c r="G6867">
        <v>0.41648817062377902</v>
      </c>
      <c r="H6867">
        <v>0</v>
      </c>
      <c r="I6867">
        <v>0</v>
      </c>
      <c r="J6867">
        <v>30</v>
      </c>
    </row>
    <row r="6868" spans="1:10" x14ac:dyDescent="0.25">
      <c r="A6868" t="s">
        <v>26</v>
      </c>
      <c r="B6868" t="s">
        <v>20</v>
      </c>
      <c r="C6868" t="s">
        <v>18</v>
      </c>
      <c r="D6868" t="s">
        <v>16</v>
      </c>
      <c r="E6868">
        <v>0</v>
      </c>
      <c r="F6868">
        <v>0.75</v>
      </c>
      <c r="G6868">
        <v>0.38784050941467202</v>
      </c>
      <c r="H6868">
        <v>0</v>
      </c>
      <c r="I6868">
        <v>0</v>
      </c>
      <c r="J6868">
        <v>30</v>
      </c>
    </row>
    <row r="6869" spans="1:10" x14ac:dyDescent="0.25">
      <c r="A6869" t="s">
        <v>26</v>
      </c>
      <c r="B6869" t="s">
        <v>20</v>
      </c>
      <c r="C6869" t="s">
        <v>18</v>
      </c>
      <c r="D6869" t="s">
        <v>16</v>
      </c>
      <c r="E6869">
        <v>0</v>
      </c>
      <c r="F6869">
        <v>0.75</v>
      </c>
      <c r="G6869">
        <v>0.3938889503479</v>
      </c>
      <c r="H6869">
        <v>0</v>
      </c>
      <c r="I6869">
        <v>0</v>
      </c>
      <c r="J6869">
        <v>30</v>
      </c>
    </row>
    <row r="6870" spans="1:10" x14ac:dyDescent="0.25">
      <c r="A6870" t="s">
        <v>26</v>
      </c>
      <c r="B6870" t="s">
        <v>20</v>
      </c>
      <c r="C6870" t="s">
        <v>18</v>
      </c>
      <c r="D6870" t="s">
        <v>16</v>
      </c>
      <c r="E6870">
        <v>0</v>
      </c>
      <c r="F6870">
        <v>0.75</v>
      </c>
      <c r="G6870">
        <v>0.36417007446289001</v>
      </c>
      <c r="H6870">
        <v>0</v>
      </c>
      <c r="I6870">
        <v>0</v>
      </c>
      <c r="J6870">
        <v>30</v>
      </c>
    </row>
    <row r="6871" spans="1:10" x14ac:dyDescent="0.25">
      <c r="A6871" t="s">
        <v>26</v>
      </c>
      <c r="B6871" t="s">
        <v>20</v>
      </c>
      <c r="C6871" t="s">
        <v>18</v>
      </c>
      <c r="D6871" t="s">
        <v>16</v>
      </c>
      <c r="E6871">
        <v>0</v>
      </c>
      <c r="F6871">
        <v>0.75</v>
      </c>
      <c r="G6871">
        <v>0.36172080039978</v>
      </c>
      <c r="H6871">
        <v>0</v>
      </c>
      <c r="I6871">
        <v>0</v>
      </c>
      <c r="J6871">
        <v>30</v>
      </c>
    </row>
    <row r="6872" spans="1:10" x14ac:dyDescent="0.25">
      <c r="A6872" t="s">
        <v>26</v>
      </c>
      <c r="B6872" t="s">
        <v>20</v>
      </c>
      <c r="C6872" t="s">
        <v>18</v>
      </c>
      <c r="D6872" t="s">
        <v>17</v>
      </c>
      <c r="E6872">
        <v>0.225308641975308</v>
      </c>
      <c r="F6872">
        <v>0.76387713422484405</v>
      </c>
      <c r="G6872">
        <v>70.467105150222693</v>
      </c>
      <c r="H6872">
        <v>152</v>
      </c>
      <c r="I6872">
        <v>45</v>
      </c>
      <c r="J6872">
        <v>30</v>
      </c>
    </row>
    <row r="6873" spans="1:10" x14ac:dyDescent="0.25">
      <c r="A6873" t="s">
        <v>26</v>
      </c>
      <c r="B6873" t="s">
        <v>20</v>
      </c>
      <c r="C6873" t="s">
        <v>18</v>
      </c>
      <c r="D6873" t="s">
        <v>17</v>
      </c>
      <c r="E6873">
        <v>0.22916666666666599</v>
      </c>
      <c r="F6873">
        <v>0.76186988932839395</v>
      </c>
      <c r="G6873">
        <v>94.222993850707994</v>
      </c>
      <c r="H6873">
        <v>241</v>
      </c>
      <c r="I6873">
        <v>45</v>
      </c>
      <c r="J6873">
        <v>30</v>
      </c>
    </row>
    <row r="6874" spans="1:10" x14ac:dyDescent="0.25">
      <c r="A6874" t="s">
        <v>26</v>
      </c>
      <c r="B6874" t="s">
        <v>20</v>
      </c>
      <c r="C6874" t="s">
        <v>18</v>
      </c>
      <c r="D6874" t="s">
        <v>17</v>
      </c>
      <c r="E6874">
        <v>0.24768518518518501</v>
      </c>
      <c r="F6874">
        <v>0.76198398281203605</v>
      </c>
      <c r="G6874">
        <v>103.498519659042</v>
      </c>
      <c r="H6874">
        <v>294</v>
      </c>
      <c r="I6874">
        <v>45</v>
      </c>
      <c r="J6874">
        <v>30</v>
      </c>
    </row>
    <row r="6875" spans="1:10" x14ac:dyDescent="0.25">
      <c r="A6875" t="s">
        <v>26</v>
      </c>
      <c r="B6875" t="s">
        <v>20</v>
      </c>
      <c r="C6875" t="s">
        <v>18</v>
      </c>
      <c r="D6875" t="s">
        <v>17</v>
      </c>
      <c r="E6875">
        <v>0.22415123456790101</v>
      </c>
      <c r="F6875">
        <v>0.75946204229120096</v>
      </c>
      <c r="G6875">
        <v>127.38027811050399</v>
      </c>
      <c r="H6875">
        <v>368</v>
      </c>
      <c r="I6875">
        <v>48</v>
      </c>
      <c r="J6875">
        <v>30</v>
      </c>
    </row>
    <row r="6876" spans="1:10" x14ac:dyDescent="0.25">
      <c r="A6876" t="s">
        <v>26</v>
      </c>
      <c r="B6876" t="s">
        <v>20</v>
      </c>
      <c r="C6876" t="s">
        <v>18</v>
      </c>
      <c r="D6876" t="s">
        <v>17</v>
      </c>
      <c r="E6876">
        <v>0.24652777777777701</v>
      </c>
      <c r="F6876">
        <v>0.75918861220513201</v>
      </c>
      <c r="G6876">
        <v>128.74342274665801</v>
      </c>
      <c r="H6876">
        <v>371</v>
      </c>
      <c r="I6876">
        <v>48</v>
      </c>
      <c r="J6876">
        <v>30</v>
      </c>
    </row>
    <row r="6877" spans="1:10" x14ac:dyDescent="0.25">
      <c r="A6877" t="s">
        <v>26</v>
      </c>
      <c r="B6877" t="s">
        <v>20</v>
      </c>
      <c r="C6877" t="s">
        <v>18</v>
      </c>
      <c r="D6877" t="s">
        <v>17</v>
      </c>
      <c r="E6877">
        <v>0.235339506172839</v>
      </c>
      <c r="F6877">
        <v>0.74672103310096405</v>
      </c>
      <c r="G6877">
        <v>134.46280908584501</v>
      </c>
      <c r="H6877">
        <v>443</v>
      </c>
      <c r="I6877">
        <v>47</v>
      </c>
      <c r="J6877">
        <v>30</v>
      </c>
    </row>
    <row r="6878" spans="1:10" x14ac:dyDescent="0.25">
      <c r="A6878" t="s">
        <v>26</v>
      </c>
      <c r="B6878" t="s">
        <v>20</v>
      </c>
      <c r="C6878" t="s">
        <v>18</v>
      </c>
      <c r="D6878" t="s">
        <v>17</v>
      </c>
      <c r="E6878">
        <v>0.23611111111111099</v>
      </c>
      <c r="F6878">
        <v>0.75394394853452795</v>
      </c>
      <c r="G6878">
        <v>189.19702529907201</v>
      </c>
      <c r="H6878">
        <v>647</v>
      </c>
      <c r="I6878">
        <v>48</v>
      </c>
      <c r="J6878">
        <v>30</v>
      </c>
    </row>
    <row r="6879" spans="1:10" x14ac:dyDescent="0.25">
      <c r="A6879" t="s">
        <v>26</v>
      </c>
      <c r="B6879" t="s">
        <v>20</v>
      </c>
      <c r="C6879" t="s">
        <v>18</v>
      </c>
      <c r="D6879" t="s">
        <v>17</v>
      </c>
      <c r="E6879">
        <v>0.27893518518518501</v>
      </c>
      <c r="F6879">
        <v>0.745278081332444</v>
      </c>
      <c r="G6879">
        <v>191.10598230361899</v>
      </c>
      <c r="H6879">
        <v>843</v>
      </c>
      <c r="I6879">
        <v>49</v>
      </c>
      <c r="J6879">
        <v>30</v>
      </c>
    </row>
    <row r="6880" spans="1:10" x14ac:dyDescent="0.25">
      <c r="A6880" t="s">
        <v>26</v>
      </c>
      <c r="B6880" t="s">
        <v>20</v>
      </c>
      <c r="C6880" t="s">
        <v>18</v>
      </c>
      <c r="D6880" t="s">
        <v>17</v>
      </c>
      <c r="E6880">
        <v>0.27546296296296202</v>
      </c>
      <c r="F6880">
        <v>0.73926237047588605</v>
      </c>
      <c r="G6880">
        <v>207.18089509010301</v>
      </c>
      <c r="H6880">
        <v>919</v>
      </c>
      <c r="I6880">
        <v>50</v>
      </c>
      <c r="J6880">
        <v>30</v>
      </c>
    </row>
    <row r="6881" spans="1:10" x14ac:dyDescent="0.25">
      <c r="A6881" t="s">
        <v>26</v>
      </c>
      <c r="B6881" t="s">
        <v>20</v>
      </c>
      <c r="C6881" t="s">
        <v>18</v>
      </c>
      <c r="D6881" t="s">
        <v>17</v>
      </c>
      <c r="E6881">
        <v>0.27469135802469102</v>
      </c>
      <c r="F6881">
        <v>0.74841823481106995</v>
      </c>
      <c r="G6881">
        <v>213.23246479034401</v>
      </c>
      <c r="H6881">
        <v>776</v>
      </c>
      <c r="I6881">
        <v>48</v>
      </c>
      <c r="J6881">
        <v>30</v>
      </c>
    </row>
    <row r="6882" spans="1:10" x14ac:dyDescent="0.25">
      <c r="A6882" t="s">
        <v>26</v>
      </c>
      <c r="B6882" t="s">
        <v>20</v>
      </c>
      <c r="C6882" t="s">
        <v>18</v>
      </c>
      <c r="D6882" t="s">
        <v>17</v>
      </c>
      <c r="E6882">
        <v>0.23919753086419701</v>
      </c>
      <c r="F6882">
        <v>0.75183628590123397</v>
      </c>
      <c r="G6882">
        <v>215.17681074142399</v>
      </c>
      <c r="H6882">
        <v>749</v>
      </c>
      <c r="I6882">
        <v>48</v>
      </c>
      <c r="J6882">
        <v>30</v>
      </c>
    </row>
    <row r="6883" spans="1:10" x14ac:dyDescent="0.25">
      <c r="A6883" t="s">
        <v>26</v>
      </c>
      <c r="B6883" t="s">
        <v>20</v>
      </c>
      <c r="C6883" t="s">
        <v>18</v>
      </c>
      <c r="D6883" t="s">
        <v>17</v>
      </c>
      <c r="E6883">
        <v>0.27623456790123402</v>
      </c>
      <c r="F6883">
        <v>0.74405650262210599</v>
      </c>
      <c r="G6883">
        <v>225.08864021301201</v>
      </c>
      <c r="H6883">
        <v>900</v>
      </c>
      <c r="I6883">
        <v>49</v>
      </c>
      <c r="J6883">
        <v>30</v>
      </c>
    </row>
    <row r="6884" spans="1:10" x14ac:dyDescent="0.25">
      <c r="A6884" t="s">
        <v>26</v>
      </c>
      <c r="B6884" t="s">
        <v>20</v>
      </c>
      <c r="C6884" t="s">
        <v>18</v>
      </c>
      <c r="D6884" t="s">
        <v>17</v>
      </c>
      <c r="E6884">
        <v>0.27391975308641903</v>
      </c>
      <c r="F6884">
        <v>0.75048624831149702</v>
      </c>
      <c r="G6884">
        <v>233.97252607345499</v>
      </c>
      <c r="H6884">
        <v>926</v>
      </c>
      <c r="I6884">
        <v>49</v>
      </c>
      <c r="J6884">
        <v>30</v>
      </c>
    </row>
    <row r="6885" spans="1:10" x14ac:dyDescent="0.25">
      <c r="A6885" t="s">
        <v>26</v>
      </c>
      <c r="B6885" t="s">
        <v>20</v>
      </c>
      <c r="C6885" t="s">
        <v>18</v>
      </c>
      <c r="D6885" t="s">
        <v>17</v>
      </c>
      <c r="E6885">
        <v>0.29938271604938199</v>
      </c>
      <c r="F6885">
        <v>0.74537501738090195</v>
      </c>
      <c r="G6885">
        <v>244.000285863876</v>
      </c>
      <c r="H6885">
        <v>1073</v>
      </c>
      <c r="I6885">
        <v>49</v>
      </c>
      <c r="J6885">
        <v>30</v>
      </c>
    </row>
    <row r="6886" spans="1:10" x14ac:dyDescent="0.25">
      <c r="A6886" t="s">
        <v>26</v>
      </c>
      <c r="B6886" t="s">
        <v>20</v>
      </c>
      <c r="C6886" t="s">
        <v>18</v>
      </c>
      <c r="D6886" t="s">
        <v>17</v>
      </c>
      <c r="E6886">
        <v>0.25540123456790098</v>
      </c>
      <c r="F6886">
        <v>0.74635157338950497</v>
      </c>
      <c r="G6886">
        <v>247.598683357238</v>
      </c>
      <c r="H6886">
        <v>998</v>
      </c>
      <c r="I6886">
        <v>47</v>
      </c>
      <c r="J6886">
        <v>30</v>
      </c>
    </row>
    <row r="6887" spans="1:10" x14ac:dyDescent="0.25">
      <c r="A6887" t="s">
        <v>26</v>
      </c>
      <c r="B6887" t="s">
        <v>20</v>
      </c>
      <c r="C6887" t="s">
        <v>18</v>
      </c>
      <c r="D6887" t="s">
        <v>17</v>
      </c>
      <c r="E6887">
        <v>0.27507716049382702</v>
      </c>
      <c r="F6887">
        <v>0.73642240966593298</v>
      </c>
      <c r="G6887">
        <v>248.79031038284299</v>
      </c>
      <c r="H6887">
        <v>1056</v>
      </c>
      <c r="I6887">
        <v>49</v>
      </c>
      <c r="J6887">
        <v>30</v>
      </c>
    </row>
    <row r="6888" spans="1:10" x14ac:dyDescent="0.25">
      <c r="A6888" t="s">
        <v>26</v>
      </c>
      <c r="B6888" t="s">
        <v>20</v>
      </c>
      <c r="C6888" t="s">
        <v>18</v>
      </c>
      <c r="D6888" t="s">
        <v>17</v>
      </c>
      <c r="E6888">
        <v>0.297067901234567</v>
      </c>
      <c r="F6888">
        <v>0.73985258536562204</v>
      </c>
      <c r="G6888">
        <v>251.53851842880201</v>
      </c>
      <c r="H6888">
        <v>1240</v>
      </c>
      <c r="I6888">
        <v>50</v>
      </c>
      <c r="J6888">
        <v>30</v>
      </c>
    </row>
    <row r="6889" spans="1:10" x14ac:dyDescent="0.25">
      <c r="A6889" t="s">
        <v>26</v>
      </c>
      <c r="B6889" t="s">
        <v>20</v>
      </c>
      <c r="C6889" t="s">
        <v>18</v>
      </c>
      <c r="D6889" t="s">
        <v>17</v>
      </c>
      <c r="E6889">
        <v>0.27507716049382702</v>
      </c>
      <c r="F6889">
        <v>0.74408721469602501</v>
      </c>
      <c r="G6889">
        <v>251.72880172729401</v>
      </c>
      <c r="H6889">
        <v>947</v>
      </c>
      <c r="I6889">
        <v>49</v>
      </c>
      <c r="J6889">
        <v>30</v>
      </c>
    </row>
    <row r="6890" spans="1:10" x14ac:dyDescent="0.25">
      <c r="A6890" t="s">
        <v>26</v>
      </c>
      <c r="B6890" t="s">
        <v>20</v>
      </c>
      <c r="C6890" t="s">
        <v>18</v>
      </c>
      <c r="D6890" t="s">
        <v>17</v>
      </c>
      <c r="E6890">
        <v>0.26388888888888801</v>
      </c>
      <c r="F6890">
        <v>0.73360082894270595</v>
      </c>
      <c r="G6890">
        <v>256.356067895889</v>
      </c>
      <c r="H6890">
        <v>1160</v>
      </c>
      <c r="I6890">
        <v>50</v>
      </c>
      <c r="J6890">
        <v>30</v>
      </c>
    </row>
    <row r="6891" spans="1:10" x14ac:dyDescent="0.25">
      <c r="A6891" t="s">
        <v>26</v>
      </c>
      <c r="B6891" t="s">
        <v>20</v>
      </c>
      <c r="C6891" t="s">
        <v>18</v>
      </c>
      <c r="D6891" t="s">
        <v>17</v>
      </c>
      <c r="E6891">
        <v>0.282407407407407</v>
      </c>
      <c r="F6891">
        <v>0.74563071994517505</v>
      </c>
      <c r="G6891">
        <v>261.31704998016301</v>
      </c>
      <c r="H6891">
        <v>1132</v>
      </c>
      <c r="I6891">
        <v>50</v>
      </c>
      <c r="J6891">
        <v>30</v>
      </c>
    </row>
    <row r="6892" spans="1:10" x14ac:dyDescent="0.25">
      <c r="A6892" t="s">
        <v>26</v>
      </c>
      <c r="B6892" t="s">
        <v>20</v>
      </c>
      <c r="C6892" t="s">
        <v>18</v>
      </c>
      <c r="D6892" t="s">
        <v>17</v>
      </c>
      <c r="E6892">
        <v>0.27739197530864101</v>
      </c>
      <c r="F6892">
        <v>0.74190003518880998</v>
      </c>
      <c r="G6892">
        <v>263.09700393676701</v>
      </c>
      <c r="H6892">
        <v>1200</v>
      </c>
      <c r="I6892">
        <v>51</v>
      </c>
      <c r="J6892">
        <v>30</v>
      </c>
    </row>
    <row r="6893" spans="1:10" x14ac:dyDescent="0.25">
      <c r="A6893" t="s">
        <v>26</v>
      </c>
      <c r="B6893" t="s">
        <v>20</v>
      </c>
      <c r="C6893" t="s">
        <v>18</v>
      </c>
      <c r="D6893" t="s">
        <v>17</v>
      </c>
      <c r="E6893">
        <v>0.28472222222222199</v>
      </c>
      <c r="F6893">
        <v>0.73636676221693498</v>
      </c>
      <c r="G6893">
        <v>268.061969041824</v>
      </c>
      <c r="H6893">
        <v>1258</v>
      </c>
      <c r="I6893">
        <v>47</v>
      </c>
      <c r="J6893">
        <v>30</v>
      </c>
    </row>
    <row r="6894" spans="1:10" x14ac:dyDescent="0.25">
      <c r="A6894" t="s">
        <v>26</v>
      </c>
      <c r="B6894" t="s">
        <v>20</v>
      </c>
      <c r="C6894" t="s">
        <v>18</v>
      </c>
      <c r="D6894" t="s">
        <v>17</v>
      </c>
      <c r="E6894">
        <v>0.27546296296296202</v>
      </c>
      <c r="F6894">
        <v>0.73865628421601004</v>
      </c>
      <c r="G6894">
        <v>269.949523210525</v>
      </c>
      <c r="H6894">
        <v>1295</v>
      </c>
      <c r="I6894">
        <v>48</v>
      </c>
      <c r="J6894">
        <v>30</v>
      </c>
    </row>
    <row r="6895" spans="1:10" x14ac:dyDescent="0.25">
      <c r="A6895" t="s">
        <v>26</v>
      </c>
      <c r="B6895" t="s">
        <v>20</v>
      </c>
      <c r="C6895" t="s">
        <v>18</v>
      </c>
      <c r="D6895" t="s">
        <v>17</v>
      </c>
      <c r="E6895">
        <v>0.30054012345678999</v>
      </c>
      <c r="F6895">
        <v>0.73746303114440304</v>
      </c>
      <c r="G6895">
        <v>270.12713527679398</v>
      </c>
      <c r="H6895">
        <v>1295</v>
      </c>
      <c r="I6895">
        <v>49</v>
      </c>
      <c r="J6895">
        <v>30</v>
      </c>
    </row>
    <row r="6896" spans="1:10" x14ac:dyDescent="0.25">
      <c r="A6896" t="s">
        <v>26</v>
      </c>
      <c r="B6896" t="s">
        <v>20</v>
      </c>
      <c r="C6896" t="s">
        <v>18</v>
      </c>
      <c r="D6896" t="s">
        <v>17</v>
      </c>
      <c r="E6896">
        <v>0.27854938271604901</v>
      </c>
      <c r="F6896">
        <v>0.72925079529540904</v>
      </c>
      <c r="G6896">
        <v>270.17620301246598</v>
      </c>
      <c r="H6896">
        <v>1319</v>
      </c>
      <c r="I6896">
        <v>48</v>
      </c>
      <c r="J6896">
        <v>30</v>
      </c>
    </row>
    <row r="6897" spans="1:10" x14ac:dyDescent="0.25">
      <c r="A6897" t="s">
        <v>26</v>
      </c>
      <c r="B6897" t="s">
        <v>20</v>
      </c>
      <c r="C6897" t="s">
        <v>18</v>
      </c>
      <c r="D6897" t="s">
        <v>17</v>
      </c>
      <c r="E6897">
        <v>0.30478395061728297</v>
      </c>
      <c r="F6897">
        <v>0.74473719432905106</v>
      </c>
      <c r="G6897">
        <v>275.76958727836598</v>
      </c>
      <c r="H6897">
        <v>1319</v>
      </c>
      <c r="I6897">
        <v>50</v>
      </c>
      <c r="J6897">
        <v>30</v>
      </c>
    </row>
    <row r="6898" spans="1:10" x14ac:dyDescent="0.25">
      <c r="A6898" t="s">
        <v>26</v>
      </c>
      <c r="B6898" t="s">
        <v>20</v>
      </c>
      <c r="C6898" t="s">
        <v>18</v>
      </c>
      <c r="D6898" t="s">
        <v>17</v>
      </c>
      <c r="E6898">
        <v>0.313271604938271</v>
      </c>
      <c r="F6898">
        <v>0.72701476616068506</v>
      </c>
      <c r="G6898">
        <v>276.84805822372402</v>
      </c>
      <c r="H6898">
        <v>1693</v>
      </c>
      <c r="I6898">
        <v>50</v>
      </c>
      <c r="J6898">
        <v>30</v>
      </c>
    </row>
    <row r="6899" spans="1:10" x14ac:dyDescent="0.25">
      <c r="A6899" t="s">
        <v>26</v>
      </c>
      <c r="B6899" t="s">
        <v>20</v>
      </c>
      <c r="C6899" t="s">
        <v>18</v>
      </c>
      <c r="D6899" t="s">
        <v>17</v>
      </c>
      <c r="E6899">
        <v>0.28510802469135799</v>
      </c>
      <c r="F6899">
        <v>0.73449686369884204</v>
      </c>
      <c r="G6899">
        <v>289.18070149421601</v>
      </c>
      <c r="H6899">
        <v>1550</v>
      </c>
      <c r="I6899">
        <v>49</v>
      </c>
      <c r="J6899">
        <v>30</v>
      </c>
    </row>
    <row r="6900" spans="1:10" x14ac:dyDescent="0.25">
      <c r="A6900" t="s">
        <v>26</v>
      </c>
      <c r="B6900" t="s">
        <v>20</v>
      </c>
      <c r="C6900" t="s">
        <v>18</v>
      </c>
      <c r="D6900" t="s">
        <v>17</v>
      </c>
      <c r="E6900">
        <v>0.31674382716049299</v>
      </c>
      <c r="F6900">
        <v>0.728127160533526</v>
      </c>
      <c r="G6900">
        <v>299.95138764381397</v>
      </c>
      <c r="H6900">
        <v>1798</v>
      </c>
      <c r="I6900">
        <v>51</v>
      </c>
      <c r="J6900">
        <v>30</v>
      </c>
    </row>
    <row r="6901" spans="1:10" x14ac:dyDescent="0.25">
      <c r="A6901" t="s">
        <v>26</v>
      </c>
      <c r="B6901" t="s">
        <v>20</v>
      </c>
      <c r="C6901" t="s">
        <v>18</v>
      </c>
      <c r="D6901" t="s">
        <v>17</v>
      </c>
      <c r="E6901">
        <v>0.31674382716049299</v>
      </c>
      <c r="F6901">
        <v>0.71471042716241995</v>
      </c>
      <c r="G6901">
        <v>314.89717388153002</v>
      </c>
      <c r="H6901">
        <v>2241</v>
      </c>
      <c r="I6901">
        <v>49</v>
      </c>
      <c r="J6901">
        <v>30</v>
      </c>
    </row>
    <row r="6902" spans="1:10" x14ac:dyDescent="0.25">
      <c r="A6902" t="s">
        <v>26</v>
      </c>
      <c r="B6902" t="s">
        <v>21</v>
      </c>
      <c r="C6902" t="s">
        <v>12</v>
      </c>
      <c r="D6902" t="s">
        <v>13</v>
      </c>
      <c r="E6902">
        <v>0.64197530864197505</v>
      </c>
      <c r="F6902">
        <v>0.88205596263267705</v>
      </c>
      <c r="G6902">
        <v>1.4623565673828101</v>
      </c>
      <c r="H6902">
        <v>33</v>
      </c>
      <c r="I6902">
        <v>20</v>
      </c>
      <c r="J6902">
        <v>30</v>
      </c>
    </row>
    <row r="6903" spans="1:10" x14ac:dyDescent="0.25">
      <c r="A6903" t="s">
        <v>26</v>
      </c>
      <c r="B6903" t="s">
        <v>21</v>
      </c>
      <c r="C6903" t="s">
        <v>12</v>
      </c>
      <c r="D6903" t="s">
        <v>13</v>
      </c>
      <c r="E6903">
        <v>0.64891975308641903</v>
      </c>
      <c r="F6903">
        <v>0.88558406886423602</v>
      </c>
      <c r="G6903">
        <v>1.6239535808563199</v>
      </c>
      <c r="H6903">
        <v>38</v>
      </c>
      <c r="I6903">
        <v>23</v>
      </c>
      <c r="J6903">
        <v>30</v>
      </c>
    </row>
    <row r="6904" spans="1:10" x14ac:dyDescent="0.25">
      <c r="A6904" t="s">
        <v>26</v>
      </c>
      <c r="B6904" t="s">
        <v>21</v>
      </c>
      <c r="C6904" t="s">
        <v>12</v>
      </c>
      <c r="D6904" t="s">
        <v>13</v>
      </c>
      <c r="E6904">
        <v>0.96334876543209802</v>
      </c>
      <c r="F6904">
        <v>0.966963716677122</v>
      </c>
      <c r="G6904">
        <v>2.3251917362213099</v>
      </c>
      <c r="H6904">
        <v>71</v>
      </c>
      <c r="I6904">
        <v>32</v>
      </c>
      <c r="J6904">
        <v>30</v>
      </c>
    </row>
    <row r="6905" spans="1:10" x14ac:dyDescent="0.25">
      <c r="A6905" t="s">
        <v>26</v>
      </c>
      <c r="B6905" t="s">
        <v>21</v>
      </c>
      <c r="C6905" t="s">
        <v>12</v>
      </c>
      <c r="D6905" t="s">
        <v>13</v>
      </c>
      <c r="E6905">
        <v>0.96141975308641903</v>
      </c>
      <c r="F6905">
        <v>0.96519515884837903</v>
      </c>
      <c r="G6905">
        <v>2.3854012489318799</v>
      </c>
      <c r="H6905">
        <v>62</v>
      </c>
      <c r="I6905">
        <v>23</v>
      </c>
      <c r="J6905">
        <v>30</v>
      </c>
    </row>
    <row r="6906" spans="1:10" x14ac:dyDescent="0.25">
      <c r="A6906" t="s">
        <v>26</v>
      </c>
      <c r="B6906" t="s">
        <v>21</v>
      </c>
      <c r="C6906" t="s">
        <v>12</v>
      </c>
      <c r="D6906" t="s">
        <v>13</v>
      </c>
      <c r="E6906">
        <v>0.94405864197530798</v>
      </c>
      <c r="F6906">
        <v>0.95317768249467505</v>
      </c>
      <c r="G6906">
        <v>2.2530856132507302</v>
      </c>
      <c r="H6906">
        <v>65</v>
      </c>
      <c r="I6906">
        <v>24</v>
      </c>
      <c r="J6906">
        <v>30</v>
      </c>
    </row>
    <row r="6907" spans="1:10" x14ac:dyDescent="0.25">
      <c r="A6907" t="s">
        <v>26</v>
      </c>
      <c r="B6907" t="s">
        <v>21</v>
      </c>
      <c r="C6907" t="s">
        <v>12</v>
      </c>
      <c r="D6907" t="s">
        <v>13</v>
      </c>
      <c r="E6907">
        <v>0.97299382716049299</v>
      </c>
      <c r="F6907">
        <v>0.974391047943441</v>
      </c>
      <c r="G6907">
        <v>2.3886306285858101</v>
      </c>
      <c r="H6907">
        <v>61</v>
      </c>
      <c r="I6907">
        <v>29</v>
      </c>
      <c r="J6907">
        <v>30</v>
      </c>
    </row>
    <row r="6908" spans="1:10" x14ac:dyDescent="0.25">
      <c r="A6908" t="s">
        <v>26</v>
      </c>
      <c r="B6908" t="s">
        <v>21</v>
      </c>
      <c r="C6908" t="s">
        <v>12</v>
      </c>
      <c r="D6908" t="s">
        <v>13</v>
      </c>
      <c r="E6908">
        <v>0.95987654320987603</v>
      </c>
      <c r="F6908">
        <v>0.96371369405127305</v>
      </c>
      <c r="G6908">
        <v>2.5165429115295401</v>
      </c>
      <c r="H6908">
        <v>65</v>
      </c>
      <c r="I6908">
        <v>23</v>
      </c>
      <c r="J6908">
        <v>30</v>
      </c>
    </row>
    <row r="6909" spans="1:10" x14ac:dyDescent="0.25">
      <c r="A6909" t="s">
        <v>26</v>
      </c>
      <c r="B6909" t="s">
        <v>21</v>
      </c>
      <c r="C6909" t="s">
        <v>12</v>
      </c>
      <c r="D6909" t="s">
        <v>13</v>
      </c>
      <c r="E6909">
        <v>0.95949074074074003</v>
      </c>
      <c r="F6909">
        <v>0.96397208070108098</v>
      </c>
      <c r="G6909">
        <v>2.3509330749511701</v>
      </c>
      <c r="H6909">
        <v>68</v>
      </c>
      <c r="I6909">
        <v>23</v>
      </c>
      <c r="J6909">
        <v>30</v>
      </c>
    </row>
    <row r="6910" spans="1:10" x14ac:dyDescent="0.25">
      <c r="A6910" t="s">
        <v>26</v>
      </c>
      <c r="B6910" t="s">
        <v>21</v>
      </c>
      <c r="C6910" t="s">
        <v>12</v>
      </c>
      <c r="D6910" t="s">
        <v>13</v>
      </c>
      <c r="E6910">
        <v>0.97646604938271597</v>
      </c>
      <c r="F6910">
        <v>0.97803348797928202</v>
      </c>
      <c r="G6910">
        <v>2.49398636817932</v>
      </c>
      <c r="H6910">
        <v>76</v>
      </c>
      <c r="I6910">
        <v>32</v>
      </c>
      <c r="J6910">
        <v>30</v>
      </c>
    </row>
    <row r="6911" spans="1:10" x14ac:dyDescent="0.25">
      <c r="A6911" t="s">
        <v>26</v>
      </c>
      <c r="B6911" t="s">
        <v>21</v>
      </c>
      <c r="C6911" t="s">
        <v>12</v>
      </c>
      <c r="D6911" t="s">
        <v>13</v>
      </c>
      <c r="E6911">
        <v>0.94097222222222199</v>
      </c>
      <c r="F6911">
        <v>0.94924528175196698</v>
      </c>
      <c r="G6911">
        <v>2.2560219764709402</v>
      </c>
      <c r="H6911">
        <v>64</v>
      </c>
      <c r="I6911">
        <v>23</v>
      </c>
      <c r="J6911">
        <v>30</v>
      </c>
    </row>
    <row r="6912" spans="1:10" x14ac:dyDescent="0.25">
      <c r="A6912" t="s">
        <v>26</v>
      </c>
      <c r="B6912" t="s">
        <v>21</v>
      </c>
      <c r="C6912" t="s">
        <v>12</v>
      </c>
      <c r="D6912" t="s">
        <v>13</v>
      </c>
      <c r="E6912">
        <v>0.95640432098765404</v>
      </c>
      <c r="F6912">
        <v>0.96075156674359596</v>
      </c>
      <c r="G6912">
        <v>2.55371022224426</v>
      </c>
      <c r="H6912">
        <v>65</v>
      </c>
      <c r="I6912">
        <v>28</v>
      </c>
      <c r="J6912">
        <v>30</v>
      </c>
    </row>
    <row r="6913" spans="1:10" x14ac:dyDescent="0.25">
      <c r="A6913" t="s">
        <v>26</v>
      </c>
      <c r="B6913" t="s">
        <v>21</v>
      </c>
      <c r="C6913" t="s">
        <v>12</v>
      </c>
      <c r="D6913" t="s">
        <v>13</v>
      </c>
      <c r="E6913">
        <v>0.95987654320987603</v>
      </c>
      <c r="F6913">
        <v>0.96426823718638099</v>
      </c>
      <c r="G6913">
        <v>2.2377157211303702</v>
      </c>
      <c r="H6913">
        <v>64</v>
      </c>
      <c r="I6913">
        <v>32</v>
      </c>
      <c r="J6913">
        <v>30</v>
      </c>
    </row>
    <row r="6914" spans="1:10" x14ac:dyDescent="0.25">
      <c r="A6914" t="s">
        <v>26</v>
      </c>
      <c r="B6914" t="s">
        <v>21</v>
      </c>
      <c r="C6914" t="s">
        <v>12</v>
      </c>
      <c r="D6914" t="s">
        <v>13</v>
      </c>
      <c r="E6914">
        <v>0.95640432098765404</v>
      </c>
      <c r="F6914">
        <v>0.962118080634492</v>
      </c>
      <c r="G6914">
        <v>2.3864986896514799</v>
      </c>
      <c r="H6914">
        <v>66</v>
      </c>
      <c r="I6914">
        <v>27</v>
      </c>
      <c r="J6914">
        <v>30</v>
      </c>
    </row>
    <row r="6915" spans="1:10" x14ac:dyDescent="0.25">
      <c r="A6915" t="s">
        <v>26</v>
      </c>
      <c r="B6915" t="s">
        <v>21</v>
      </c>
      <c r="C6915" t="s">
        <v>12</v>
      </c>
      <c r="D6915" t="s">
        <v>13</v>
      </c>
      <c r="E6915">
        <v>0.96527777777777701</v>
      </c>
      <c r="F6915">
        <v>0.96867738035937501</v>
      </c>
      <c r="G6915">
        <v>2.4423251152038499</v>
      </c>
      <c r="H6915">
        <v>62</v>
      </c>
      <c r="I6915">
        <v>22</v>
      </c>
      <c r="J6915">
        <v>30</v>
      </c>
    </row>
    <row r="6916" spans="1:10" x14ac:dyDescent="0.25">
      <c r="A6916" t="s">
        <v>26</v>
      </c>
      <c r="B6916" t="s">
        <v>21</v>
      </c>
      <c r="C6916" t="s">
        <v>12</v>
      </c>
      <c r="D6916" t="s">
        <v>13</v>
      </c>
      <c r="E6916">
        <v>0.93094135802469102</v>
      </c>
      <c r="F6916">
        <v>0.94206494776002903</v>
      </c>
      <c r="G6916">
        <v>2.2298879623413002</v>
      </c>
      <c r="H6916">
        <v>59</v>
      </c>
      <c r="I6916">
        <v>26</v>
      </c>
      <c r="J6916">
        <v>30</v>
      </c>
    </row>
    <row r="6917" spans="1:10" x14ac:dyDescent="0.25">
      <c r="A6917" t="s">
        <v>26</v>
      </c>
      <c r="B6917" t="s">
        <v>21</v>
      </c>
      <c r="C6917" t="s">
        <v>12</v>
      </c>
      <c r="D6917" t="s">
        <v>13</v>
      </c>
      <c r="E6917">
        <v>0.94212962962962898</v>
      </c>
      <c r="F6917">
        <v>0.95092831998645699</v>
      </c>
      <c r="G6917">
        <v>2.5141565799713099</v>
      </c>
      <c r="H6917">
        <v>68</v>
      </c>
      <c r="I6917">
        <v>28</v>
      </c>
      <c r="J6917">
        <v>30</v>
      </c>
    </row>
    <row r="6918" spans="1:10" x14ac:dyDescent="0.25">
      <c r="A6918" t="s">
        <v>26</v>
      </c>
      <c r="B6918" t="s">
        <v>21</v>
      </c>
      <c r="C6918" t="s">
        <v>12</v>
      </c>
      <c r="D6918" t="s">
        <v>13</v>
      </c>
      <c r="E6918">
        <v>0.97067901234567899</v>
      </c>
      <c r="F6918">
        <v>0.97239722978410403</v>
      </c>
      <c r="G6918">
        <v>2.5816857814788801</v>
      </c>
      <c r="H6918">
        <v>75</v>
      </c>
      <c r="I6918">
        <v>32</v>
      </c>
      <c r="J6918">
        <v>30</v>
      </c>
    </row>
    <row r="6919" spans="1:10" x14ac:dyDescent="0.25">
      <c r="A6919" t="s">
        <v>26</v>
      </c>
      <c r="B6919" t="s">
        <v>21</v>
      </c>
      <c r="C6919" t="s">
        <v>12</v>
      </c>
      <c r="D6919" t="s">
        <v>13</v>
      </c>
      <c r="E6919">
        <v>0.96219135802469102</v>
      </c>
      <c r="F6919">
        <v>0.96628805992608002</v>
      </c>
      <c r="G6919">
        <v>2.27751612663269</v>
      </c>
      <c r="H6919">
        <v>64</v>
      </c>
      <c r="I6919">
        <v>28</v>
      </c>
      <c r="J6919">
        <v>30</v>
      </c>
    </row>
    <row r="6920" spans="1:10" x14ac:dyDescent="0.25">
      <c r="A6920" t="s">
        <v>26</v>
      </c>
      <c r="B6920" t="s">
        <v>21</v>
      </c>
      <c r="C6920" t="s">
        <v>12</v>
      </c>
      <c r="D6920" t="s">
        <v>13</v>
      </c>
      <c r="E6920">
        <v>0.97299382716049299</v>
      </c>
      <c r="F6920">
        <v>0.97498038493973704</v>
      </c>
      <c r="G6920">
        <v>2.6407701969146702</v>
      </c>
      <c r="H6920">
        <v>74</v>
      </c>
      <c r="I6920">
        <v>31</v>
      </c>
      <c r="J6920">
        <v>30</v>
      </c>
    </row>
    <row r="6921" spans="1:10" x14ac:dyDescent="0.25">
      <c r="A6921" t="s">
        <v>26</v>
      </c>
      <c r="B6921" t="s">
        <v>21</v>
      </c>
      <c r="C6921" t="s">
        <v>12</v>
      </c>
      <c r="D6921" t="s">
        <v>13</v>
      </c>
      <c r="E6921">
        <v>0.95833333333333304</v>
      </c>
      <c r="F6921">
        <v>0.96220313627542498</v>
      </c>
      <c r="G6921">
        <v>2.4728362560272199</v>
      </c>
      <c r="H6921">
        <v>67</v>
      </c>
      <c r="I6921">
        <v>26</v>
      </c>
      <c r="J6921">
        <v>30</v>
      </c>
    </row>
    <row r="6922" spans="1:10" x14ac:dyDescent="0.25">
      <c r="A6922" t="s">
        <v>26</v>
      </c>
      <c r="B6922" t="s">
        <v>21</v>
      </c>
      <c r="C6922" t="s">
        <v>12</v>
      </c>
      <c r="D6922" t="s">
        <v>13</v>
      </c>
      <c r="E6922">
        <v>0.96643518518518501</v>
      </c>
      <c r="F6922">
        <v>0.96893032688526204</v>
      </c>
      <c r="G6922">
        <v>2.2609117031097399</v>
      </c>
      <c r="H6922">
        <v>72</v>
      </c>
      <c r="I6922">
        <v>27</v>
      </c>
      <c r="J6922">
        <v>30</v>
      </c>
    </row>
    <row r="6923" spans="1:10" x14ac:dyDescent="0.25">
      <c r="A6923" t="s">
        <v>26</v>
      </c>
      <c r="B6923" t="s">
        <v>21</v>
      </c>
      <c r="C6923" t="s">
        <v>12</v>
      </c>
      <c r="D6923" t="s">
        <v>13</v>
      </c>
      <c r="E6923">
        <v>0.94637345679012297</v>
      </c>
      <c r="F6923">
        <v>0.954351363375464</v>
      </c>
      <c r="G6923">
        <v>2.4042797088622998</v>
      </c>
      <c r="H6923">
        <v>68</v>
      </c>
      <c r="I6923">
        <v>27</v>
      </c>
      <c r="J6923">
        <v>30</v>
      </c>
    </row>
    <row r="6924" spans="1:10" x14ac:dyDescent="0.25">
      <c r="A6924" t="s">
        <v>26</v>
      </c>
      <c r="B6924" t="s">
        <v>21</v>
      </c>
      <c r="C6924" t="s">
        <v>12</v>
      </c>
      <c r="D6924" t="s">
        <v>13</v>
      </c>
      <c r="E6924">
        <v>0.96064814814814803</v>
      </c>
      <c r="F6924">
        <v>0.96426059849382695</v>
      </c>
      <c r="G6924">
        <v>2.48590636253356</v>
      </c>
      <c r="H6924">
        <v>67</v>
      </c>
      <c r="I6924">
        <v>26</v>
      </c>
      <c r="J6924">
        <v>30</v>
      </c>
    </row>
    <row r="6925" spans="1:10" x14ac:dyDescent="0.25">
      <c r="A6925" t="s">
        <v>26</v>
      </c>
      <c r="B6925" t="s">
        <v>21</v>
      </c>
      <c r="C6925" t="s">
        <v>12</v>
      </c>
      <c r="D6925" t="s">
        <v>13</v>
      </c>
      <c r="E6925">
        <v>0.967592592592592</v>
      </c>
      <c r="F6925">
        <v>0.97018995004988495</v>
      </c>
      <c r="G6925">
        <v>2.4259393215179399</v>
      </c>
      <c r="H6925">
        <v>70</v>
      </c>
      <c r="I6925">
        <v>24</v>
      </c>
      <c r="J6925">
        <v>30</v>
      </c>
    </row>
    <row r="6926" spans="1:10" x14ac:dyDescent="0.25">
      <c r="A6926" t="s">
        <v>26</v>
      </c>
      <c r="B6926" t="s">
        <v>21</v>
      </c>
      <c r="C6926" t="s">
        <v>12</v>
      </c>
      <c r="D6926" t="s">
        <v>13</v>
      </c>
      <c r="E6926">
        <v>0.95138888888888795</v>
      </c>
      <c r="F6926">
        <v>0.95822188550493903</v>
      </c>
      <c r="G6926">
        <v>2.28701400756835</v>
      </c>
      <c r="H6926">
        <v>69</v>
      </c>
      <c r="I6926">
        <v>27</v>
      </c>
      <c r="J6926">
        <v>30</v>
      </c>
    </row>
    <row r="6927" spans="1:10" x14ac:dyDescent="0.25">
      <c r="A6927" t="s">
        <v>26</v>
      </c>
      <c r="B6927" t="s">
        <v>21</v>
      </c>
      <c r="C6927" t="s">
        <v>12</v>
      </c>
      <c r="D6927" t="s">
        <v>13</v>
      </c>
      <c r="E6927">
        <v>0.96682098765432101</v>
      </c>
      <c r="F6927">
        <v>0.97005037164637298</v>
      </c>
      <c r="G6927">
        <v>2.6178817749023402</v>
      </c>
      <c r="H6927">
        <v>76</v>
      </c>
      <c r="I6927">
        <v>31</v>
      </c>
      <c r="J6927">
        <v>30</v>
      </c>
    </row>
    <row r="6928" spans="1:10" x14ac:dyDescent="0.25">
      <c r="A6928" t="s">
        <v>26</v>
      </c>
      <c r="B6928" t="s">
        <v>21</v>
      </c>
      <c r="C6928" t="s">
        <v>12</v>
      </c>
      <c r="D6928" t="s">
        <v>13</v>
      </c>
      <c r="E6928">
        <v>0.96566358024691301</v>
      </c>
      <c r="F6928">
        <v>0.96880846527808695</v>
      </c>
      <c r="G6928">
        <v>2.37438869476318</v>
      </c>
      <c r="H6928">
        <v>79</v>
      </c>
      <c r="I6928">
        <v>27</v>
      </c>
      <c r="J6928">
        <v>30</v>
      </c>
    </row>
    <row r="6929" spans="1:10" x14ac:dyDescent="0.25">
      <c r="A6929" t="s">
        <v>26</v>
      </c>
      <c r="B6929" t="s">
        <v>21</v>
      </c>
      <c r="C6929" t="s">
        <v>12</v>
      </c>
      <c r="D6929" t="s">
        <v>13</v>
      </c>
      <c r="E6929">
        <v>0.97029320987654299</v>
      </c>
      <c r="F6929">
        <v>0.97258322949895804</v>
      </c>
      <c r="G6929">
        <v>2.4140110015869101</v>
      </c>
      <c r="H6929">
        <v>81</v>
      </c>
      <c r="I6929">
        <v>26</v>
      </c>
      <c r="J6929">
        <v>30</v>
      </c>
    </row>
    <row r="6930" spans="1:10" x14ac:dyDescent="0.25">
      <c r="A6930" t="s">
        <v>26</v>
      </c>
      <c r="B6930" t="s">
        <v>21</v>
      </c>
      <c r="C6930" t="s">
        <v>12</v>
      </c>
      <c r="D6930" t="s">
        <v>13</v>
      </c>
      <c r="E6930">
        <v>0.97993827160493796</v>
      </c>
      <c r="F6930">
        <v>0.98060733681192103</v>
      </c>
      <c r="G6930">
        <v>2.6263782978057799</v>
      </c>
      <c r="H6930">
        <v>91</v>
      </c>
      <c r="I6930">
        <v>33</v>
      </c>
      <c r="J6930">
        <v>30</v>
      </c>
    </row>
    <row r="6931" spans="1:10" x14ac:dyDescent="0.25">
      <c r="A6931" t="s">
        <v>26</v>
      </c>
      <c r="B6931" t="s">
        <v>21</v>
      </c>
      <c r="C6931" t="s">
        <v>12</v>
      </c>
      <c r="D6931" t="s">
        <v>13</v>
      </c>
      <c r="E6931">
        <v>0.97955246913580196</v>
      </c>
      <c r="F6931">
        <v>0.98026806494598695</v>
      </c>
      <c r="G6931">
        <v>2.5684058666229199</v>
      </c>
      <c r="H6931">
        <v>75</v>
      </c>
      <c r="I6931">
        <v>30</v>
      </c>
      <c r="J6931">
        <v>30</v>
      </c>
    </row>
    <row r="6932" spans="1:10" x14ac:dyDescent="0.25">
      <c r="A6932" t="s">
        <v>26</v>
      </c>
      <c r="B6932" t="s">
        <v>21</v>
      </c>
      <c r="C6932" t="s">
        <v>12</v>
      </c>
      <c r="D6932" t="s">
        <v>14</v>
      </c>
      <c r="E6932">
        <v>0.60416666666666596</v>
      </c>
      <c r="F6932">
        <v>0.85634510097522798</v>
      </c>
      <c r="G6932">
        <v>0.69254803657531705</v>
      </c>
      <c r="H6932">
        <v>3</v>
      </c>
      <c r="I6932">
        <v>4</v>
      </c>
      <c r="J6932">
        <v>30</v>
      </c>
    </row>
    <row r="6933" spans="1:10" x14ac:dyDescent="0.25">
      <c r="A6933" t="s">
        <v>26</v>
      </c>
      <c r="B6933" t="s">
        <v>21</v>
      </c>
      <c r="C6933" t="s">
        <v>12</v>
      </c>
      <c r="D6933" t="s">
        <v>14</v>
      </c>
      <c r="E6933">
        <v>0.78896604938271597</v>
      </c>
      <c r="F6933">
        <v>0.89824295951358002</v>
      </c>
      <c r="G6933">
        <v>0.89902257919311501</v>
      </c>
      <c r="H6933">
        <v>5</v>
      </c>
      <c r="I6933">
        <v>7</v>
      </c>
      <c r="J6933">
        <v>30</v>
      </c>
    </row>
    <row r="6934" spans="1:10" x14ac:dyDescent="0.25">
      <c r="A6934" t="s">
        <v>26</v>
      </c>
      <c r="B6934" t="s">
        <v>21</v>
      </c>
      <c r="C6934" t="s">
        <v>12</v>
      </c>
      <c r="D6934" t="s">
        <v>14</v>
      </c>
      <c r="E6934">
        <v>0.80439814814814803</v>
      </c>
      <c r="F6934">
        <v>0.89180991434687396</v>
      </c>
      <c r="G6934">
        <v>0.86824965476989702</v>
      </c>
      <c r="H6934">
        <v>6</v>
      </c>
      <c r="I6934">
        <v>8</v>
      </c>
      <c r="J6934">
        <v>30</v>
      </c>
    </row>
    <row r="6935" spans="1:10" x14ac:dyDescent="0.25">
      <c r="A6935" t="s">
        <v>26</v>
      </c>
      <c r="B6935" t="s">
        <v>21</v>
      </c>
      <c r="C6935" t="s">
        <v>12</v>
      </c>
      <c r="D6935" t="s">
        <v>14</v>
      </c>
      <c r="E6935">
        <v>0.81635802469135799</v>
      </c>
      <c r="F6935">
        <v>0.89782447616157401</v>
      </c>
      <c r="G6935">
        <v>0.86963248252868597</v>
      </c>
      <c r="H6935">
        <v>6</v>
      </c>
      <c r="I6935">
        <v>8</v>
      </c>
      <c r="J6935">
        <v>30</v>
      </c>
    </row>
    <row r="6936" spans="1:10" x14ac:dyDescent="0.25">
      <c r="A6936" t="s">
        <v>26</v>
      </c>
      <c r="B6936" t="s">
        <v>21</v>
      </c>
      <c r="C6936" t="s">
        <v>12</v>
      </c>
      <c r="D6936" t="s">
        <v>14</v>
      </c>
      <c r="E6936">
        <v>0.76427469135802395</v>
      </c>
      <c r="F6936">
        <v>0.89004587310956595</v>
      </c>
      <c r="G6936">
        <v>0.87310767173767001</v>
      </c>
      <c r="H6936">
        <v>5</v>
      </c>
      <c r="I6936">
        <v>7</v>
      </c>
      <c r="J6936">
        <v>30</v>
      </c>
    </row>
    <row r="6937" spans="1:10" x14ac:dyDescent="0.25">
      <c r="A6937" t="s">
        <v>26</v>
      </c>
      <c r="B6937" t="s">
        <v>21</v>
      </c>
      <c r="C6937" t="s">
        <v>12</v>
      </c>
      <c r="D6937" t="s">
        <v>14</v>
      </c>
      <c r="E6937">
        <v>0.80864197530864201</v>
      </c>
      <c r="F6937">
        <v>0.89361637750370304</v>
      </c>
      <c r="G6937">
        <v>0.86452174186706499</v>
      </c>
      <c r="H6937">
        <v>6</v>
      </c>
      <c r="I6937">
        <v>8</v>
      </c>
      <c r="J6937">
        <v>30</v>
      </c>
    </row>
    <row r="6938" spans="1:10" x14ac:dyDescent="0.25">
      <c r="A6938" t="s">
        <v>26</v>
      </c>
      <c r="B6938" t="s">
        <v>21</v>
      </c>
      <c r="C6938" t="s">
        <v>12</v>
      </c>
      <c r="D6938" t="s">
        <v>14</v>
      </c>
      <c r="E6938">
        <v>0.811728395061728</v>
      </c>
      <c r="F6938">
        <v>0.89675574481801501</v>
      </c>
      <c r="G6938">
        <v>0.8941650390625</v>
      </c>
      <c r="H6938">
        <v>6</v>
      </c>
      <c r="I6938">
        <v>8</v>
      </c>
      <c r="J6938">
        <v>30</v>
      </c>
    </row>
    <row r="6939" spans="1:10" x14ac:dyDescent="0.25">
      <c r="A6939" t="s">
        <v>26</v>
      </c>
      <c r="B6939" t="s">
        <v>21</v>
      </c>
      <c r="C6939" t="s">
        <v>12</v>
      </c>
      <c r="D6939" t="s">
        <v>14</v>
      </c>
      <c r="E6939">
        <v>0.81018518518518501</v>
      </c>
      <c r="F6939">
        <v>0.89574565009972995</v>
      </c>
      <c r="G6939">
        <v>0.88055324554443304</v>
      </c>
      <c r="H6939">
        <v>6</v>
      </c>
      <c r="I6939">
        <v>8</v>
      </c>
      <c r="J6939">
        <v>30</v>
      </c>
    </row>
    <row r="6940" spans="1:10" x14ac:dyDescent="0.25">
      <c r="A6940" t="s">
        <v>26</v>
      </c>
      <c r="B6940" t="s">
        <v>21</v>
      </c>
      <c r="C6940" t="s">
        <v>12</v>
      </c>
      <c r="D6940" t="s">
        <v>14</v>
      </c>
      <c r="E6940">
        <v>0.77893518518518501</v>
      </c>
      <c r="F6940">
        <v>0.89258834088499095</v>
      </c>
      <c r="G6940">
        <v>0.69648408889770497</v>
      </c>
      <c r="H6940">
        <v>5</v>
      </c>
      <c r="I6940">
        <v>6</v>
      </c>
      <c r="J6940">
        <v>30</v>
      </c>
    </row>
    <row r="6941" spans="1:10" x14ac:dyDescent="0.25">
      <c r="A6941" t="s">
        <v>26</v>
      </c>
      <c r="B6941" t="s">
        <v>21</v>
      </c>
      <c r="C6941" t="s">
        <v>12</v>
      </c>
      <c r="D6941" t="s">
        <v>14</v>
      </c>
      <c r="E6941">
        <v>0.76774691358024605</v>
      </c>
      <c r="F6941">
        <v>0.88794400871662904</v>
      </c>
      <c r="G6941">
        <v>0.74367022514343195</v>
      </c>
      <c r="H6941">
        <v>5</v>
      </c>
      <c r="I6941">
        <v>6</v>
      </c>
      <c r="J6941">
        <v>30</v>
      </c>
    </row>
    <row r="6942" spans="1:10" x14ac:dyDescent="0.25">
      <c r="A6942" t="s">
        <v>26</v>
      </c>
      <c r="B6942" t="s">
        <v>21</v>
      </c>
      <c r="C6942" t="s">
        <v>12</v>
      </c>
      <c r="D6942" t="s">
        <v>14</v>
      </c>
      <c r="E6942">
        <v>0.81712962962962898</v>
      </c>
      <c r="F6942">
        <v>0.90024801532912602</v>
      </c>
      <c r="G6942">
        <v>0.90918993949890103</v>
      </c>
      <c r="H6942">
        <v>7</v>
      </c>
      <c r="I6942">
        <v>9</v>
      </c>
      <c r="J6942">
        <v>30</v>
      </c>
    </row>
    <row r="6943" spans="1:10" x14ac:dyDescent="0.25">
      <c r="A6943" t="s">
        <v>26</v>
      </c>
      <c r="B6943" t="s">
        <v>21</v>
      </c>
      <c r="C6943" t="s">
        <v>12</v>
      </c>
      <c r="D6943" t="s">
        <v>14</v>
      </c>
      <c r="E6943">
        <v>0.77430555555555503</v>
      </c>
      <c r="F6943">
        <v>0.88909955605435897</v>
      </c>
      <c r="G6943">
        <v>1.07133436203002</v>
      </c>
      <c r="H6943">
        <v>7</v>
      </c>
      <c r="I6943">
        <v>11</v>
      </c>
      <c r="J6943">
        <v>30</v>
      </c>
    </row>
    <row r="6944" spans="1:10" x14ac:dyDescent="0.25">
      <c r="A6944" t="s">
        <v>26</v>
      </c>
      <c r="B6944" t="s">
        <v>21</v>
      </c>
      <c r="C6944" t="s">
        <v>12</v>
      </c>
      <c r="D6944" t="s">
        <v>14</v>
      </c>
      <c r="E6944">
        <v>0.85030864197530798</v>
      </c>
      <c r="F6944">
        <v>0.88678557448699702</v>
      </c>
      <c r="G6944">
        <v>0.61816811561584395</v>
      </c>
      <c r="H6944">
        <v>5</v>
      </c>
      <c r="I6944">
        <v>5</v>
      </c>
      <c r="J6944">
        <v>30</v>
      </c>
    </row>
    <row r="6945" spans="1:10" x14ac:dyDescent="0.25">
      <c r="A6945" t="s">
        <v>26</v>
      </c>
      <c r="B6945" t="s">
        <v>21</v>
      </c>
      <c r="C6945" t="s">
        <v>12</v>
      </c>
      <c r="D6945" t="s">
        <v>14</v>
      </c>
      <c r="E6945">
        <v>0.77700617283950602</v>
      </c>
      <c r="F6945">
        <v>0.890549723976503</v>
      </c>
      <c r="G6945">
        <v>0.68142271041870095</v>
      </c>
      <c r="H6945">
        <v>5</v>
      </c>
      <c r="I6945">
        <v>6</v>
      </c>
      <c r="J6945">
        <v>30</v>
      </c>
    </row>
    <row r="6946" spans="1:10" x14ac:dyDescent="0.25">
      <c r="A6946" t="s">
        <v>26</v>
      </c>
      <c r="B6946" t="s">
        <v>21</v>
      </c>
      <c r="C6946" t="s">
        <v>12</v>
      </c>
      <c r="D6946" t="s">
        <v>14</v>
      </c>
      <c r="E6946">
        <v>0.81095679012345601</v>
      </c>
      <c r="F6946">
        <v>0.89982360968688302</v>
      </c>
      <c r="G6946">
        <v>0.82722210884094205</v>
      </c>
      <c r="H6946">
        <v>6</v>
      </c>
      <c r="I6946">
        <v>9</v>
      </c>
      <c r="J6946">
        <v>30</v>
      </c>
    </row>
    <row r="6947" spans="1:10" x14ac:dyDescent="0.25">
      <c r="A6947" t="s">
        <v>26</v>
      </c>
      <c r="B6947" t="s">
        <v>21</v>
      </c>
      <c r="C6947" t="s">
        <v>12</v>
      </c>
      <c r="D6947" t="s">
        <v>14</v>
      </c>
      <c r="E6947">
        <v>0.81944444444444398</v>
      </c>
      <c r="F6947">
        <v>0.89956453673313896</v>
      </c>
      <c r="G6947">
        <v>0.87342810630798295</v>
      </c>
      <c r="H6947">
        <v>7</v>
      </c>
      <c r="I6947">
        <v>9</v>
      </c>
      <c r="J6947">
        <v>30</v>
      </c>
    </row>
    <row r="6948" spans="1:10" x14ac:dyDescent="0.25">
      <c r="A6948" t="s">
        <v>26</v>
      </c>
      <c r="B6948" t="s">
        <v>21</v>
      </c>
      <c r="C6948" t="s">
        <v>12</v>
      </c>
      <c r="D6948" t="s">
        <v>14</v>
      </c>
      <c r="E6948">
        <v>0.81558641975308599</v>
      </c>
      <c r="F6948">
        <v>0.899186105321642</v>
      </c>
      <c r="G6948">
        <v>0.90909695625305098</v>
      </c>
      <c r="H6948">
        <v>7</v>
      </c>
      <c r="I6948">
        <v>9</v>
      </c>
      <c r="J6948">
        <v>30</v>
      </c>
    </row>
    <row r="6949" spans="1:10" x14ac:dyDescent="0.25">
      <c r="A6949" t="s">
        <v>26</v>
      </c>
      <c r="B6949" t="s">
        <v>21</v>
      </c>
      <c r="C6949" t="s">
        <v>12</v>
      </c>
      <c r="D6949" t="s">
        <v>14</v>
      </c>
      <c r="E6949">
        <v>0.80594135802469102</v>
      </c>
      <c r="F6949">
        <v>0.89193042715238902</v>
      </c>
      <c r="G6949">
        <v>0.83832979202270497</v>
      </c>
      <c r="H6949">
        <v>7</v>
      </c>
      <c r="I6949">
        <v>9</v>
      </c>
      <c r="J6949">
        <v>30</v>
      </c>
    </row>
    <row r="6950" spans="1:10" x14ac:dyDescent="0.25">
      <c r="A6950" t="s">
        <v>26</v>
      </c>
      <c r="B6950" t="s">
        <v>21</v>
      </c>
      <c r="C6950" t="s">
        <v>12</v>
      </c>
      <c r="D6950" t="s">
        <v>14</v>
      </c>
      <c r="E6950">
        <v>0.780092592592592</v>
      </c>
      <c r="F6950">
        <v>0.89357717600162001</v>
      </c>
      <c r="G6950">
        <v>0.66491341590881303</v>
      </c>
      <c r="H6950">
        <v>5</v>
      </c>
      <c r="I6950">
        <v>7</v>
      </c>
      <c r="J6950">
        <v>30</v>
      </c>
    </row>
    <row r="6951" spans="1:10" x14ac:dyDescent="0.25">
      <c r="A6951" t="s">
        <v>26</v>
      </c>
      <c r="B6951" t="s">
        <v>21</v>
      </c>
      <c r="C6951" t="s">
        <v>12</v>
      </c>
      <c r="D6951" t="s">
        <v>14</v>
      </c>
      <c r="E6951">
        <v>0.782021604938271</v>
      </c>
      <c r="F6951">
        <v>0.89575574999583196</v>
      </c>
      <c r="G6951">
        <v>0.75242257118225098</v>
      </c>
      <c r="H6951">
        <v>5</v>
      </c>
      <c r="I6951">
        <v>6</v>
      </c>
      <c r="J6951">
        <v>30</v>
      </c>
    </row>
    <row r="6952" spans="1:10" x14ac:dyDescent="0.25">
      <c r="A6952" t="s">
        <v>26</v>
      </c>
      <c r="B6952" t="s">
        <v>21</v>
      </c>
      <c r="C6952" t="s">
        <v>12</v>
      </c>
      <c r="D6952" t="s">
        <v>14</v>
      </c>
      <c r="E6952">
        <v>0.80787037037037002</v>
      </c>
      <c r="F6952">
        <v>0.89297346568479796</v>
      </c>
      <c r="G6952">
        <v>0.67847132682800204</v>
      </c>
      <c r="H6952">
        <v>6</v>
      </c>
      <c r="I6952">
        <v>9</v>
      </c>
      <c r="J6952">
        <v>30</v>
      </c>
    </row>
    <row r="6953" spans="1:10" x14ac:dyDescent="0.25">
      <c r="A6953" t="s">
        <v>26</v>
      </c>
      <c r="B6953" t="s">
        <v>21</v>
      </c>
      <c r="C6953" t="s">
        <v>12</v>
      </c>
      <c r="D6953" t="s">
        <v>14</v>
      </c>
      <c r="E6953">
        <v>0.812885802469135</v>
      </c>
      <c r="F6953">
        <v>0.90040362531373097</v>
      </c>
      <c r="G6953">
        <v>0.85076689720153797</v>
      </c>
      <c r="H6953">
        <v>6</v>
      </c>
      <c r="I6953">
        <v>9</v>
      </c>
      <c r="J6953">
        <v>30</v>
      </c>
    </row>
    <row r="6954" spans="1:10" x14ac:dyDescent="0.25">
      <c r="A6954" t="s">
        <v>26</v>
      </c>
      <c r="B6954" t="s">
        <v>21</v>
      </c>
      <c r="C6954" t="s">
        <v>12</v>
      </c>
      <c r="D6954" t="s">
        <v>14</v>
      </c>
      <c r="E6954">
        <v>0.78472222222222199</v>
      </c>
      <c r="F6954">
        <v>0.89563575432873899</v>
      </c>
      <c r="G6954">
        <v>0.61567449569702104</v>
      </c>
      <c r="H6954">
        <v>6</v>
      </c>
      <c r="I6954">
        <v>7</v>
      </c>
      <c r="J6954">
        <v>30</v>
      </c>
    </row>
    <row r="6955" spans="1:10" x14ac:dyDescent="0.25">
      <c r="A6955" t="s">
        <v>26</v>
      </c>
      <c r="B6955" t="s">
        <v>21</v>
      </c>
      <c r="C6955" t="s">
        <v>12</v>
      </c>
      <c r="D6955" t="s">
        <v>14</v>
      </c>
      <c r="E6955">
        <v>0.76658950617283905</v>
      </c>
      <c r="F6955">
        <v>0.88730626328394901</v>
      </c>
      <c r="G6955">
        <v>0.82710051536560003</v>
      </c>
      <c r="H6955">
        <v>7</v>
      </c>
      <c r="I6955">
        <v>11</v>
      </c>
      <c r="J6955">
        <v>30</v>
      </c>
    </row>
    <row r="6956" spans="1:10" x14ac:dyDescent="0.25">
      <c r="A6956" t="s">
        <v>26</v>
      </c>
      <c r="B6956" t="s">
        <v>21</v>
      </c>
      <c r="C6956" t="s">
        <v>12</v>
      </c>
      <c r="D6956" t="s">
        <v>14</v>
      </c>
      <c r="E6956">
        <v>0.78742283950617198</v>
      </c>
      <c r="F6956">
        <v>0.895753407307599</v>
      </c>
      <c r="G6956">
        <v>0.64479947090148904</v>
      </c>
      <c r="H6956">
        <v>6</v>
      </c>
      <c r="I6956">
        <v>7</v>
      </c>
      <c r="J6956">
        <v>30</v>
      </c>
    </row>
    <row r="6957" spans="1:10" x14ac:dyDescent="0.25">
      <c r="A6957" t="s">
        <v>26</v>
      </c>
      <c r="B6957" t="s">
        <v>21</v>
      </c>
      <c r="C6957" t="s">
        <v>12</v>
      </c>
      <c r="D6957" t="s">
        <v>14</v>
      </c>
      <c r="E6957">
        <v>0.76929012345679004</v>
      </c>
      <c r="F6957">
        <v>0.88686565239220705</v>
      </c>
      <c r="G6957">
        <v>0.79214048385620095</v>
      </c>
      <c r="H6957">
        <v>7</v>
      </c>
      <c r="I6957">
        <v>11</v>
      </c>
      <c r="J6957">
        <v>30</v>
      </c>
    </row>
    <row r="6958" spans="1:10" x14ac:dyDescent="0.25">
      <c r="A6958" t="s">
        <v>26</v>
      </c>
      <c r="B6958" t="s">
        <v>21</v>
      </c>
      <c r="C6958" t="s">
        <v>12</v>
      </c>
      <c r="D6958" t="s">
        <v>14</v>
      </c>
      <c r="E6958">
        <v>0.77507716049382702</v>
      </c>
      <c r="F6958">
        <v>0.89000944391296399</v>
      </c>
      <c r="G6958">
        <v>0.90106153488159102</v>
      </c>
      <c r="H6958">
        <v>6</v>
      </c>
      <c r="I6958">
        <v>6</v>
      </c>
      <c r="J6958">
        <v>30</v>
      </c>
    </row>
    <row r="6959" spans="1:10" x14ac:dyDescent="0.25">
      <c r="A6959" t="s">
        <v>26</v>
      </c>
      <c r="B6959" t="s">
        <v>21</v>
      </c>
      <c r="C6959" t="s">
        <v>12</v>
      </c>
      <c r="D6959" t="s">
        <v>14</v>
      </c>
      <c r="E6959">
        <v>0.82175925925925897</v>
      </c>
      <c r="F6959">
        <v>0.90270470559556304</v>
      </c>
      <c r="G6959">
        <v>0.67288708686828602</v>
      </c>
      <c r="H6959">
        <v>7</v>
      </c>
      <c r="I6959">
        <v>9</v>
      </c>
      <c r="J6959">
        <v>30</v>
      </c>
    </row>
    <row r="6960" spans="1:10" x14ac:dyDescent="0.25">
      <c r="A6960" t="s">
        <v>26</v>
      </c>
      <c r="B6960" t="s">
        <v>21</v>
      </c>
      <c r="C6960" t="s">
        <v>12</v>
      </c>
      <c r="D6960" t="s">
        <v>14</v>
      </c>
      <c r="E6960">
        <v>0.8125</v>
      </c>
      <c r="F6960">
        <v>0.89739707958799897</v>
      </c>
      <c r="G6960">
        <v>0.61871933937072698</v>
      </c>
      <c r="H6960">
        <v>7</v>
      </c>
      <c r="I6960">
        <v>9</v>
      </c>
      <c r="J6960">
        <v>30</v>
      </c>
    </row>
    <row r="6961" spans="1:10" x14ac:dyDescent="0.25">
      <c r="A6961" t="s">
        <v>26</v>
      </c>
      <c r="B6961" t="s">
        <v>21</v>
      </c>
      <c r="C6961" t="s">
        <v>12</v>
      </c>
      <c r="D6961" t="s">
        <v>14</v>
      </c>
      <c r="E6961">
        <v>0.60223765432098697</v>
      </c>
      <c r="F6961">
        <v>0.85850176939907497</v>
      </c>
      <c r="G6961">
        <v>0.52679038047790505</v>
      </c>
      <c r="H6961">
        <v>3</v>
      </c>
      <c r="I6961">
        <v>4</v>
      </c>
      <c r="J6961">
        <v>30</v>
      </c>
    </row>
    <row r="6962" spans="1:10" x14ac:dyDescent="0.25">
      <c r="A6962" t="s">
        <v>26</v>
      </c>
      <c r="B6962" t="s">
        <v>21</v>
      </c>
      <c r="C6962" t="s">
        <v>12</v>
      </c>
      <c r="D6962" t="s">
        <v>15</v>
      </c>
      <c r="E6962">
        <v>0</v>
      </c>
      <c r="F6962">
        <v>0.75</v>
      </c>
      <c r="G6962">
        <v>0.149590253829956</v>
      </c>
      <c r="H6962">
        <v>0</v>
      </c>
      <c r="I6962">
        <v>0</v>
      </c>
      <c r="J6962">
        <v>30</v>
      </c>
    </row>
    <row r="6963" spans="1:10" x14ac:dyDescent="0.25">
      <c r="A6963" t="s">
        <v>26</v>
      </c>
      <c r="B6963" t="s">
        <v>21</v>
      </c>
      <c r="C6963" t="s">
        <v>12</v>
      </c>
      <c r="D6963" t="s">
        <v>15</v>
      </c>
      <c r="E6963">
        <v>0</v>
      </c>
      <c r="F6963">
        <v>0.75</v>
      </c>
      <c r="G6963">
        <v>0.44377207756042403</v>
      </c>
      <c r="H6963">
        <v>1</v>
      </c>
      <c r="I6963">
        <v>7</v>
      </c>
      <c r="J6963">
        <v>30</v>
      </c>
    </row>
    <row r="6964" spans="1:10" x14ac:dyDescent="0.25">
      <c r="A6964" t="s">
        <v>26</v>
      </c>
      <c r="B6964" t="s">
        <v>21</v>
      </c>
      <c r="C6964" t="s">
        <v>12</v>
      </c>
      <c r="D6964" t="s">
        <v>15</v>
      </c>
      <c r="E6964">
        <v>0</v>
      </c>
      <c r="F6964">
        <v>0.75</v>
      </c>
      <c r="G6964">
        <v>0.276921987533569</v>
      </c>
      <c r="H6964">
        <v>0</v>
      </c>
      <c r="I6964">
        <v>0</v>
      </c>
      <c r="J6964">
        <v>30</v>
      </c>
    </row>
    <row r="6965" spans="1:10" x14ac:dyDescent="0.25">
      <c r="A6965" t="s">
        <v>26</v>
      </c>
      <c r="B6965" t="s">
        <v>21</v>
      </c>
      <c r="C6965" t="s">
        <v>12</v>
      </c>
      <c r="D6965" t="s">
        <v>15</v>
      </c>
      <c r="E6965">
        <v>0</v>
      </c>
      <c r="F6965">
        <v>0.75</v>
      </c>
      <c r="G6965">
        <v>0.50242567062377896</v>
      </c>
      <c r="H6965">
        <v>1</v>
      </c>
      <c r="I6965">
        <v>8</v>
      </c>
      <c r="J6965">
        <v>30</v>
      </c>
    </row>
    <row r="6966" spans="1:10" x14ac:dyDescent="0.25">
      <c r="A6966" t="s">
        <v>26</v>
      </c>
      <c r="B6966" t="s">
        <v>21</v>
      </c>
      <c r="C6966" t="s">
        <v>12</v>
      </c>
      <c r="D6966" t="s">
        <v>15</v>
      </c>
      <c r="E6966">
        <v>0</v>
      </c>
      <c r="F6966">
        <v>0.75</v>
      </c>
      <c r="G6966">
        <v>0.33473992347717202</v>
      </c>
      <c r="H6966">
        <v>0</v>
      </c>
      <c r="I6966">
        <v>0</v>
      </c>
      <c r="J6966">
        <v>30</v>
      </c>
    </row>
    <row r="6967" spans="1:10" x14ac:dyDescent="0.25">
      <c r="A6967" t="s">
        <v>26</v>
      </c>
      <c r="B6967" t="s">
        <v>21</v>
      </c>
      <c r="C6967" t="s">
        <v>12</v>
      </c>
      <c r="D6967" t="s">
        <v>15</v>
      </c>
      <c r="E6967">
        <v>0</v>
      </c>
      <c r="F6967">
        <v>0.75</v>
      </c>
      <c r="G6967">
        <v>0.51897144317626898</v>
      </c>
      <c r="H6967">
        <v>1</v>
      </c>
      <c r="I6967">
        <v>8</v>
      </c>
      <c r="J6967">
        <v>30</v>
      </c>
    </row>
    <row r="6968" spans="1:10" x14ac:dyDescent="0.25">
      <c r="A6968" t="s">
        <v>26</v>
      </c>
      <c r="B6968" t="s">
        <v>21</v>
      </c>
      <c r="C6968" t="s">
        <v>12</v>
      </c>
      <c r="D6968" t="s">
        <v>15</v>
      </c>
      <c r="E6968">
        <v>0</v>
      </c>
      <c r="F6968">
        <v>0.75</v>
      </c>
      <c r="G6968">
        <v>0.462291479110717</v>
      </c>
      <c r="H6968">
        <v>0</v>
      </c>
      <c r="I6968">
        <v>0</v>
      </c>
      <c r="J6968">
        <v>30</v>
      </c>
    </row>
    <row r="6969" spans="1:10" x14ac:dyDescent="0.25">
      <c r="A6969" t="s">
        <v>26</v>
      </c>
      <c r="B6969" t="s">
        <v>21</v>
      </c>
      <c r="C6969" t="s">
        <v>12</v>
      </c>
      <c r="D6969" t="s">
        <v>15</v>
      </c>
      <c r="E6969">
        <v>0</v>
      </c>
      <c r="F6969">
        <v>0.75</v>
      </c>
      <c r="G6969">
        <v>0.55464458465576105</v>
      </c>
      <c r="H6969">
        <v>1</v>
      </c>
      <c r="I6969">
        <v>7</v>
      </c>
      <c r="J6969">
        <v>30</v>
      </c>
    </row>
    <row r="6970" spans="1:10" x14ac:dyDescent="0.25">
      <c r="A6970" t="s">
        <v>26</v>
      </c>
      <c r="B6970" t="s">
        <v>21</v>
      </c>
      <c r="C6970" t="s">
        <v>12</v>
      </c>
      <c r="D6970" t="s">
        <v>15</v>
      </c>
      <c r="E6970">
        <v>0</v>
      </c>
      <c r="F6970">
        <v>0.75</v>
      </c>
      <c r="G6970">
        <v>0.65866518020629805</v>
      </c>
      <c r="H6970">
        <v>2</v>
      </c>
      <c r="I6970">
        <v>11</v>
      </c>
      <c r="J6970">
        <v>30</v>
      </c>
    </row>
    <row r="6971" spans="1:10" x14ac:dyDescent="0.25">
      <c r="A6971" t="s">
        <v>26</v>
      </c>
      <c r="B6971" t="s">
        <v>21</v>
      </c>
      <c r="C6971" t="s">
        <v>12</v>
      </c>
      <c r="D6971" t="s">
        <v>15</v>
      </c>
      <c r="E6971">
        <v>0</v>
      </c>
      <c r="F6971">
        <v>0.75</v>
      </c>
      <c r="G6971">
        <v>0.52708506584167403</v>
      </c>
      <c r="H6971">
        <v>1</v>
      </c>
      <c r="I6971">
        <v>7</v>
      </c>
      <c r="J6971">
        <v>30</v>
      </c>
    </row>
    <row r="6972" spans="1:10" x14ac:dyDescent="0.25">
      <c r="A6972" t="s">
        <v>26</v>
      </c>
      <c r="B6972" t="s">
        <v>21</v>
      </c>
      <c r="C6972" t="s">
        <v>12</v>
      </c>
      <c r="D6972" t="s">
        <v>15</v>
      </c>
      <c r="E6972">
        <v>0</v>
      </c>
      <c r="F6972">
        <v>0.75</v>
      </c>
      <c r="G6972">
        <v>0.53919720649719205</v>
      </c>
      <c r="H6972">
        <v>1</v>
      </c>
      <c r="I6972">
        <v>7</v>
      </c>
      <c r="J6972">
        <v>30</v>
      </c>
    </row>
    <row r="6973" spans="1:10" x14ac:dyDescent="0.25">
      <c r="A6973" t="s">
        <v>26</v>
      </c>
      <c r="B6973" t="s">
        <v>21</v>
      </c>
      <c r="C6973" t="s">
        <v>12</v>
      </c>
      <c r="D6973" t="s">
        <v>15</v>
      </c>
      <c r="E6973">
        <v>0</v>
      </c>
      <c r="F6973">
        <v>0.75</v>
      </c>
      <c r="G6973">
        <v>0.22704911231994601</v>
      </c>
      <c r="H6973">
        <v>0</v>
      </c>
      <c r="I6973">
        <v>0</v>
      </c>
      <c r="J6973">
        <v>30</v>
      </c>
    </row>
    <row r="6974" spans="1:10" x14ac:dyDescent="0.25">
      <c r="A6974" t="s">
        <v>26</v>
      </c>
      <c r="B6974" t="s">
        <v>21</v>
      </c>
      <c r="C6974" t="s">
        <v>12</v>
      </c>
      <c r="D6974" t="s">
        <v>15</v>
      </c>
      <c r="E6974">
        <v>0</v>
      </c>
      <c r="F6974">
        <v>0.75</v>
      </c>
      <c r="G6974">
        <v>0.41671323776245101</v>
      </c>
      <c r="H6974">
        <v>0</v>
      </c>
      <c r="I6974">
        <v>0</v>
      </c>
      <c r="J6974">
        <v>30</v>
      </c>
    </row>
    <row r="6975" spans="1:10" x14ac:dyDescent="0.25">
      <c r="A6975" t="s">
        <v>26</v>
      </c>
      <c r="B6975" t="s">
        <v>21</v>
      </c>
      <c r="C6975" t="s">
        <v>12</v>
      </c>
      <c r="D6975" t="s">
        <v>15</v>
      </c>
      <c r="E6975">
        <v>0</v>
      </c>
      <c r="F6975">
        <v>0.75</v>
      </c>
      <c r="G6975">
        <v>0.33000087738037098</v>
      </c>
      <c r="H6975">
        <v>0</v>
      </c>
      <c r="I6975">
        <v>0</v>
      </c>
      <c r="J6975">
        <v>30</v>
      </c>
    </row>
    <row r="6976" spans="1:10" x14ac:dyDescent="0.25">
      <c r="A6976" t="s">
        <v>26</v>
      </c>
      <c r="B6976" t="s">
        <v>21</v>
      </c>
      <c r="C6976" t="s">
        <v>12</v>
      </c>
      <c r="D6976" t="s">
        <v>15</v>
      </c>
      <c r="E6976">
        <v>0</v>
      </c>
      <c r="F6976">
        <v>0.75</v>
      </c>
      <c r="G6976">
        <v>0.25658249855041498</v>
      </c>
      <c r="H6976">
        <v>0</v>
      </c>
      <c r="I6976">
        <v>0</v>
      </c>
      <c r="J6976">
        <v>30</v>
      </c>
    </row>
    <row r="6977" spans="1:10" x14ac:dyDescent="0.25">
      <c r="A6977" t="s">
        <v>26</v>
      </c>
      <c r="B6977" t="s">
        <v>21</v>
      </c>
      <c r="C6977" t="s">
        <v>12</v>
      </c>
      <c r="D6977" t="s">
        <v>15</v>
      </c>
      <c r="E6977">
        <v>0</v>
      </c>
      <c r="F6977">
        <v>0.75</v>
      </c>
      <c r="G6977">
        <v>0.29237580299377403</v>
      </c>
      <c r="H6977">
        <v>0</v>
      </c>
      <c r="I6977">
        <v>0</v>
      </c>
      <c r="J6977">
        <v>30</v>
      </c>
    </row>
    <row r="6978" spans="1:10" x14ac:dyDescent="0.25">
      <c r="A6978" t="s">
        <v>26</v>
      </c>
      <c r="B6978" t="s">
        <v>21</v>
      </c>
      <c r="C6978" t="s">
        <v>12</v>
      </c>
      <c r="D6978" t="s">
        <v>15</v>
      </c>
      <c r="E6978">
        <v>0</v>
      </c>
      <c r="F6978">
        <v>0.75</v>
      </c>
      <c r="G6978">
        <v>0.483853340148925</v>
      </c>
      <c r="H6978">
        <v>1</v>
      </c>
      <c r="I6978">
        <v>8</v>
      </c>
      <c r="J6978">
        <v>30</v>
      </c>
    </row>
    <row r="6979" spans="1:10" x14ac:dyDescent="0.25">
      <c r="A6979" t="s">
        <v>26</v>
      </c>
      <c r="B6979" t="s">
        <v>21</v>
      </c>
      <c r="C6979" t="s">
        <v>12</v>
      </c>
      <c r="D6979" t="s">
        <v>15</v>
      </c>
      <c r="E6979">
        <v>0</v>
      </c>
      <c r="F6979">
        <v>0.75</v>
      </c>
      <c r="G6979">
        <v>0.74952316284179599</v>
      </c>
      <c r="H6979">
        <v>2</v>
      </c>
      <c r="I6979">
        <v>12</v>
      </c>
      <c r="J6979">
        <v>30</v>
      </c>
    </row>
    <row r="6980" spans="1:10" x14ac:dyDescent="0.25">
      <c r="A6980" t="s">
        <v>26</v>
      </c>
      <c r="B6980" t="s">
        <v>21</v>
      </c>
      <c r="C6980" t="s">
        <v>12</v>
      </c>
      <c r="D6980" t="s">
        <v>15</v>
      </c>
      <c r="E6980">
        <v>0</v>
      </c>
      <c r="F6980">
        <v>0.75</v>
      </c>
      <c r="G6980">
        <v>0.272625923156738</v>
      </c>
      <c r="H6980">
        <v>0</v>
      </c>
      <c r="I6980">
        <v>0</v>
      </c>
      <c r="J6980">
        <v>30</v>
      </c>
    </row>
    <row r="6981" spans="1:10" x14ac:dyDescent="0.25">
      <c r="A6981" t="s">
        <v>26</v>
      </c>
      <c r="B6981" t="s">
        <v>21</v>
      </c>
      <c r="C6981" t="s">
        <v>12</v>
      </c>
      <c r="D6981" t="s">
        <v>15</v>
      </c>
      <c r="E6981">
        <v>0</v>
      </c>
      <c r="F6981">
        <v>0.74995949074073998</v>
      </c>
      <c r="G6981">
        <v>0.42104101181030201</v>
      </c>
      <c r="H6981">
        <v>1</v>
      </c>
      <c r="I6981">
        <v>7</v>
      </c>
      <c r="J6981">
        <v>30</v>
      </c>
    </row>
    <row r="6982" spans="1:10" x14ac:dyDescent="0.25">
      <c r="A6982" t="s">
        <v>26</v>
      </c>
      <c r="B6982" t="s">
        <v>21</v>
      </c>
      <c r="C6982" t="s">
        <v>12</v>
      </c>
      <c r="D6982" t="s">
        <v>15</v>
      </c>
      <c r="E6982">
        <v>0</v>
      </c>
      <c r="F6982">
        <v>0.75</v>
      </c>
      <c r="G6982">
        <v>0.53048133850097601</v>
      </c>
      <c r="H6982">
        <v>1</v>
      </c>
      <c r="I6982">
        <v>8</v>
      </c>
      <c r="J6982">
        <v>30</v>
      </c>
    </row>
    <row r="6983" spans="1:10" x14ac:dyDescent="0.25">
      <c r="A6983" t="s">
        <v>26</v>
      </c>
      <c r="B6983" t="s">
        <v>21</v>
      </c>
      <c r="C6983" t="s">
        <v>12</v>
      </c>
      <c r="D6983" t="s">
        <v>15</v>
      </c>
      <c r="E6983">
        <v>0</v>
      </c>
      <c r="F6983">
        <v>0.75</v>
      </c>
      <c r="G6983">
        <v>0.47892594337463301</v>
      </c>
      <c r="H6983">
        <v>1</v>
      </c>
      <c r="I6983">
        <v>6</v>
      </c>
      <c r="J6983">
        <v>30</v>
      </c>
    </row>
    <row r="6984" spans="1:10" x14ac:dyDescent="0.25">
      <c r="A6984" t="s">
        <v>26</v>
      </c>
      <c r="B6984" t="s">
        <v>21</v>
      </c>
      <c r="C6984" t="s">
        <v>12</v>
      </c>
      <c r="D6984" t="s">
        <v>15</v>
      </c>
      <c r="E6984">
        <v>0</v>
      </c>
      <c r="F6984">
        <v>0.75</v>
      </c>
      <c r="G6984">
        <v>0.50336313247680597</v>
      </c>
      <c r="H6984">
        <v>1</v>
      </c>
      <c r="I6984">
        <v>6</v>
      </c>
      <c r="J6984">
        <v>30</v>
      </c>
    </row>
    <row r="6985" spans="1:10" x14ac:dyDescent="0.25">
      <c r="A6985" t="s">
        <v>26</v>
      </c>
      <c r="B6985" t="s">
        <v>21</v>
      </c>
      <c r="C6985" t="s">
        <v>12</v>
      </c>
      <c r="D6985" t="s">
        <v>15</v>
      </c>
      <c r="E6985">
        <v>0</v>
      </c>
      <c r="F6985">
        <v>0.75</v>
      </c>
      <c r="G6985">
        <v>0.5926513671875</v>
      </c>
      <c r="H6985">
        <v>1</v>
      </c>
      <c r="I6985">
        <v>6</v>
      </c>
      <c r="J6985">
        <v>30</v>
      </c>
    </row>
    <row r="6986" spans="1:10" x14ac:dyDescent="0.25">
      <c r="A6986" t="s">
        <v>26</v>
      </c>
      <c r="B6986" t="s">
        <v>21</v>
      </c>
      <c r="C6986" t="s">
        <v>12</v>
      </c>
      <c r="D6986" t="s">
        <v>15</v>
      </c>
      <c r="E6986">
        <v>0</v>
      </c>
      <c r="F6986">
        <v>0.75</v>
      </c>
      <c r="G6986">
        <v>1.11078906059265</v>
      </c>
      <c r="H6986">
        <v>4</v>
      </c>
      <c r="I6986">
        <v>15</v>
      </c>
      <c r="J6986">
        <v>30</v>
      </c>
    </row>
    <row r="6987" spans="1:10" x14ac:dyDescent="0.25">
      <c r="A6987" t="s">
        <v>26</v>
      </c>
      <c r="B6987" t="s">
        <v>21</v>
      </c>
      <c r="C6987" t="s">
        <v>12</v>
      </c>
      <c r="D6987" t="s">
        <v>15</v>
      </c>
      <c r="E6987">
        <v>0</v>
      </c>
      <c r="F6987">
        <v>0.74995949074073998</v>
      </c>
      <c r="G6987">
        <v>0.87776422500610296</v>
      </c>
      <c r="H6987">
        <v>3</v>
      </c>
      <c r="I6987">
        <v>12</v>
      </c>
      <c r="J6987">
        <v>30</v>
      </c>
    </row>
    <row r="6988" spans="1:10" x14ac:dyDescent="0.25">
      <c r="A6988" t="s">
        <v>26</v>
      </c>
      <c r="B6988" t="s">
        <v>21</v>
      </c>
      <c r="C6988" t="s">
        <v>12</v>
      </c>
      <c r="D6988" t="s">
        <v>15</v>
      </c>
      <c r="E6988">
        <v>0</v>
      </c>
      <c r="F6988">
        <v>0.74994976112395795</v>
      </c>
      <c r="G6988">
        <v>0.91532325744628895</v>
      </c>
      <c r="H6988">
        <v>3</v>
      </c>
      <c r="I6988">
        <v>10</v>
      </c>
      <c r="J6988">
        <v>30</v>
      </c>
    </row>
    <row r="6989" spans="1:10" x14ac:dyDescent="0.25">
      <c r="A6989" t="s">
        <v>26</v>
      </c>
      <c r="B6989" t="s">
        <v>21</v>
      </c>
      <c r="C6989" t="s">
        <v>12</v>
      </c>
      <c r="D6989" t="s">
        <v>15</v>
      </c>
      <c r="E6989">
        <v>0</v>
      </c>
      <c r="F6989">
        <v>0.74991898148148095</v>
      </c>
      <c r="G6989">
        <v>1.0770409107208201</v>
      </c>
      <c r="H6989">
        <v>4</v>
      </c>
      <c r="I6989">
        <v>16</v>
      </c>
      <c r="J6989">
        <v>30</v>
      </c>
    </row>
    <row r="6990" spans="1:10" x14ac:dyDescent="0.25">
      <c r="A6990" t="s">
        <v>26</v>
      </c>
      <c r="B6990" t="s">
        <v>21</v>
      </c>
      <c r="C6990" t="s">
        <v>12</v>
      </c>
      <c r="D6990" t="s">
        <v>15</v>
      </c>
      <c r="E6990">
        <v>0</v>
      </c>
      <c r="F6990">
        <v>0.75</v>
      </c>
      <c r="G6990">
        <v>0.96502995491027799</v>
      </c>
      <c r="H6990">
        <v>3</v>
      </c>
      <c r="I6990">
        <v>15</v>
      </c>
      <c r="J6990">
        <v>30</v>
      </c>
    </row>
    <row r="6991" spans="1:10" x14ac:dyDescent="0.25">
      <c r="A6991" t="s">
        <v>26</v>
      </c>
      <c r="B6991" t="s">
        <v>21</v>
      </c>
      <c r="C6991" t="s">
        <v>12</v>
      </c>
      <c r="D6991" t="s">
        <v>15</v>
      </c>
      <c r="E6991">
        <v>0</v>
      </c>
      <c r="F6991">
        <v>0.74991898148148095</v>
      </c>
      <c r="G6991">
        <v>1.19869709014892</v>
      </c>
      <c r="H6991">
        <v>6</v>
      </c>
      <c r="I6991">
        <v>19</v>
      </c>
      <c r="J6991">
        <v>30</v>
      </c>
    </row>
    <row r="6992" spans="1:10" x14ac:dyDescent="0.25">
      <c r="A6992" t="s">
        <v>26</v>
      </c>
      <c r="B6992" t="s">
        <v>21</v>
      </c>
      <c r="C6992" t="s">
        <v>12</v>
      </c>
      <c r="D6992" t="s">
        <v>16</v>
      </c>
      <c r="E6992">
        <v>0.344521604938271</v>
      </c>
      <c r="F6992">
        <v>0.83612981000104503</v>
      </c>
      <c r="G6992">
        <v>0.183315515518188</v>
      </c>
      <c r="H6992">
        <v>1</v>
      </c>
      <c r="I6992">
        <v>1</v>
      </c>
      <c r="J6992">
        <v>30</v>
      </c>
    </row>
    <row r="6993" spans="1:10" x14ac:dyDescent="0.25">
      <c r="A6993" t="s">
        <v>26</v>
      </c>
      <c r="B6993" t="s">
        <v>21</v>
      </c>
      <c r="C6993" t="s">
        <v>12</v>
      </c>
      <c r="D6993" t="s">
        <v>16</v>
      </c>
      <c r="E6993">
        <v>0.33680555555555503</v>
      </c>
      <c r="F6993">
        <v>0.83420081968750204</v>
      </c>
      <c r="G6993">
        <v>0.21033978462219199</v>
      </c>
      <c r="H6993">
        <v>1</v>
      </c>
      <c r="I6993">
        <v>1</v>
      </c>
      <c r="J6993">
        <v>30</v>
      </c>
    </row>
    <row r="6994" spans="1:10" x14ac:dyDescent="0.25">
      <c r="A6994" t="s">
        <v>26</v>
      </c>
      <c r="B6994" t="s">
        <v>21</v>
      </c>
      <c r="C6994" t="s">
        <v>12</v>
      </c>
      <c r="D6994" t="s">
        <v>16</v>
      </c>
      <c r="E6994">
        <v>0.343364197530864</v>
      </c>
      <c r="F6994">
        <v>0.83584046013541902</v>
      </c>
      <c r="G6994">
        <v>0.21347928047180101</v>
      </c>
      <c r="H6994">
        <v>1</v>
      </c>
      <c r="I6994">
        <v>1</v>
      </c>
      <c r="J6994">
        <v>30</v>
      </c>
    </row>
    <row r="6995" spans="1:10" x14ac:dyDescent="0.25">
      <c r="A6995" t="s">
        <v>26</v>
      </c>
      <c r="B6995" t="s">
        <v>21</v>
      </c>
      <c r="C6995" t="s">
        <v>12</v>
      </c>
      <c r="D6995" t="s">
        <v>16</v>
      </c>
      <c r="E6995">
        <v>0.33063271604938199</v>
      </c>
      <c r="F6995">
        <v>0.83265762024305801</v>
      </c>
      <c r="G6995">
        <v>0.21516036987304599</v>
      </c>
      <c r="H6995">
        <v>1</v>
      </c>
      <c r="I6995">
        <v>1</v>
      </c>
      <c r="J6995">
        <v>30</v>
      </c>
    </row>
    <row r="6996" spans="1:10" x14ac:dyDescent="0.25">
      <c r="A6996" t="s">
        <v>26</v>
      </c>
      <c r="B6996" t="s">
        <v>21</v>
      </c>
      <c r="C6996" t="s">
        <v>12</v>
      </c>
      <c r="D6996" t="s">
        <v>16</v>
      </c>
      <c r="E6996">
        <v>0.329089506172839</v>
      </c>
      <c r="F6996">
        <v>0.83227182890536</v>
      </c>
      <c r="G6996">
        <v>0.22319149971008301</v>
      </c>
      <c r="H6996">
        <v>1</v>
      </c>
      <c r="I6996">
        <v>1</v>
      </c>
      <c r="J6996">
        <v>30</v>
      </c>
    </row>
    <row r="6997" spans="1:10" x14ac:dyDescent="0.25">
      <c r="A6997" t="s">
        <v>26</v>
      </c>
      <c r="B6997" t="s">
        <v>21</v>
      </c>
      <c r="C6997" t="s">
        <v>12</v>
      </c>
      <c r="D6997" t="s">
        <v>16</v>
      </c>
      <c r="E6997">
        <v>0.33101851851851799</v>
      </c>
      <c r="F6997">
        <v>0.83275407020833503</v>
      </c>
      <c r="G6997">
        <v>0.230210781097412</v>
      </c>
      <c r="H6997">
        <v>1</v>
      </c>
      <c r="I6997">
        <v>1</v>
      </c>
      <c r="J6997">
        <v>30</v>
      </c>
    </row>
    <row r="6998" spans="1:10" x14ac:dyDescent="0.25">
      <c r="A6998" t="s">
        <v>26</v>
      </c>
      <c r="B6998" t="s">
        <v>21</v>
      </c>
      <c r="C6998" t="s">
        <v>12</v>
      </c>
      <c r="D6998" t="s">
        <v>16</v>
      </c>
      <c r="E6998">
        <v>0.32060185185185103</v>
      </c>
      <c r="F6998">
        <v>0.83014992944941801</v>
      </c>
      <c r="G6998">
        <v>0.227704048156738</v>
      </c>
      <c r="H6998">
        <v>1</v>
      </c>
      <c r="I6998">
        <v>1</v>
      </c>
      <c r="J6998">
        <v>30</v>
      </c>
    </row>
    <row r="6999" spans="1:10" x14ac:dyDescent="0.25">
      <c r="A6999" t="s">
        <v>26</v>
      </c>
      <c r="B6999" t="s">
        <v>21</v>
      </c>
      <c r="C6999" t="s">
        <v>12</v>
      </c>
      <c r="D6999" t="s">
        <v>16</v>
      </c>
      <c r="E6999">
        <v>0.33796296296296202</v>
      </c>
      <c r="F6999">
        <v>0.834490169583335</v>
      </c>
      <c r="G6999">
        <v>0.23425197601318301</v>
      </c>
      <c r="H6999">
        <v>1</v>
      </c>
      <c r="I6999">
        <v>1</v>
      </c>
      <c r="J6999">
        <v>30</v>
      </c>
    </row>
    <row r="7000" spans="1:10" x14ac:dyDescent="0.25">
      <c r="A7000" t="s">
        <v>26</v>
      </c>
      <c r="B7000" t="s">
        <v>21</v>
      </c>
      <c r="C7000" t="s">
        <v>12</v>
      </c>
      <c r="D7000" t="s">
        <v>16</v>
      </c>
      <c r="E7000">
        <v>0.33641975308641903</v>
      </c>
      <c r="F7000">
        <v>0.83410436972222401</v>
      </c>
      <c r="G7000">
        <v>0.219680786132812</v>
      </c>
      <c r="H7000">
        <v>1</v>
      </c>
      <c r="I7000">
        <v>1</v>
      </c>
      <c r="J7000">
        <v>30</v>
      </c>
    </row>
    <row r="7001" spans="1:10" x14ac:dyDescent="0.25">
      <c r="A7001" t="s">
        <v>26</v>
      </c>
      <c r="B7001" t="s">
        <v>21</v>
      </c>
      <c r="C7001" t="s">
        <v>12</v>
      </c>
      <c r="D7001" t="s">
        <v>16</v>
      </c>
      <c r="E7001">
        <v>0.327932098765432</v>
      </c>
      <c r="F7001">
        <v>0.83198247897955002</v>
      </c>
      <c r="G7001">
        <v>0.23518419265747001</v>
      </c>
      <c r="H7001">
        <v>1</v>
      </c>
      <c r="I7001">
        <v>1</v>
      </c>
      <c r="J7001">
        <v>30</v>
      </c>
    </row>
    <row r="7002" spans="1:10" x14ac:dyDescent="0.25">
      <c r="A7002" t="s">
        <v>26</v>
      </c>
      <c r="B7002" t="s">
        <v>21</v>
      </c>
      <c r="C7002" t="s">
        <v>12</v>
      </c>
      <c r="D7002" t="s">
        <v>16</v>
      </c>
      <c r="E7002">
        <v>0.32677469135802401</v>
      </c>
      <c r="F7002">
        <v>0.83169312905373904</v>
      </c>
      <c r="G7002">
        <v>0.23727035522460899</v>
      </c>
      <c r="H7002">
        <v>1</v>
      </c>
      <c r="I7002">
        <v>1</v>
      </c>
      <c r="J7002">
        <v>30</v>
      </c>
    </row>
    <row r="7003" spans="1:10" x14ac:dyDescent="0.25">
      <c r="A7003" t="s">
        <v>26</v>
      </c>
      <c r="B7003" t="s">
        <v>21</v>
      </c>
      <c r="C7003" t="s">
        <v>12</v>
      </c>
      <c r="D7003" t="s">
        <v>16</v>
      </c>
      <c r="E7003">
        <v>0</v>
      </c>
      <c r="F7003">
        <v>0.75</v>
      </c>
      <c r="G7003">
        <v>0.17980170249938901</v>
      </c>
      <c r="H7003">
        <v>0</v>
      </c>
      <c r="I7003">
        <v>0</v>
      </c>
      <c r="J7003">
        <v>30</v>
      </c>
    </row>
    <row r="7004" spans="1:10" x14ac:dyDescent="0.25">
      <c r="A7004" t="s">
        <v>26</v>
      </c>
      <c r="B7004" t="s">
        <v>21</v>
      </c>
      <c r="C7004" t="s">
        <v>12</v>
      </c>
      <c r="D7004" t="s">
        <v>16</v>
      </c>
      <c r="E7004">
        <v>0.33487654320987598</v>
      </c>
      <c r="F7004">
        <v>0.83371856986111303</v>
      </c>
      <c r="G7004">
        <v>0.24219822883605899</v>
      </c>
      <c r="H7004">
        <v>1</v>
      </c>
      <c r="I7004">
        <v>1</v>
      </c>
      <c r="J7004">
        <v>30</v>
      </c>
    </row>
    <row r="7005" spans="1:10" x14ac:dyDescent="0.25">
      <c r="A7005" t="s">
        <v>26</v>
      </c>
      <c r="B7005" t="s">
        <v>21</v>
      </c>
      <c r="C7005" t="s">
        <v>12</v>
      </c>
      <c r="D7005" t="s">
        <v>16</v>
      </c>
      <c r="E7005">
        <v>0.33834876543209802</v>
      </c>
      <c r="F7005">
        <v>0.83458661954861302</v>
      </c>
      <c r="G7005">
        <v>0.23826980590820299</v>
      </c>
      <c r="H7005">
        <v>1</v>
      </c>
      <c r="I7005">
        <v>1</v>
      </c>
      <c r="J7005">
        <v>30</v>
      </c>
    </row>
    <row r="7006" spans="1:10" x14ac:dyDescent="0.25">
      <c r="A7006" t="s">
        <v>26</v>
      </c>
      <c r="B7006" t="s">
        <v>21</v>
      </c>
      <c r="C7006" t="s">
        <v>12</v>
      </c>
      <c r="D7006" t="s">
        <v>16</v>
      </c>
      <c r="E7006">
        <v>0.33796296296296202</v>
      </c>
      <c r="F7006">
        <v>0.834490169583335</v>
      </c>
      <c r="G7006">
        <v>0.23574781417846599</v>
      </c>
      <c r="H7006">
        <v>1</v>
      </c>
      <c r="I7006">
        <v>1</v>
      </c>
      <c r="J7006">
        <v>30</v>
      </c>
    </row>
    <row r="7007" spans="1:10" x14ac:dyDescent="0.25">
      <c r="A7007" t="s">
        <v>26</v>
      </c>
      <c r="B7007" t="s">
        <v>21</v>
      </c>
      <c r="C7007" t="s">
        <v>12</v>
      </c>
      <c r="D7007" t="s">
        <v>16</v>
      </c>
      <c r="E7007">
        <v>0.33719135802469102</v>
      </c>
      <c r="F7007">
        <v>0.83429726965277995</v>
      </c>
      <c r="G7007">
        <v>0.23655533790588301</v>
      </c>
      <c r="H7007">
        <v>1</v>
      </c>
      <c r="I7007">
        <v>1</v>
      </c>
      <c r="J7007">
        <v>30</v>
      </c>
    </row>
    <row r="7008" spans="1:10" x14ac:dyDescent="0.25">
      <c r="A7008" t="s">
        <v>26</v>
      </c>
      <c r="B7008" t="s">
        <v>21</v>
      </c>
      <c r="C7008" t="s">
        <v>12</v>
      </c>
      <c r="D7008" t="s">
        <v>16</v>
      </c>
      <c r="E7008">
        <v>0.31983024691357997</v>
      </c>
      <c r="F7008">
        <v>0.82995702949887795</v>
      </c>
      <c r="G7008">
        <v>0.23461484909057601</v>
      </c>
      <c r="H7008">
        <v>1</v>
      </c>
      <c r="I7008">
        <v>1</v>
      </c>
      <c r="J7008">
        <v>30</v>
      </c>
    </row>
    <row r="7009" spans="1:10" x14ac:dyDescent="0.25">
      <c r="A7009" t="s">
        <v>26</v>
      </c>
      <c r="B7009" t="s">
        <v>21</v>
      </c>
      <c r="C7009" t="s">
        <v>12</v>
      </c>
      <c r="D7009" t="s">
        <v>16</v>
      </c>
      <c r="E7009">
        <v>0.33989197530864101</v>
      </c>
      <c r="F7009">
        <v>0.83497241053854498</v>
      </c>
      <c r="G7009">
        <v>0.24012923240661599</v>
      </c>
      <c r="H7009">
        <v>1</v>
      </c>
      <c r="I7009">
        <v>1</v>
      </c>
      <c r="J7009">
        <v>30</v>
      </c>
    </row>
    <row r="7010" spans="1:10" x14ac:dyDescent="0.25">
      <c r="A7010" t="s">
        <v>26</v>
      </c>
      <c r="B7010" t="s">
        <v>21</v>
      </c>
      <c r="C7010" t="s">
        <v>12</v>
      </c>
      <c r="D7010" t="s">
        <v>16</v>
      </c>
      <c r="E7010">
        <v>0.33487654320987598</v>
      </c>
      <c r="F7010">
        <v>0.83371856986111303</v>
      </c>
      <c r="G7010">
        <v>0.23742127418518</v>
      </c>
      <c r="H7010">
        <v>1</v>
      </c>
      <c r="I7010">
        <v>1</v>
      </c>
      <c r="J7010">
        <v>30</v>
      </c>
    </row>
    <row r="7011" spans="1:10" x14ac:dyDescent="0.25">
      <c r="A7011" t="s">
        <v>26</v>
      </c>
      <c r="B7011" t="s">
        <v>21</v>
      </c>
      <c r="C7011" t="s">
        <v>12</v>
      </c>
      <c r="D7011" t="s">
        <v>16</v>
      </c>
      <c r="E7011">
        <v>0</v>
      </c>
      <c r="F7011">
        <v>0.75</v>
      </c>
      <c r="G7011">
        <v>0.21112298965454099</v>
      </c>
      <c r="H7011">
        <v>0</v>
      </c>
      <c r="I7011">
        <v>0</v>
      </c>
      <c r="J7011">
        <v>30</v>
      </c>
    </row>
    <row r="7012" spans="1:10" x14ac:dyDescent="0.25">
      <c r="A7012" t="s">
        <v>26</v>
      </c>
      <c r="B7012" t="s">
        <v>21</v>
      </c>
      <c r="C7012" t="s">
        <v>12</v>
      </c>
      <c r="D7012" t="s">
        <v>16</v>
      </c>
      <c r="E7012">
        <v>0.33140432098765399</v>
      </c>
      <c r="F7012">
        <v>0.83285052017361305</v>
      </c>
      <c r="G7012">
        <v>0.24420404434204099</v>
      </c>
      <c r="H7012">
        <v>1</v>
      </c>
      <c r="I7012">
        <v>1</v>
      </c>
      <c r="J7012">
        <v>30</v>
      </c>
    </row>
    <row r="7013" spans="1:10" x14ac:dyDescent="0.25">
      <c r="A7013" t="s">
        <v>26</v>
      </c>
      <c r="B7013" t="s">
        <v>21</v>
      </c>
      <c r="C7013" t="s">
        <v>12</v>
      </c>
      <c r="D7013" t="s">
        <v>16</v>
      </c>
      <c r="E7013">
        <v>0.33873456790123402</v>
      </c>
      <c r="F7013">
        <v>0.83468306951389104</v>
      </c>
      <c r="G7013">
        <v>0.236179590225219</v>
      </c>
      <c r="H7013">
        <v>1</v>
      </c>
      <c r="I7013">
        <v>1</v>
      </c>
      <c r="J7013">
        <v>30</v>
      </c>
    </row>
    <row r="7014" spans="1:10" x14ac:dyDescent="0.25">
      <c r="A7014" t="s">
        <v>26</v>
      </c>
      <c r="B7014" t="s">
        <v>21</v>
      </c>
      <c r="C7014" t="s">
        <v>12</v>
      </c>
      <c r="D7014" t="s">
        <v>16</v>
      </c>
      <c r="E7014">
        <v>0.33410493827160398</v>
      </c>
      <c r="F7014">
        <v>0.83352566993055799</v>
      </c>
      <c r="G7014">
        <v>0.235687255859375</v>
      </c>
      <c r="H7014">
        <v>1</v>
      </c>
      <c r="I7014">
        <v>1</v>
      </c>
      <c r="J7014">
        <v>30</v>
      </c>
    </row>
    <row r="7015" spans="1:10" x14ac:dyDescent="0.25">
      <c r="A7015" t="s">
        <v>26</v>
      </c>
      <c r="B7015" t="s">
        <v>21</v>
      </c>
      <c r="C7015" t="s">
        <v>12</v>
      </c>
      <c r="D7015" t="s">
        <v>16</v>
      </c>
      <c r="E7015">
        <v>0.33526234567901197</v>
      </c>
      <c r="F7015">
        <v>0.83381501982639095</v>
      </c>
      <c r="G7015">
        <v>0.232167959213256</v>
      </c>
      <c r="H7015">
        <v>1</v>
      </c>
      <c r="I7015">
        <v>1</v>
      </c>
      <c r="J7015">
        <v>30</v>
      </c>
    </row>
    <row r="7016" spans="1:10" x14ac:dyDescent="0.25">
      <c r="A7016" t="s">
        <v>26</v>
      </c>
      <c r="B7016" t="s">
        <v>21</v>
      </c>
      <c r="C7016" t="s">
        <v>12</v>
      </c>
      <c r="D7016" t="s">
        <v>16</v>
      </c>
      <c r="E7016">
        <v>0.33179012345678999</v>
      </c>
      <c r="F7016">
        <v>0.83294697013889096</v>
      </c>
      <c r="G7016">
        <v>0.23364996910095201</v>
      </c>
      <c r="H7016">
        <v>1</v>
      </c>
      <c r="I7016">
        <v>1</v>
      </c>
      <c r="J7016">
        <v>30</v>
      </c>
    </row>
    <row r="7017" spans="1:10" x14ac:dyDescent="0.25">
      <c r="A7017" t="s">
        <v>26</v>
      </c>
      <c r="B7017" t="s">
        <v>21</v>
      </c>
      <c r="C7017" t="s">
        <v>12</v>
      </c>
      <c r="D7017" t="s">
        <v>16</v>
      </c>
      <c r="E7017">
        <v>0</v>
      </c>
      <c r="F7017">
        <v>0.75</v>
      </c>
      <c r="G7017">
        <v>0.15030694007873499</v>
      </c>
      <c r="H7017">
        <v>0</v>
      </c>
      <c r="I7017">
        <v>0</v>
      </c>
      <c r="J7017">
        <v>30</v>
      </c>
    </row>
    <row r="7018" spans="1:10" x14ac:dyDescent="0.25">
      <c r="A7018" t="s">
        <v>26</v>
      </c>
      <c r="B7018" t="s">
        <v>21</v>
      </c>
      <c r="C7018" t="s">
        <v>12</v>
      </c>
      <c r="D7018" t="s">
        <v>16</v>
      </c>
      <c r="E7018">
        <v>0.33024691358024599</v>
      </c>
      <c r="F7018">
        <v>0.83256117027777998</v>
      </c>
      <c r="G7018">
        <v>0.21838569641113201</v>
      </c>
      <c r="H7018">
        <v>1</v>
      </c>
      <c r="I7018">
        <v>1</v>
      </c>
      <c r="J7018">
        <v>30</v>
      </c>
    </row>
    <row r="7019" spans="1:10" x14ac:dyDescent="0.25">
      <c r="A7019" t="s">
        <v>26</v>
      </c>
      <c r="B7019" t="s">
        <v>21</v>
      </c>
      <c r="C7019" t="s">
        <v>12</v>
      </c>
      <c r="D7019" t="s">
        <v>16</v>
      </c>
      <c r="E7019">
        <v>0.33371913580246898</v>
      </c>
      <c r="F7019">
        <v>0.83342921996527997</v>
      </c>
      <c r="G7019">
        <v>0.25154423713683999</v>
      </c>
      <c r="H7019">
        <v>1</v>
      </c>
      <c r="I7019">
        <v>1</v>
      </c>
      <c r="J7019">
        <v>30</v>
      </c>
    </row>
    <row r="7020" spans="1:10" x14ac:dyDescent="0.25">
      <c r="A7020" t="s">
        <v>26</v>
      </c>
      <c r="B7020" t="s">
        <v>21</v>
      </c>
      <c r="C7020" t="s">
        <v>12</v>
      </c>
      <c r="D7020" t="s">
        <v>16</v>
      </c>
      <c r="E7020">
        <v>0.327546296296296</v>
      </c>
      <c r="F7020">
        <v>0.83188602900427999</v>
      </c>
      <c r="G7020">
        <v>0.20524287223815901</v>
      </c>
      <c r="H7020">
        <v>1</v>
      </c>
      <c r="I7020">
        <v>1</v>
      </c>
      <c r="J7020">
        <v>30</v>
      </c>
    </row>
    <row r="7021" spans="1:10" x14ac:dyDescent="0.25">
      <c r="A7021" t="s">
        <v>26</v>
      </c>
      <c r="B7021" t="s">
        <v>21</v>
      </c>
      <c r="C7021" t="s">
        <v>12</v>
      </c>
      <c r="D7021" t="s">
        <v>16</v>
      </c>
      <c r="E7021">
        <v>0.32716049382716</v>
      </c>
      <c r="F7021">
        <v>0.83178957902900896</v>
      </c>
      <c r="G7021">
        <v>0.19620347023010201</v>
      </c>
      <c r="H7021">
        <v>1</v>
      </c>
      <c r="I7021">
        <v>1</v>
      </c>
      <c r="J7021">
        <v>30</v>
      </c>
    </row>
    <row r="7022" spans="1:10" x14ac:dyDescent="0.25">
      <c r="A7022" t="s">
        <v>26</v>
      </c>
      <c r="B7022" t="s">
        <v>21</v>
      </c>
      <c r="C7022" t="s">
        <v>12</v>
      </c>
      <c r="D7022" t="s">
        <v>17</v>
      </c>
      <c r="E7022">
        <v>0</v>
      </c>
      <c r="F7022">
        <v>0.74896092453738405</v>
      </c>
      <c r="G7022">
        <v>8.6431250572204501</v>
      </c>
      <c r="H7022">
        <v>24</v>
      </c>
      <c r="I7022">
        <v>30</v>
      </c>
      <c r="J7022">
        <v>30</v>
      </c>
    </row>
    <row r="7023" spans="1:10" x14ac:dyDescent="0.25">
      <c r="A7023" t="s">
        <v>26</v>
      </c>
      <c r="B7023" t="s">
        <v>21</v>
      </c>
      <c r="C7023" t="s">
        <v>12</v>
      </c>
      <c r="D7023" t="s">
        <v>17</v>
      </c>
      <c r="E7023">
        <v>0</v>
      </c>
      <c r="F7023">
        <v>0.74887804448124895</v>
      </c>
      <c r="G7023">
        <v>13.734163999557399</v>
      </c>
      <c r="H7023">
        <v>40</v>
      </c>
      <c r="I7023">
        <v>31</v>
      </c>
      <c r="J7023">
        <v>30</v>
      </c>
    </row>
    <row r="7024" spans="1:10" x14ac:dyDescent="0.25">
      <c r="A7024" t="s">
        <v>26</v>
      </c>
      <c r="B7024" t="s">
        <v>21</v>
      </c>
      <c r="C7024" t="s">
        <v>12</v>
      </c>
      <c r="D7024" t="s">
        <v>17</v>
      </c>
      <c r="E7024">
        <v>3.8580246913580201E-4</v>
      </c>
      <c r="F7024">
        <v>0.748574287834606</v>
      </c>
      <c r="G7024">
        <v>14.371458530426001</v>
      </c>
      <c r="H7024">
        <v>42</v>
      </c>
      <c r="I7024">
        <v>35</v>
      </c>
      <c r="J7024">
        <v>30</v>
      </c>
    </row>
    <row r="7025" spans="1:10" x14ac:dyDescent="0.25">
      <c r="A7025" t="s">
        <v>26</v>
      </c>
      <c r="B7025" t="s">
        <v>21</v>
      </c>
      <c r="C7025" t="s">
        <v>12</v>
      </c>
      <c r="D7025" t="s">
        <v>17</v>
      </c>
      <c r="E7025">
        <v>4.5524691358024602E-2</v>
      </c>
      <c r="F7025">
        <v>0.75473170987816296</v>
      </c>
      <c r="G7025">
        <v>18.021210670471099</v>
      </c>
      <c r="H7025">
        <v>85</v>
      </c>
      <c r="I7025">
        <v>37</v>
      </c>
      <c r="J7025">
        <v>30</v>
      </c>
    </row>
    <row r="7026" spans="1:10" x14ac:dyDescent="0.25">
      <c r="A7026" t="s">
        <v>26</v>
      </c>
      <c r="B7026" t="s">
        <v>21</v>
      </c>
      <c r="C7026" t="s">
        <v>12</v>
      </c>
      <c r="D7026" t="s">
        <v>17</v>
      </c>
      <c r="E7026">
        <v>4.9382716049382699E-2</v>
      </c>
      <c r="F7026">
        <v>0.75268729212492202</v>
      </c>
      <c r="G7026">
        <v>23.297532558441102</v>
      </c>
      <c r="H7026">
        <v>89</v>
      </c>
      <c r="I7026">
        <v>37</v>
      </c>
      <c r="J7026">
        <v>30</v>
      </c>
    </row>
    <row r="7027" spans="1:10" x14ac:dyDescent="0.25">
      <c r="A7027" t="s">
        <v>26</v>
      </c>
      <c r="B7027" t="s">
        <v>21</v>
      </c>
      <c r="C7027" t="s">
        <v>12</v>
      </c>
      <c r="D7027" t="s">
        <v>17</v>
      </c>
      <c r="E7027">
        <v>4.4367283950617203E-2</v>
      </c>
      <c r="F7027">
        <v>0.75161938713395005</v>
      </c>
      <c r="G7027">
        <v>28.779507875442501</v>
      </c>
      <c r="H7027">
        <v>137</v>
      </c>
      <c r="I7027">
        <v>41</v>
      </c>
      <c r="J7027">
        <v>30</v>
      </c>
    </row>
    <row r="7028" spans="1:10" x14ac:dyDescent="0.25">
      <c r="A7028" t="s">
        <v>26</v>
      </c>
      <c r="B7028" t="s">
        <v>21</v>
      </c>
      <c r="C7028" t="s">
        <v>12</v>
      </c>
      <c r="D7028" t="s">
        <v>17</v>
      </c>
      <c r="E7028">
        <v>5.0154320987654301E-2</v>
      </c>
      <c r="F7028">
        <v>0.75262621151612497</v>
      </c>
      <c r="G7028">
        <v>34.091470241546602</v>
      </c>
      <c r="H7028">
        <v>158</v>
      </c>
      <c r="I7028">
        <v>43</v>
      </c>
      <c r="J7028">
        <v>30</v>
      </c>
    </row>
    <row r="7029" spans="1:10" x14ac:dyDescent="0.25">
      <c r="A7029" t="s">
        <v>26</v>
      </c>
      <c r="B7029" t="s">
        <v>21</v>
      </c>
      <c r="C7029" t="s">
        <v>12</v>
      </c>
      <c r="D7029" t="s">
        <v>17</v>
      </c>
      <c r="E7029">
        <v>4.5138888888888798E-2</v>
      </c>
      <c r="F7029">
        <v>0.75501166320073199</v>
      </c>
      <c r="G7029">
        <v>39.321344375610302</v>
      </c>
      <c r="H7029">
        <v>173</v>
      </c>
      <c r="I7029">
        <v>42</v>
      </c>
      <c r="J7029">
        <v>30</v>
      </c>
    </row>
    <row r="7030" spans="1:10" x14ac:dyDescent="0.25">
      <c r="A7030" t="s">
        <v>26</v>
      </c>
      <c r="B7030" t="s">
        <v>21</v>
      </c>
      <c r="C7030" t="s">
        <v>12</v>
      </c>
      <c r="D7030" t="s">
        <v>17</v>
      </c>
      <c r="E7030">
        <v>0.10108024691358</v>
      </c>
      <c r="F7030">
        <v>0.76207348687684995</v>
      </c>
      <c r="G7030">
        <v>42.865072488784698</v>
      </c>
      <c r="H7030">
        <v>237</v>
      </c>
      <c r="I7030">
        <v>43</v>
      </c>
      <c r="J7030">
        <v>30</v>
      </c>
    </row>
    <row r="7031" spans="1:10" x14ac:dyDescent="0.25">
      <c r="A7031" t="s">
        <v>26</v>
      </c>
      <c r="B7031" t="s">
        <v>21</v>
      </c>
      <c r="C7031" t="s">
        <v>12</v>
      </c>
      <c r="D7031" t="s">
        <v>17</v>
      </c>
      <c r="E7031">
        <v>5.4012345679012301E-2</v>
      </c>
      <c r="F7031">
        <v>0.75613023267935897</v>
      </c>
      <c r="G7031">
        <v>45.341627597808802</v>
      </c>
      <c r="H7031">
        <v>178</v>
      </c>
      <c r="I7031">
        <v>44</v>
      </c>
      <c r="J7031">
        <v>30</v>
      </c>
    </row>
    <row r="7032" spans="1:10" x14ac:dyDescent="0.25">
      <c r="A7032" t="s">
        <v>26</v>
      </c>
      <c r="B7032" t="s">
        <v>21</v>
      </c>
      <c r="C7032" t="s">
        <v>12</v>
      </c>
      <c r="D7032" t="s">
        <v>17</v>
      </c>
      <c r="E7032">
        <v>8.44907407407407E-2</v>
      </c>
      <c r="F7032">
        <v>0.75427907300833197</v>
      </c>
      <c r="G7032">
        <v>46.534247398376401</v>
      </c>
      <c r="H7032">
        <v>234</v>
      </c>
      <c r="I7032">
        <v>40</v>
      </c>
      <c r="J7032">
        <v>30</v>
      </c>
    </row>
    <row r="7033" spans="1:10" x14ac:dyDescent="0.25">
      <c r="A7033" t="s">
        <v>26</v>
      </c>
      <c r="B7033" t="s">
        <v>21</v>
      </c>
      <c r="C7033" t="s">
        <v>12</v>
      </c>
      <c r="D7033" t="s">
        <v>17</v>
      </c>
      <c r="E7033">
        <v>9.7222222222222196E-2</v>
      </c>
      <c r="F7033">
        <v>0.75672379520952804</v>
      </c>
      <c r="G7033">
        <v>53.732970237731898</v>
      </c>
      <c r="H7033">
        <v>276</v>
      </c>
      <c r="I7033">
        <v>43</v>
      </c>
      <c r="J7033">
        <v>30</v>
      </c>
    </row>
    <row r="7034" spans="1:10" x14ac:dyDescent="0.25">
      <c r="A7034" t="s">
        <v>26</v>
      </c>
      <c r="B7034" t="s">
        <v>21</v>
      </c>
      <c r="C7034" t="s">
        <v>12</v>
      </c>
      <c r="D7034" t="s">
        <v>17</v>
      </c>
      <c r="E7034">
        <v>0.10108024691358</v>
      </c>
      <c r="F7034">
        <v>0.76332262309432797</v>
      </c>
      <c r="G7034">
        <v>62.592800140380803</v>
      </c>
      <c r="H7034">
        <v>335</v>
      </c>
      <c r="I7034">
        <v>43</v>
      </c>
      <c r="J7034">
        <v>30</v>
      </c>
    </row>
    <row r="7035" spans="1:10" x14ac:dyDescent="0.25">
      <c r="A7035" t="s">
        <v>26</v>
      </c>
      <c r="B7035" t="s">
        <v>21</v>
      </c>
      <c r="C7035" t="s">
        <v>12</v>
      </c>
      <c r="D7035" t="s">
        <v>17</v>
      </c>
      <c r="E7035">
        <v>8.7577160493827105E-2</v>
      </c>
      <c r="F7035">
        <v>0.75684553537561605</v>
      </c>
      <c r="G7035">
        <v>66.189277172088595</v>
      </c>
      <c r="H7035">
        <v>365</v>
      </c>
      <c r="I7035">
        <v>44</v>
      </c>
      <c r="J7035">
        <v>30</v>
      </c>
    </row>
    <row r="7036" spans="1:10" x14ac:dyDescent="0.25">
      <c r="A7036" t="s">
        <v>26</v>
      </c>
      <c r="B7036" t="s">
        <v>21</v>
      </c>
      <c r="C7036" t="s">
        <v>12</v>
      </c>
      <c r="D7036" t="s">
        <v>17</v>
      </c>
      <c r="E7036">
        <v>9.1049382716049301E-2</v>
      </c>
      <c r="F7036">
        <v>0.75483678083772998</v>
      </c>
      <c r="G7036">
        <v>70.615176200866699</v>
      </c>
      <c r="H7036">
        <v>367</v>
      </c>
      <c r="I7036">
        <v>43</v>
      </c>
      <c r="J7036">
        <v>30</v>
      </c>
    </row>
    <row r="7037" spans="1:10" x14ac:dyDescent="0.25">
      <c r="A7037" t="s">
        <v>26</v>
      </c>
      <c r="B7037" t="s">
        <v>21</v>
      </c>
      <c r="C7037" t="s">
        <v>12</v>
      </c>
      <c r="D7037" t="s">
        <v>17</v>
      </c>
      <c r="E7037">
        <v>9.7608024691358E-2</v>
      </c>
      <c r="F7037">
        <v>0.759586487461689</v>
      </c>
      <c r="G7037">
        <v>71.098581552505493</v>
      </c>
      <c r="H7037">
        <v>365</v>
      </c>
      <c r="I7037">
        <v>44</v>
      </c>
      <c r="J7037">
        <v>30</v>
      </c>
    </row>
    <row r="7038" spans="1:10" x14ac:dyDescent="0.25">
      <c r="A7038" t="s">
        <v>26</v>
      </c>
      <c r="B7038" t="s">
        <v>21</v>
      </c>
      <c r="C7038" t="s">
        <v>12</v>
      </c>
      <c r="D7038" t="s">
        <v>17</v>
      </c>
      <c r="E7038">
        <v>0.102237654320987</v>
      </c>
      <c r="F7038">
        <v>0.76231965585960504</v>
      </c>
      <c r="G7038">
        <v>75.721706867218003</v>
      </c>
      <c r="H7038">
        <v>428</v>
      </c>
      <c r="I7038">
        <v>45</v>
      </c>
      <c r="J7038">
        <v>30</v>
      </c>
    </row>
    <row r="7039" spans="1:10" x14ac:dyDescent="0.25">
      <c r="A7039" t="s">
        <v>26</v>
      </c>
      <c r="B7039" t="s">
        <v>21</v>
      </c>
      <c r="C7039" t="s">
        <v>12</v>
      </c>
      <c r="D7039" t="s">
        <v>17</v>
      </c>
      <c r="E7039">
        <v>0.102623456790123</v>
      </c>
      <c r="F7039">
        <v>0.76267294934421204</v>
      </c>
      <c r="G7039">
        <v>75.919290065765296</v>
      </c>
      <c r="H7039">
        <v>419</v>
      </c>
      <c r="I7039">
        <v>43</v>
      </c>
      <c r="J7039">
        <v>30</v>
      </c>
    </row>
    <row r="7040" spans="1:10" x14ac:dyDescent="0.25">
      <c r="A7040" t="s">
        <v>26</v>
      </c>
      <c r="B7040" t="s">
        <v>21</v>
      </c>
      <c r="C7040" t="s">
        <v>12</v>
      </c>
      <c r="D7040" t="s">
        <v>17</v>
      </c>
      <c r="E7040">
        <v>8.7191358024691301E-2</v>
      </c>
      <c r="F7040">
        <v>0.75330188753259997</v>
      </c>
      <c r="G7040">
        <v>77.842581987380896</v>
      </c>
      <c r="H7040">
        <v>441</v>
      </c>
      <c r="I7040">
        <v>42</v>
      </c>
      <c r="J7040">
        <v>30</v>
      </c>
    </row>
    <row r="7041" spans="1:10" x14ac:dyDescent="0.25">
      <c r="A7041" t="s">
        <v>26</v>
      </c>
      <c r="B7041" t="s">
        <v>21</v>
      </c>
      <c r="C7041" t="s">
        <v>12</v>
      </c>
      <c r="D7041" t="s">
        <v>17</v>
      </c>
      <c r="E7041">
        <v>0.102237654320987</v>
      </c>
      <c r="F7041">
        <v>0.76100421352187397</v>
      </c>
      <c r="G7041">
        <v>78.602028608322101</v>
      </c>
      <c r="H7041">
        <v>465</v>
      </c>
      <c r="I7041">
        <v>43</v>
      </c>
      <c r="J7041">
        <v>30</v>
      </c>
    </row>
    <row r="7042" spans="1:10" x14ac:dyDescent="0.25">
      <c r="A7042" t="s">
        <v>26</v>
      </c>
      <c r="B7042" t="s">
        <v>21</v>
      </c>
      <c r="C7042" t="s">
        <v>12</v>
      </c>
      <c r="D7042" t="s">
        <v>17</v>
      </c>
      <c r="E7042">
        <v>9.1049382716049301E-2</v>
      </c>
      <c r="F7042">
        <v>0.75668198864374903</v>
      </c>
      <c r="G7042">
        <v>80.551383733749304</v>
      </c>
      <c r="H7042">
        <v>465</v>
      </c>
      <c r="I7042">
        <v>43</v>
      </c>
      <c r="J7042">
        <v>30</v>
      </c>
    </row>
    <row r="7043" spans="1:10" x14ac:dyDescent="0.25">
      <c r="A7043" t="s">
        <v>26</v>
      </c>
      <c r="B7043" t="s">
        <v>21</v>
      </c>
      <c r="C7043" t="s">
        <v>12</v>
      </c>
      <c r="D7043" t="s">
        <v>17</v>
      </c>
      <c r="E7043">
        <v>9.4135802469135804E-2</v>
      </c>
      <c r="F7043">
        <v>0.75812659997862597</v>
      </c>
      <c r="G7043">
        <v>84.663505554199205</v>
      </c>
      <c r="H7043">
        <v>490</v>
      </c>
      <c r="I7043">
        <v>45</v>
      </c>
      <c r="J7043">
        <v>30</v>
      </c>
    </row>
    <row r="7044" spans="1:10" x14ac:dyDescent="0.25">
      <c r="A7044" t="s">
        <v>26</v>
      </c>
      <c r="B7044" t="s">
        <v>21</v>
      </c>
      <c r="C7044" t="s">
        <v>12</v>
      </c>
      <c r="D7044" t="s">
        <v>17</v>
      </c>
      <c r="E7044">
        <v>0.16782407407407399</v>
      </c>
      <c r="F7044">
        <v>0.76183179179972904</v>
      </c>
      <c r="G7044">
        <v>86.394358634948702</v>
      </c>
      <c r="H7044">
        <v>641</v>
      </c>
      <c r="I7044">
        <v>48</v>
      </c>
      <c r="J7044">
        <v>30</v>
      </c>
    </row>
    <row r="7045" spans="1:10" x14ac:dyDescent="0.25">
      <c r="A7045" t="s">
        <v>26</v>
      </c>
      <c r="B7045" t="s">
        <v>21</v>
      </c>
      <c r="C7045" t="s">
        <v>12</v>
      </c>
      <c r="D7045" t="s">
        <v>17</v>
      </c>
      <c r="E7045">
        <v>0.22415123456790101</v>
      </c>
      <c r="F7045">
        <v>0.76341033654648904</v>
      </c>
      <c r="G7045">
        <v>86.581819295883093</v>
      </c>
      <c r="H7045">
        <v>686</v>
      </c>
      <c r="I7045">
        <v>46</v>
      </c>
      <c r="J7045">
        <v>30</v>
      </c>
    </row>
    <row r="7046" spans="1:10" x14ac:dyDescent="0.25">
      <c r="A7046" t="s">
        <v>26</v>
      </c>
      <c r="B7046" t="s">
        <v>21</v>
      </c>
      <c r="C7046" t="s">
        <v>12</v>
      </c>
      <c r="D7046" t="s">
        <v>17</v>
      </c>
      <c r="E7046">
        <v>9.7222222222222196E-2</v>
      </c>
      <c r="F7046">
        <v>0.75442815070567004</v>
      </c>
      <c r="G7046">
        <v>86.764402389526296</v>
      </c>
      <c r="H7046">
        <v>492</v>
      </c>
      <c r="I7046">
        <v>44</v>
      </c>
      <c r="J7046">
        <v>30</v>
      </c>
    </row>
    <row r="7047" spans="1:10" x14ac:dyDescent="0.25">
      <c r="A7047" t="s">
        <v>26</v>
      </c>
      <c r="B7047" t="s">
        <v>21</v>
      </c>
      <c r="C7047" t="s">
        <v>12</v>
      </c>
      <c r="D7047" t="s">
        <v>17</v>
      </c>
      <c r="E7047">
        <v>0.10108024691358</v>
      </c>
      <c r="F7047">
        <v>0.75886716962607903</v>
      </c>
      <c r="G7047">
        <v>89.262366294860797</v>
      </c>
      <c r="H7047">
        <v>531</v>
      </c>
      <c r="I7047">
        <v>44</v>
      </c>
      <c r="J7047">
        <v>30</v>
      </c>
    </row>
    <row r="7048" spans="1:10" x14ac:dyDescent="0.25">
      <c r="A7048" t="s">
        <v>26</v>
      </c>
      <c r="B7048" t="s">
        <v>21</v>
      </c>
      <c r="C7048" t="s">
        <v>12</v>
      </c>
      <c r="D7048" t="s">
        <v>17</v>
      </c>
      <c r="E7048">
        <v>9.1820987654320896E-2</v>
      </c>
      <c r="F7048">
        <v>0.76164083658800097</v>
      </c>
      <c r="G7048">
        <v>93.984375715255695</v>
      </c>
      <c r="H7048">
        <v>557</v>
      </c>
      <c r="I7048">
        <v>44</v>
      </c>
      <c r="J7048">
        <v>30</v>
      </c>
    </row>
    <row r="7049" spans="1:10" x14ac:dyDescent="0.25">
      <c r="A7049" t="s">
        <v>26</v>
      </c>
      <c r="B7049" t="s">
        <v>21</v>
      </c>
      <c r="C7049" t="s">
        <v>12</v>
      </c>
      <c r="D7049" t="s">
        <v>17</v>
      </c>
      <c r="E7049">
        <v>0.13657407407407399</v>
      </c>
      <c r="F7049">
        <v>0.74895429292252902</v>
      </c>
      <c r="G7049">
        <v>102.292375564575</v>
      </c>
      <c r="H7049">
        <v>755</v>
      </c>
      <c r="I7049">
        <v>43</v>
      </c>
      <c r="J7049">
        <v>30</v>
      </c>
    </row>
    <row r="7050" spans="1:10" x14ac:dyDescent="0.25">
      <c r="A7050" t="s">
        <v>26</v>
      </c>
      <c r="B7050" t="s">
        <v>21</v>
      </c>
      <c r="C7050" t="s">
        <v>12</v>
      </c>
      <c r="D7050" t="s">
        <v>17</v>
      </c>
      <c r="E7050">
        <v>0.14390432098765399</v>
      </c>
      <c r="F7050">
        <v>0.75321670618911896</v>
      </c>
      <c r="G7050">
        <v>110.627265930175</v>
      </c>
      <c r="H7050">
        <v>816</v>
      </c>
      <c r="I7050">
        <v>44</v>
      </c>
      <c r="J7050">
        <v>30</v>
      </c>
    </row>
    <row r="7051" spans="1:10" x14ac:dyDescent="0.25">
      <c r="A7051" t="s">
        <v>26</v>
      </c>
      <c r="B7051" t="s">
        <v>21</v>
      </c>
      <c r="C7051" t="s">
        <v>12</v>
      </c>
      <c r="D7051" t="s">
        <v>17</v>
      </c>
      <c r="E7051">
        <v>0.15393518518518501</v>
      </c>
      <c r="F7051">
        <v>0.74569818881396399</v>
      </c>
      <c r="G7051">
        <v>114.60350775718599</v>
      </c>
      <c r="H7051">
        <v>908</v>
      </c>
      <c r="I7051">
        <v>45</v>
      </c>
      <c r="J7051">
        <v>30</v>
      </c>
    </row>
    <row r="7052" spans="1:10" x14ac:dyDescent="0.25">
      <c r="A7052" t="s">
        <v>26</v>
      </c>
      <c r="B7052" t="s">
        <v>21</v>
      </c>
      <c r="C7052" t="s">
        <v>18</v>
      </c>
      <c r="D7052" t="s">
        <v>13</v>
      </c>
      <c r="E7052">
        <v>0.92206790123456694</v>
      </c>
      <c r="F7052">
        <v>0.93633837639490702</v>
      </c>
      <c r="G7052">
        <v>3.4038593769073402</v>
      </c>
      <c r="H7052">
        <v>36</v>
      </c>
      <c r="I7052">
        <v>20</v>
      </c>
      <c r="J7052">
        <v>30</v>
      </c>
    </row>
    <row r="7053" spans="1:10" x14ac:dyDescent="0.25">
      <c r="A7053" t="s">
        <v>26</v>
      </c>
      <c r="B7053" t="s">
        <v>21</v>
      </c>
      <c r="C7053" t="s">
        <v>18</v>
      </c>
      <c r="D7053" t="s">
        <v>13</v>
      </c>
      <c r="E7053">
        <v>0.62731481481481399</v>
      </c>
      <c r="F7053">
        <v>0.87813358304941802</v>
      </c>
      <c r="G7053">
        <v>3.3699181079864502</v>
      </c>
      <c r="H7053">
        <v>25</v>
      </c>
      <c r="I7053">
        <v>16</v>
      </c>
      <c r="J7053">
        <v>30</v>
      </c>
    </row>
    <row r="7054" spans="1:10" x14ac:dyDescent="0.25">
      <c r="A7054" t="s">
        <v>26</v>
      </c>
      <c r="B7054" t="s">
        <v>21</v>
      </c>
      <c r="C7054" t="s">
        <v>18</v>
      </c>
      <c r="D7054" t="s">
        <v>13</v>
      </c>
      <c r="E7054">
        <v>0.64351851851851805</v>
      </c>
      <c r="F7054">
        <v>0.880597945706173</v>
      </c>
      <c r="G7054">
        <v>3.7451193332672101</v>
      </c>
      <c r="H7054">
        <v>25</v>
      </c>
      <c r="I7054">
        <v>17</v>
      </c>
      <c r="J7054">
        <v>30</v>
      </c>
    </row>
    <row r="7055" spans="1:10" x14ac:dyDescent="0.25">
      <c r="A7055" t="s">
        <v>26</v>
      </c>
      <c r="B7055" t="s">
        <v>21</v>
      </c>
      <c r="C7055" t="s">
        <v>18</v>
      </c>
      <c r="D7055" t="s">
        <v>13</v>
      </c>
      <c r="E7055">
        <v>0.64429012345679004</v>
      </c>
      <c r="F7055">
        <v>0.88200057142584898</v>
      </c>
      <c r="G7055">
        <v>3.88271856307983</v>
      </c>
      <c r="H7055">
        <v>28</v>
      </c>
      <c r="I7055">
        <v>16</v>
      </c>
      <c r="J7055">
        <v>30</v>
      </c>
    </row>
    <row r="7056" spans="1:10" x14ac:dyDescent="0.25">
      <c r="A7056" t="s">
        <v>26</v>
      </c>
      <c r="B7056" t="s">
        <v>21</v>
      </c>
      <c r="C7056" t="s">
        <v>18</v>
      </c>
      <c r="D7056" t="s">
        <v>13</v>
      </c>
      <c r="E7056">
        <v>0.93248456790123402</v>
      </c>
      <c r="F7056">
        <v>0.94137840374803095</v>
      </c>
      <c r="G7056">
        <v>3.83506178855896</v>
      </c>
      <c r="H7056">
        <v>34</v>
      </c>
      <c r="I7056">
        <v>24</v>
      </c>
      <c r="J7056">
        <v>30</v>
      </c>
    </row>
    <row r="7057" spans="1:10" x14ac:dyDescent="0.25">
      <c r="A7057" t="s">
        <v>26</v>
      </c>
      <c r="B7057" t="s">
        <v>21</v>
      </c>
      <c r="C7057" t="s">
        <v>18</v>
      </c>
      <c r="D7057" t="s">
        <v>13</v>
      </c>
      <c r="E7057">
        <v>0.64004629629629595</v>
      </c>
      <c r="F7057">
        <v>0.87831674913634195</v>
      </c>
      <c r="G7057">
        <v>3.4967226982116699</v>
      </c>
      <c r="H7057">
        <v>15</v>
      </c>
      <c r="I7057">
        <v>11</v>
      </c>
      <c r="J7057">
        <v>30</v>
      </c>
    </row>
    <row r="7058" spans="1:10" x14ac:dyDescent="0.25">
      <c r="A7058" t="s">
        <v>26</v>
      </c>
      <c r="B7058" t="s">
        <v>21</v>
      </c>
      <c r="C7058" t="s">
        <v>18</v>
      </c>
      <c r="D7058" t="s">
        <v>13</v>
      </c>
      <c r="E7058">
        <v>0.936342592592592</v>
      </c>
      <c r="F7058">
        <v>0.94383866502056102</v>
      </c>
      <c r="G7058">
        <v>3.7842767238616899</v>
      </c>
      <c r="H7058">
        <v>32</v>
      </c>
      <c r="I7058">
        <v>25</v>
      </c>
      <c r="J7058">
        <v>30</v>
      </c>
    </row>
    <row r="7059" spans="1:10" x14ac:dyDescent="0.25">
      <c r="A7059" t="s">
        <v>26</v>
      </c>
      <c r="B7059" t="s">
        <v>21</v>
      </c>
      <c r="C7059" t="s">
        <v>18</v>
      </c>
      <c r="D7059" t="s">
        <v>13</v>
      </c>
      <c r="E7059">
        <v>0.94598765432098697</v>
      </c>
      <c r="F7059">
        <v>0.95240270960023099</v>
      </c>
      <c r="G7059">
        <v>3.8737421035766602</v>
      </c>
      <c r="H7059">
        <v>41</v>
      </c>
      <c r="I7059">
        <v>17</v>
      </c>
      <c r="J7059">
        <v>30</v>
      </c>
    </row>
    <row r="7060" spans="1:10" x14ac:dyDescent="0.25">
      <c r="A7060" t="s">
        <v>26</v>
      </c>
      <c r="B7060" t="s">
        <v>21</v>
      </c>
      <c r="C7060" t="s">
        <v>18</v>
      </c>
      <c r="D7060" t="s">
        <v>13</v>
      </c>
      <c r="E7060">
        <v>0.65856481481481399</v>
      </c>
      <c r="F7060">
        <v>0.88399913274467701</v>
      </c>
      <c r="G7060">
        <v>3.4588265419006299</v>
      </c>
      <c r="H7060">
        <v>30</v>
      </c>
      <c r="I7060">
        <v>17</v>
      </c>
      <c r="J7060">
        <v>30</v>
      </c>
    </row>
    <row r="7061" spans="1:10" x14ac:dyDescent="0.25">
      <c r="A7061" t="s">
        <v>26</v>
      </c>
      <c r="B7061" t="s">
        <v>21</v>
      </c>
      <c r="C7061" t="s">
        <v>18</v>
      </c>
      <c r="D7061" t="s">
        <v>13</v>
      </c>
      <c r="E7061">
        <v>0.93094135802469102</v>
      </c>
      <c r="F7061">
        <v>0.94056778497114202</v>
      </c>
      <c r="G7061">
        <v>3.9350571632385201</v>
      </c>
      <c r="H7061">
        <v>40</v>
      </c>
      <c r="I7061">
        <v>18</v>
      </c>
      <c r="J7061">
        <v>30</v>
      </c>
    </row>
    <row r="7062" spans="1:10" x14ac:dyDescent="0.25">
      <c r="A7062" t="s">
        <v>26</v>
      </c>
      <c r="B7062" t="s">
        <v>21</v>
      </c>
      <c r="C7062" t="s">
        <v>18</v>
      </c>
      <c r="D7062" t="s">
        <v>13</v>
      </c>
      <c r="E7062">
        <v>0.93171296296296202</v>
      </c>
      <c r="F7062">
        <v>0.94171039294000602</v>
      </c>
      <c r="G7062">
        <v>3.5442914962768501</v>
      </c>
      <c r="H7062">
        <v>39</v>
      </c>
      <c r="I7062">
        <v>22</v>
      </c>
      <c r="J7062">
        <v>30</v>
      </c>
    </row>
    <row r="7063" spans="1:10" x14ac:dyDescent="0.25">
      <c r="A7063" t="s">
        <v>26</v>
      </c>
      <c r="B7063" t="s">
        <v>21</v>
      </c>
      <c r="C7063" t="s">
        <v>18</v>
      </c>
      <c r="D7063" t="s">
        <v>13</v>
      </c>
      <c r="E7063">
        <v>0.64506172839506104</v>
      </c>
      <c r="F7063">
        <v>0.87866535639405796</v>
      </c>
      <c r="G7063">
        <v>3.6566479206085201</v>
      </c>
      <c r="H7063">
        <v>27</v>
      </c>
      <c r="I7063">
        <v>15</v>
      </c>
      <c r="J7063">
        <v>30</v>
      </c>
    </row>
    <row r="7064" spans="1:10" x14ac:dyDescent="0.25">
      <c r="A7064" t="s">
        <v>26</v>
      </c>
      <c r="B7064" t="s">
        <v>21</v>
      </c>
      <c r="C7064" t="s">
        <v>18</v>
      </c>
      <c r="D7064" t="s">
        <v>13</v>
      </c>
      <c r="E7064">
        <v>0.95486111111111105</v>
      </c>
      <c r="F7064">
        <v>0.958090983995602</v>
      </c>
      <c r="G7064">
        <v>3.7611167430877601</v>
      </c>
      <c r="H7064">
        <v>49</v>
      </c>
      <c r="I7064">
        <v>24</v>
      </c>
      <c r="J7064">
        <v>30</v>
      </c>
    </row>
    <row r="7065" spans="1:10" x14ac:dyDescent="0.25">
      <c r="A7065" t="s">
        <v>26</v>
      </c>
      <c r="B7065" t="s">
        <v>21</v>
      </c>
      <c r="C7065" t="s">
        <v>18</v>
      </c>
      <c r="D7065" t="s">
        <v>13</v>
      </c>
      <c r="E7065">
        <v>0.93595679012345601</v>
      </c>
      <c r="F7065">
        <v>0.94499139755929795</v>
      </c>
      <c r="G7065">
        <v>3.8746860027313201</v>
      </c>
      <c r="H7065">
        <v>34</v>
      </c>
      <c r="I7065">
        <v>17</v>
      </c>
      <c r="J7065">
        <v>30</v>
      </c>
    </row>
    <row r="7066" spans="1:10" x14ac:dyDescent="0.25">
      <c r="A7066" t="s">
        <v>26</v>
      </c>
      <c r="B7066" t="s">
        <v>21</v>
      </c>
      <c r="C7066" t="s">
        <v>18</v>
      </c>
      <c r="D7066" t="s">
        <v>13</v>
      </c>
      <c r="E7066">
        <v>0.94174382716049299</v>
      </c>
      <c r="F7066">
        <v>0.94814634974116396</v>
      </c>
      <c r="G7066">
        <v>3.9555191993713299</v>
      </c>
      <c r="H7066">
        <v>32</v>
      </c>
      <c r="I7066">
        <v>21</v>
      </c>
      <c r="J7066">
        <v>30</v>
      </c>
    </row>
    <row r="7067" spans="1:10" x14ac:dyDescent="0.25">
      <c r="A7067" t="s">
        <v>26</v>
      </c>
      <c r="B7067" t="s">
        <v>21</v>
      </c>
      <c r="C7067" t="s">
        <v>18</v>
      </c>
      <c r="D7067" t="s">
        <v>13</v>
      </c>
      <c r="E7067">
        <v>0.94521604938271597</v>
      </c>
      <c r="F7067">
        <v>0.95201093218406596</v>
      </c>
      <c r="G7067">
        <v>4.0651445388793901</v>
      </c>
      <c r="H7067">
        <v>36</v>
      </c>
      <c r="I7067">
        <v>23</v>
      </c>
      <c r="J7067">
        <v>30</v>
      </c>
    </row>
    <row r="7068" spans="1:10" x14ac:dyDescent="0.25">
      <c r="A7068" t="s">
        <v>26</v>
      </c>
      <c r="B7068" t="s">
        <v>21</v>
      </c>
      <c r="C7068" t="s">
        <v>18</v>
      </c>
      <c r="D7068" t="s">
        <v>13</v>
      </c>
      <c r="E7068">
        <v>0.94174382716049299</v>
      </c>
      <c r="F7068">
        <v>0.94952158999930503</v>
      </c>
      <c r="G7068">
        <v>4.1786527633666903</v>
      </c>
      <c r="H7068">
        <v>38</v>
      </c>
      <c r="I7068">
        <v>24</v>
      </c>
      <c r="J7068">
        <v>30</v>
      </c>
    </row>
    <row r="7069" spans="1:10" x14ac:dyDescent="0.25">
      <c r="A7069" t="s">
        <v>26</v>
      </c>
      <c r="B7069" t="s">
        <v>21</v>
      </c>
      <c r="C7069" t="s">
        <v>18</v>
      </c>
      <c r="D7069" t="s">
        <v>13</v>
      </c>
      <c r="E7069">
        <v>0.93209876543209802</v>
      </c>
      <c r="F7069">
        <v>0.94104881670158003</v>
      </c>
      <c r="G7069">
        <v>4.1003568172454798</v>
      </c>
      <c r="H7069">
        <v>40</v>
      </c>
      <c r="I7069">
        <v>16</v>
      </c>
      <c r="J7069">
        <v>30</v>
      </c>
    </row>
    <row r="7070" spans="1:10" x14ac:dyDescent="0.25">
      <c r="A7070" t="s">
        <v>26</v>
      </c>
      <c r="B7070" t="s">
        <v>21</v>
      </c>
      <c r="C7070" t="s">
        <v>18</v>
      </c>
      <c r="D7070" t="s">
        <v>13</v>
      </c>
      <c r="E7070">
        <v>0.92669753086419704</v>
      </c>
      <c r="F7070">
        <v>0.938564654152931</v>
      </c>
      <c r="G7070">
        <v>3.8183355331420898</v>
      </c>
      <c r="H7070">
        <v>31</v>
      </c>
      <c r="I7070">
        <v>17</v>
      </c>
      <c r="J7070">
        <v>30</v>
      </c>
    </row>
    <row r="7071" spans="1:10" x14ac:dyDescent="0.25">
      <c r="A7071" t="s">
        <v>26</v>
      </c>
      <c r="B7071" t="s">
        <v>21</v>
      </c>
      <c r="C7071" t="s">
        <v>18</v>
      </c>
      <c r="D7071" t="s">
        <v>13</v>
      </c>
      <c r="E7071">
        <v>0.95293209876543195</v>
      </c>
      <c r="F7071">
        <v>0.95761734811979304</v>
      </c>
      <c r="G7071">
        <v>3.9173345565795898</v>
      </c>
      <c r="H7071">
        <v>53</v>
      </c>
      <c r="I7071">
        <v>21</v>
      </c>
      <c r="J7071">
        <v>30</v>
      </c>
    </row>
    <row r="7072" spans="1:10" x14ac:dyDescent="0.25">
      <c r="A7072" t="s">
        <v>26</v>
      </c>
      <c r="B7072" t="s">
        <v>21</v>
      </c>
      <c r="C7072" t="s">
        <v>18</v>
      </c>
      <c r="D7072" t="s">
        <v>13</v>
      </c>
      <c r="E7072">
        <v>0.937114197530864</v>
      </c>
      <c r="F7072">
        <v>0.94484794493688196</v>
      </c>
      <c r="G7072">
        <v>3.8255839347839302</v>
      </c>
      <c r="H7072">
        <v>31</v>
      </c>
      <c r="I7072">
        <v>20</v>
      </c>
      <c r="J7072">
        <v>30</v>
      </c>
    </row>
    <row r="7073" spans="1:10" x14ac:dyDescent="0.25">
      <c r="A7073" t="s">
        <v>26</v>
      </c>
      <c r="B7073" t="s">
        <v>21</v>
      </c>
      <c r="C7073" t="s">
        <v>18</v>
      </c>
      <c r="D7073" t="s">
        <v>13</v>
      </c>
      <c r="E7073">
        <v>0.63734567901234496</v>
      </c>
      <c r="F7073">
        <v>0.87984368893487397</v>
      </c>
      <c r="G7073">
        <v>3.83530473709106</v>
      </c>
      <c r="H7073">
        <v>30</v>
      </c>
      <c r="I7073">
        <v>14</v>
      </c>
      <c r="J7073">
        <v>30</v>
      </c>
    </row>
    <row r="7074" spans="1:10" x14ac:dyDescent="0.25">
      <c r="A7074" t="s">
        <v>26</v>
      </c>
      <c r="B7074" t="s">
        <v>21</v>
      </c>
      <c r="C7074" t="s">
        <v>18</v>
      </c>
      <c r="D7074" t="s">
        <v>13</v>
      </c>
      <c r="E7074">
        <v>0.94367283950617198</v>
      </c>
      <c r="F7074">
        <v>0.94949966620381898</v>
      </c>
      <c r="G7074">
        <v>4.1336674690246502</v>
      </c>
      <c r="H7074">
        <v>44</v>
      </c>
      <c r="I7074">
        <v>22</v>
      </c>
      <c r="J7074">
        <v>30</v>
      </c>
    </row>
    <row r="7075" spans="1:10" x14ac:dyDescent="0.25">
      <c r="A7075" t="s">
        <v>26</v>
      </c>
      <c r="B7075" t="s">
        <v>21</v>
      </c>
      <c r="C7075" t="s">
        <v>18</v>
      </c>
      <c r="D7075" t="s">
        <v>13</v>
      </c>
      <c r="E7075">
        <v>0.938657407407407</v>
      </c>
      <c r="F7075">
        <v>0.94768667158410502</v>
      </c>
      <c r="G7075">
        <v>3.8517475128173801</v>
      </c>
      <c r="H7075">
        <v>37</v>
      </c>
      <c r="I7075">
        <v>22</v>
      </c>
      <c r="J7075">
        <v>30</v>
      </c>
    </row>
    <row r="7076" spans="1:10" x14ac:dyDescent="0.25">
      <c r="A7076" t="s">
        <v>26</v>
      </c>
      <c r="B7076" t="s">
        <v>21</v>
      </c>
      <c r="C7076" t="s">
        <v>18</v>
      </c>
      <c r="D7076" t="s">
        <v>13</v>
      </c>
      <c r="E7076">
        <v>0.93904320987654299</v>
      </c>
      <c r="F7076">
        <v>0.94770427867322504</v>
      </c>
      <c r="G7076">
        <v>4.0784287452697701</v>
      </c>
      <c r="H7076">
        <v>32</v>
      </c>
      <c r="I7076">
        <v>16</v>
      </c>
      <c r="J7076">
        <v>30</v>
      </c>
    </row>
    <row r="7077" spans="1:10" x14ac:dyDescent="0.25">
      <c r="A7077" t="s">
        <v>26</v>
      </c>
      <c r="B7077" t="s">
        <v>21</v>
      </c>
      <c r="C7077" t="s">
        <v>18</v>
      </c>
      <c r="D7077" t="s">
        <v>13</v>
      </c>
      <c r="E7077">
        <v>0.93981481481481399</v>
      </c>
      <c r="F7077">
        <v>0.94690749892596304</v>
      </c>
      <c r="G7077">
        <v>4.34322190284729</v>
      </c>
      <c r="H7077">
        <v>44</v>
      </c>
      <c r="I7077">
        <v>22</v>
      </c>
      <c r="J7077">
        <v>30</v>
      </c>
    </row>
    <row r="7078" spans="1:10" x14ac:dyDescent="0.25">
      <c r="A7078" t="s">
        <v>26</v>
      </c>
      <c r="B7078" t="s">
        <v>21</v>
      </c>
      <c r="C7078" t="s">
        <v>18</v>
      </c>
      <c r="D7078" t="s">
        <v>13</v>
      </c>
      <c r="E7078">
        <v>0.94984567901234496</v>
      </c>
      <c r="F7078">
        <v>0.95474286208742198</v>
      </c>
      <c r="G7078">
        <v>3.9653074741363499</v>
      </c>
      <c r="H7078">
        <v>38</v>
      </c>
      <c r="I7078">
        <v>23</v>
      </c>
      <c r="J7078">
        <v>30</v>
      </c>
    </row>
    <row r="7079" spans="1:10" x14ac:dyDescent="0.25">
      <c r="A7079" t="s">
        <v>26</v>
      </c>
      <c r="B7079" t="s">
        <v>21</v>
      </c>
      <c r="C7079" t="s">
        <v>18</v>
      </c>
      <c r="D7079" t="s">
        <v>13</v>
      </c>
      <c r="E7079">
        <v>0.64390432098765404</v>
      </c>
      <c r="F7079">
        <v>0.87870798967056096</v>
      </c>
      <c r="G7079">
        <v>4.1207723617553702</v>
      </c>
      <c r="H7079">
        <v>26</v>
      </c>
      <c r="I7079">
        <v>15</v>
      </c>
      <c r="J7079">
        <v>30</v>
      </c>
    </row>
    <row r="7080" spans="1:10" x14ac:dyDescent="0.25">
      <c r="A7080" t="s">
        <v>26</v>
      </c>
      <c r="B7080" t="s">
        <v>21</v>
      </c>
      <c r="C7080" t="s">
        <v>18</v>
      </c>
      <c r="D7080" t="s">
        <v>13</v>
      </c>
      <c r="E7080">
        <v>0.94945987654320896</v>
      </c>
      <c r="F7080">
        <v>0.953612083896064</v>
      </c>
      <c r="G7080">
        <v>4.1770138740539497</v>
      </c>
      <c r="H7080">
        <v>38</v>
      </c>
      <c r="I7080">
        <v>21</v>
      </c>
      <c r="J7080">
        <v>30</v>
      </c>
    </row>
    <row r="7081" spans="1:10" x14ac:dyDescent="0.25">
      <c r="A7081" t="s">
        <v>26</v>
      </c>
      <c r="B7081" t="s">
        <v>21</v>
      </c>
      <c r="C7081" t="s">
        <v>18</v>
      </c>
      <c r="D7081" t="s">
        <v>13</v>
      </c>
      <c r="E7081">
        <v>0.96064814814814803</v>
      </c>
      <c r="F7081">
        <v>0.96287595382754598</v>
      </c>
      <c r="G7081">
        <v>4.4270546436309797</v>
      </c>
      <c r="H7081">
        <v>53</v>
      </c>
      <c r="I7081">
        <v>24</v>
      </c>
      <c r="J7081">
        <v>30</v>
      </c>
    </row>
    <row r="7082" spans="1:10" x14ac:dyDescent="0.25">
      <c r="A7082" t="s">
        <v>26</v>
      </c>
      <c r="B7082" t="s">
        <v>21</v>
      </c>
      <c r="C7082" t="s">
        <v>18</v>
      </c>
      <c r="D7082" t="s">
        <v>14</v>
      </c>
      <c r="E7082">
        <v>0.77970679012345601</v>
      </c>
      <c r="F7082">
        <v>0.89352444909672002</v>
      </c>
      <c r="G7082">
        <v>0.571768999099731</v>
      </c>
      <c r="H7082">
        <v>5</v>
      </c>
      <c r="I7082">
        <v>6</v>
      </c>
      <c r="J7082">
        <v>30</v>
      </c>
    </row>
    <row r="7083" spans="1:10" x14ac:dyDescent="0.25">
      <c r="A7083" t="s">
        <v>26</v>
      </c>
      <c r="B7083" t="s">
        <v>21</v>
      </c>
      <c r="C7083" t="s">
        <v>18</v>
      </c>
      <c r="D7083" t="s">
        <v>14</v>
      </c>
      <c r="E7083">
        <v>0.61574074074074003</v>
      </c>
      <c r="F7083">
        <v>0.86353103309444701</v>
      </c>
      <c r="G7083">
        <v>0.61700177192687899</v>
      </c>
      <c r="H7083">
        <v>3</v>
      </c>
      <c r="I7083">
        <v>4</v>
      </c>
      <c r="J7083">
        <v>30</v>
      </c>
    </row>
    <row r="7084" spans="1:10" x14ac:dyDescent="0.25">
      <c r="A7084" t="s">
        <v>26</v>
      </c>
      <c r="B7084" t="s">
        <v>21</v>
      </c>
      <c r="C7084" t="s">
        <v>18</v>
      </c>
      <c r="D7084" t="s">
        <v>14</v>
      </c>
      <c r="E7084">
        <v>0.81712962962962898</v>
      </c>
      <c r="F7084">
        <v>0.89785287138638004</v>
      </c>
      <c r="G7084">
        <v>0.76528859138488703</v>
      </c>
      <c r="H7084">
        <v>7</v>
      </c>
      <c r="I7084">
        <v>8</v>
      </c>
      <c r="J7084">
        <v>30</v>
      </c>
    </row>
    <row r="7085" spans="1:10" x14ac:dyDescent="0.25">
      <c r="A7085" t="s">
        <v>26</v>
      </c>
      <c r="B7085" t="s">
        <v>21</v>
      </c>
      <c r="C7085" t="s">
        <v>18</v>
      </c>
      <c r="D7085" t="s">
        <v>14</v>
      </c>
      <c r="E7085">
        <v>0.60995370370370305</v>
      </c>
      <c r="F7085">
        <v>0.85977414578703604</v>
      </c>
      <c r="G7085">
        <v>0.64278554916381803</v>
      </c>
      <c r="H7085">
        <v>3</v>
      </c>
      <c r="I7085">
        <v>4</v>
      </c>
      <c r="J7085">
        <v>30</v>
      </c>
    </row>
    <row r="7086" spans="1:10" x14ac:dyDescent="0.25">
      <c r="A7086" t="s">
        <v>26</v>
      </c>
      <c r="B7086" t="s">
        <v>21</v>
      </c>
      <c r="C7086" t="s">
        <v>18</v>
      </c>
      <c r="D7086" t="s">
        <v>14</v>
      </c>
      <c r="E7086">
        <v>0.78819444444444398</v>
      </c>
      <c r="F7086">
        <v>0.89786501722758305</v>
      </c>
      <c r="G7086">
        <v>0.70852565765380804</v>
      </c>
      <c r="H7086">
        <v>5</v>
      </c>
      <c r="I7086">
        <v>7</v>
      </c>
      <c r="J7086">
        <v>30</v>
      </c>
    </row>
    <row r="7087" spans="1:10" x14ac:dyDescent="0.25">
      <c r="A7087" t="s">
        <v>26</v>
      </c>
      <c r="B7087" t="s">
        <v>21</v>
      </c>
      <c r="C7087" t="s">
        <v>18</v>
      </c>
      <c r="D7087" t="s">
        <v>14</v>
      </c>
      <c r="E7087">
        <v>0.81018518518518501</v>
      </c>
      <c r="F7087">
        <v>0.89607866198560804</v>
      </c>
      <c r="G7087">
        <v>0.78648209571838301</v>
      </c>
      <c r="H7087">
        <v>7</v>
      </c>
      <c r="I7087">
        <v>9</v>
      </c>
      <c r="J7087">
        <v>30</v>
      </c>
    </row>
    <row r="7088" spans="1:10" x14ac:dyDescent="0.25">
      <c r="A7088" t="s">
        <v>26</v>
      </c>
      <c r="B7088" t="s">
        <v>21</v>
      </c>
      <c r="C7088" t="s">
        <v>18</v>
      </c>
      <c r="D7088" t="s">
        <v>14</v>
      </c>
      <c r="E7088">
        <v>0.81481481481481399</v>
      </c>
      <c r="F7088">
        <v>0.89836923753541698</v>
      </c>
      <c r="G7088">
        <v>0.81277418136596602</v>
      </c>
      <c r="H7088">
        <v>6</v>
      </c>
      <c r="I7088">
        <v>8</v>
      </c>
      <c r="J7088">
        <v>30</v>
      </c>
    </row>
    <row r="7089" spans="1:10" x14ac:dyDescent="0.25">
      <c r="A7089" t="s">
        <v>26</v>
      </c>
      <c r="B7089" t="s">
        <v>21</v>
      </c>
      <c r="C7089" t="s">
        <v>18</v>
      </c>
      <c r="D7089" t="s">
        <v>14</v>
      </c>
      <c r="E7089">
        <v>0.780092592592592</v>
      </c>
      <c r="F7089">
        <v>0.89527316800509105</v>
      </c>
      <c r="G7089">
        <v>0.71288180351257302</v>
      </c>
      <c r="H7089">
        <v>5</v>
      </c>
      <c r="I7089">
        <v>6</v>
      </c>
      <c r="J7089">
        <v>30</v>
      </c>
    </row>
    <row r="7090" spans="1:10" x14ac:dyDescent="0.25">
      <c r="A7090" t="s">
        <v>26</v>
      </c>
      <c r="B7090" t="s">
        <v>21</v>
      </c>
      <c r="C7090" t="s">
        <v>18</v>
      </c>
      <c r="D7090" t="s">
        <v>14</v>
      </c>
      <c r="E7090">
        <v>0.811342592592592</v>
      </c>
      <c r="F7090">
        <v>0.89791208807106304</v>
      </c>
      <c r="G7090">
        <v>0.83889555931091297</v>
      </c>
      <c r="H7090">
        <v>7</v>
      </c>
      <c r="I7090">
        <v>9</v>
      </c>
      <c r="J7090">
        <v>30</v>
      </c>
    </row>
    <row r="7091" spans="1:10" x14ac:dyDescent="0.25">
      <c r="A7091" t="s">
        <v>26</v>
      </c>
      <c r="B7091" t="s">
        <v>21</v>
      </c>
      <c r="C7091" t="s">
        <v>18</v>
      </c>
      <c r="D7091" t="s">
        <v>14</v>
      </c>
      <c r="E7091">
        <v>0.82368827160493796</v>
      </c>
      <c r="F7091">
        <v>0.90067589506550805</v>
      </c>
      <c r="G7091">
        <v>0.81121373176574696</v>
      </c>
      <c r="H7091">
        <v>6</v>
      </c>
      <c r="I7091">
        <v>9</v>
      </c>
      <c r="J7091">
        <v>30</v>
      </c>
    </row>
    <row r="7092" spans="1:10" x14ac:dyDescent="0.25">
      <c r="A7092" t="s">
        <v>26</v>
      </c>
      <c r="B7092" t="s">
        <v>21</v>
      </c>
      <c r="C7092" t="s">
        <v>18</v>
      </c>
      <c r="D7092" t="s">
        <v>14</v>
      </c>
      <c r="E7092">
        <v>0.81481481481481399</v>
      </c>
      <c r="F7092">
        <v>0.89849852179965295</v>
      </c>
      <c r="G7092">
        <v>0.84138321876525801</v>
      </c>
      <c r="H7092">
        <v>7</v>
      </c>
      <c r="I7092">
        <v>9</v>
      </c>
      <c r="J7092">
        <v>30</v>
      </c>
    </row>
    <row r="7093" spans="1:10" x14ac:dyDescent="0.25">
      <c r="A7093" t="s">
        <v>26</v>
      </c>
      <c r="B7093" t="s">
        <v>21</v>
      </c>
      <c r="C7093" t="s">
        <v>18</v>
      </c>
      <c r="D7093" t="s">
        <v>14</v>
      </c>
      <c r="E7093">
        <v>0.77700617283950602</v>
      </c>
      <c r="F7093">
        <v>0.89205602348545598</v>
      </c>
      <c r="G7093">
        <v>0.74548935890197698</v>
      </c>
      <c r="H7093">
        <v>5</v>
      </c>
      <c r="I7093">
        <v>7</v>
      </c>
      <c r="J7093">
        <v>30</v>
      </c>
    </row>
    <row r="7094" spans="1:10" x14ac:dyDescent="0.25">
      <c r="A7094" t="s">
        <v>26</v>
      </c>
      <c r="B7094" t="s">
        <v>21</v>
      </c>
      <c r="C7094" t="s">
        <v>18</v>
      </c>
      <c r="D7094" t="s">
        <v>14</v>
      </c>
      <c r="E7094">
        <v>0.80324074074074003</v>
      </c>
      <c r="F7094">
        <v>0.89312630801427495</v>
      </c>
      <c r="G7094">
        <v>0.76409268379211404</v>
      </c>
      <c r="H7094">
        <v>6</v>
      </c>
      <c r="I7094">
        <v>8</v>
      </c>
      <c r="J7094">
        <v>30</v>
      </c>
    </row>
    <row r="7095" spans="1:10" x14ac:dyDescent="0.25">
      <c r="A7095" t="s">
        <v>26</v>
      </c>
      <c r="B7095" t="s">
        <v>21</v>
      </c>
      <c r="C7095" t="s">
        <v>18</v>
      </c>
      <c r="D7095" t="s">
        <v>14</v>
      </c>
      <c r="E7095">
        <v>0.76427469135802395</v>
      </c>
      <c r="F7095">
        <v>0.88721479693425798</v>
      </c>
      <c r="G7095">
        <v>0.62241506576537997</v>
      </c>
      <c r="H7095">
        <v>5</v>
      </c>
      <c r="I7095">
        <v>6</v>
      </c>
      <c r="J7095">
        <v>30</v>
      </c>
    </row>
    <row r="7096" spans="1:10" x14ac:dyDescent="0.25">
      <c r="A7096" t="s">
        <v>26</v>
      </c>
      <c r="B7096" t="s">
        <v>21</v>
      </c>
      <c r="C7096" t="s">
        <v>18</v>
      </c>
      <c r="D7096" t="s">
        <v>14</v>
      </c>
      <c r="E7096">
        <v>0.82947530864197505</v>
      </c>
      <c r="F7096">
        <v>0.90493545423421895</v>
      </c>
      <c r="G7096">
        <v>0.62397432327270497</v>
      </c>
      <c r="H7096">
        <v>6</v>
      </c>
      <c r="I7096">
        <v>8</v>
      </c>
      <c r="J7096">
        <v>30</v>
      </c>
    </row>
    <row r="7097" spans="1:10" x14ac:dyDescent="0.25">
      <c r="A7097" t="s">
        <v>26</v>
      </c>
      <c r="B7097" t="s">
        <v>21</v>
      </c>
      <c r="C7097" t="s">
        <v>18</v>
      </c>
      <c r="D7097" t="s">
        <v>14</v>
      </c>
      <c r="E7097">
        <v>0.82445987654320896</v>
      </c>
      <c r="F7097">
        <v>0.90342007820852399</v>
      </c>
      <c r="G7097">
        <v>0.71691823005676203</v>
      </c>
      <c r="H7097">
        <v>6</v>
      </c>
      <c r="I7097">
        <v>8</v>
      </c>
      <c r="J7097">
        <v>30</v>
      </c>
    </row>
    <row r="7098" spans="1:10" x14ac:dyDescent="0.25">
      <c r="A7098" t="s">
        <v>26</v>
      </c>
      <c r="B7098" t="s">
        <v>21</v>
      </c>
      <c r="C7098" t="s">
        <v>18</v>
      </c>
      <c r="D7098" t="s">
        <v>14</v>
      </c>
      <c r="E7098">
        <v>0.81828703703703698</v>
      </c>
      <c r="F7098">
        <v>0.89959128800146504</v>
      </c>
      <c r="G7098">
        <v>0.72293663024902299</v>
      </c>
      <c r="H7098">
        <v>6</v>
      </c>
      <c r="I7098">
        <v>9</v>
      </c>
      <c r="J7098">
        <v>30</v>
      </c>
    </row>
    <row r="7099" spans="1:10" x14ac:dyDescent="0.25">
      <c r="A7099" t="s">
        <v>26</v>
      </c>
      <c r="B7099" t="s">
        <v>21</v>
      </c>
      <c r="C7099" t="s">
        <v>18</v>
      </c>
      <c r="D7099" t="s">
        <v>14</v>
      </c>
      <c r="E7099">
        <v>0.77854938271604901</v>
      </c>
      <c r="F7099">
        <v>0.89386514177426701</v>
      </c>
      <c r="G7099">
        <v>0.58623123168945301</v>
      </c>
      <c r="H7099">
        <v>5</v>
      </c>
      <c r="I7099">
        <v>6</v>
      </c>
      <c r="J7099">
        <v>30</v>
      </c>
    </row>
    <row r="7100" spans="1:10" x14ac:dyDescent="0.25">
      <c r="A7100" t="s">
        <v>26</v>
      </c>
      <c r="B7100" t="s">
        <v>21</v>
      </c>
      <c r="C7100" t="s">
        <v>18</v>
      </c>
      <c r="D7100" t="s">
        <v>14</v>
      </c>
      <c r="E7100">
        <v>0.78780864197530798</v>
      </c>
      <c r="F7100">
        <v>0.89379584914274601</v>
      </c>
      <c r="G7100">
        <v>0.59028053283691395</v>
      </c>
      <c r="H7100">
        <v>5</v>
      </c>
      <c r="I7100">
        <v>6</v>
      </c>
      <c r="J7100">
        <v>30</v>
      </c>
    </row>
    <row r="7101" spans="1:10" x14ac:dyDescent="0.25">
      <c r="A7101" t="s">
        <v>26</v>
      </c>
      <c r="B7101" t="s">
        <v>21</v>
      </c>
      <c r="C7101" t="s">
        <v>18</v>
      </c>
      <c r="D7101" t="s">
        <v>14</v>
      </c>
      <c r="E7101">
        <v>0.81905864197530798</v>
      </c>
      <c r="F7101">
        <v>0.89509834976828495</v>
      </c>
      <c r="G7101">
        <v>0.63946962356567305</v>
      </c>
      <c r="H7101">
        <v>6</v>
      </c>
      <c r="I7101">
        <v>9</v>
      </c>
      <c r="J7101">
        <v>30</v>
      </c>
    </row>
    <row r="7102" spans="1:10" x14ac:dyDescent="0.25">
      <c r="A7102" t="s">
        <v>26</v>
      </c>
      <c r="B7102" t="s">
        <v>21</v>
      </c>
      <c r="C7102" t="s">
        <v>18</v>
      </c>
      <c r="D7102" t="s">
        <v>14</v>
      </c>
      <c r="E7102">
        <v>0.80671296296296202</v>
      </c>
      <c r="F7102">
        <v>0.89337618499656302</v>
      </c>
      <c r="G7102">
        <v>0.73185372352600098</v>
      </c>
      <c r="H7102">
        <v>7</v>
      </c>
      <c r="I7102">
        <v>8</v>
      </c>
      <c r="J7102">
        <v>30</v>
      </c>
    </row>
    <row r="7103" spans="1:10" x14ac:dyDescent="0.25">
      <c r="A7103" t="s">
        <v>26</v>
      </c>
      <c r="B7103" t="s">
        <v>21</v>
      </c>
      <c r="C7103" t="s">
        <v>18</v>
      </c>
      <c r="D7103" t="s">
        <v>14</v>
      </c>
      <c r="E7103">
        <v>0.76504629629629595</v>
      </c>
      <c r="F7103">
        <v>0.889474176807868</v>
      </c>
      <c r="G7103">
        <v>0.52290558815002397</v>
      </c>
      <c r="H7103">
        <v>5</v>
      </c>
      <c r="I7103">
        <v>6</v>
      </c>
      <c r="J7103">
        <v>30</v>
      </c>
    </row>
    <row r="7104" spans="1:10" x14ac:dyDescent="0.25">
      <c r="A7104" t="s">
        <v>26</v>
      </c>
      <c r="B7104" t="s">
        <v>21</v>
      </c>
      <c r="C7104" t="s">
        <v>18</v>
      </c>
      <c r="D7104" t="s">
        <v>14</v>
      </c>
      <c r="E7104">
        <v>0.80787037037037002</v>
      </c>
      <c r="F7104">
        <v>0.89617693851353997</v>
      </c>
      <c r="G7104">
        <v>0.56156635284423795</v>
      </c>
      <c r="H7104">
        <v>6</v>
      </c>
      <c r="I7104">
        <v>9</v>
      </c>
      <c r="J7104">
        <v>30</v>
      </c>
    </row>
    <row r="7105" spans="1:10" x14ac:dyDescent="0.25">
      <c r="A7105" t="s">
        <v>26</v>
      </c>
      <c r="B7105" t="s">
        <v>21</v>
      </c>
      <c r="C7105" t="s">
        <v>18</v>
      </c>
      <c r="D7105" t="s">
        <v>14</v>
      </c>
      <c r="E7105">
        <v>0.78703703703703698</v>
      </c>
      <c r="F7105">
        <v>0.89700399875539905</v>
      </c>
      <c r="G7105">
        <v>0.82589650154113703</v>
      </c>
      <c r="H7105">
        <v>7</v>
      </c>
      <c r="I7105">
        <v>12</v>
      </c>
      <c r="J7105">
        <v>30</v>
      </c>
    </row>
    <row r="7106" spans="1:10" x14ac:dyDescent="0.25">
      <c r="A7106" t="s">
        <v>26</v>
      </c>
      <c r="B7106" t="s">
        <v>21</v>
      </c>
      <c r="C7106" t="s">
        <v>18</v>
      </c>
      <c r="D7106" t="s">
        <v>14</v>
      </c>
      <c r="E7106">
        <v>0.77353395061728303</v>
      </c>
      <c r="F7106">
        <v>0.88972050794104696</v>
      </c>
      <c r="G7106">
        <v>0.51167917251586903</v>
      </c>
      <c r="H7106">
        <v>5</v>
      </c>
      <c r="I7106">
        <v>6</v>
      </c>
      <c r="J7106">
        <v>30</v>
      </c>
    </row>
    <row r="7107" spans="1:10" x14ac:dyDescent="0.25">
      <c r="A7107" t="s">
        <v>26</v>
      </c>
      <c r="B7107" t="s">
        <v>21</v>
      </c>
      <c r="C7107" t="s">
        <v>18</v>
      </c>
      <c r="D7107" t="s">
        <v>14</v>
      </c>
      <c r="E7107">
        <v>0.81635802469135799</v>
      </c>
      <c r="F7107">
        <v>0.900144831385841</v>
      </c>
      <c r="G7107">
        <v>0.79371428489685003</v>
      </c>
      <c r="H7107">
        <v>7</v>
      </c>
      <c r="I7107">
        <v>9</v>
      </c>
      <c r="J7107">
        <v>30</v>
      </c>
    </row>
    <row r="7108" spans="1:10" x14ac:dyDescent="0.25">
      <c r="A7108" t="s">
        <v>26</v>
      </c>
      <c r="B7108" t="s">
        <v>21</v>
      </c>
      <c r="C7108" t="s">
        <v>18</v>
      </c>
      <c r="D7108" t="s">
        <v>14</v>
      </c>
      <c r="E7108">
        <v>0.81905864197530798</v>
      </c>
      <c r="F7108">
        <v>0.89903610439725801</v>
      </c>
      <c r="G7108">
        <v>0.69825410842895497</v>
      </c>
      <c r="H7108">
        <v>7</v>
      </c>
      <c r="I7108">
        <v>8</v>
      </c>
      <c r="J7108">
        <v>30</v>
      </c>
    </row>
    <row r="7109" spans="1:10" x14ac:dyDescent="0.25">
      <c r="A7109" t="s">
        <v>26</v>
      </c>
      <c r="B7109" t="s">
        <v>21</v>
      </c>
      <c r="C7109" t="s">
        <v>18</v>
      </c>
      <c r="D7109" t="s">
        <v>14</v>
      </c>
      <c r="E7109">
        <v>0.813657407407407</v>
      </c>
      <c r="F7109">
        <v>0.89762412294818505</v>
      </c>
      <c r="G7109">
        <v>0.58162593841552701</v>
      </c>
      <c r="H7109">
        <v>7</v>
      </c>
      <c r="I7109">
        <v>9</v>
      </c>
      <c r="J7109">
        <v>30</v>
      </c>
    </row>
    <row r="7110" spans="1:10" x14ac:dyDescent="0.25">
      <c r="A7110" t="s">
        <v>26</v>
      </c>
      <c r="B7110" t="s">
        <v>21</v>
      </c>
      <c r="C7110" t="s">
        <v>18</v>
      </c>
      <c r="D7110" t="s">
        <v>14</v>
      </c>
      <c r="E7110">
        <v>0.77662037037037002</v>
      </c>
      <c r="F7110">
        <v>0.892426492790932</v>
      </c>
      <c r="G7110">
        <v>0.59212827682495095</v>
      </c>
      <c r="H7110">
        <v>5</v>
      </c>
      <c r="I7110">
        <v>6</v>
      </c>
      <c r="J7110">
        <v>30</v>
      </c>
    </row>
    <row r="7111" spans="1:10" x14ac:dyDescent="0.25">
      <c r="A7111" t="s">
        <v>26</v>
      </c>
      <c r="B7111" t="s">
        <v>21</v>
      </c>
      <c r="C7111" t="s">
        <v>18</v>
      </c>
      <c r="D7111" t="s">
        <v>14</v>
      </c>
      <c r="E7111">
        <v>0.77970679012345601</v>
      </c>
      <c r="F7111">
        <v>0.88976631813117002</v>
      </c>
      <c r="G7111">
        <v>0.88310980796813898</v>
      </c>
      <c r="H7111">
        <v>7</v>
      </c>
      <c r="I7111">
        <v>12</v>
      </c>
      <c r="J7111">
        <v>30</v>
      </c>
    </row>
    <row r="7112" spans="1:10" x14ac:dyDescent="0.25">
      <c r="A7112" t="s">
        <v>26</v>
      </c>
      <c r="B7112" t="s">
        <v>21</v>
      </c>
      <c r="C7112" t="s">
        <v>18</v>
      </c>
      <c r="D7112" t="s">
        <v>15</v>
      </c>
      <c r="E7112">
        <v>0</v>
      </c>
      <c r="F7112">
        <v>0.75</v>
      </c>
      <c r="G7112">
        <v>0.17533540725707999</v>
      </c>
      <c r="H7112">
        <v>0</v>
      </c>
      <c r="I7112">
        <v>0</v>
      </c>
      <c r="J7112">
        <v>30</v>
      </c>
    </row>
    <row r="7113" spans="1:10" x14ac:dyDescent="0.25">
      <c r="A7113" t="s">
        <v>26</v>
      </c>
      <c r="B7113" t="s">
        <v>21</v>
      </c>
      <c r="C7113" t="s">
        <v>18</v>
      </c>
      <c r="D7113" t="s">
        <v>15</v>
      </c>
      <c r="E7113">
        <v>0</v>
      </c>
      <c r="F7113">
        <v>0.75</v>
      </c>
      <c r="G7113">
        <v>0.16687273979187001</v>
      </c>
      <c r="H7113">
        <v>0</v>
      </c>
      <c r="I7113">
        <v>0</v>
      </c>
      <c r="J7113">
        <v>30</v>
      </c>
    </row>
    <row r="7114" spans="1:10" x14ac:dyDescent="0.25">
      <c r="A7114" t="s">
        <v>26</v>
      </c>
      <c r="B7114" t="s">
        <v>21</v>
      </c>
      <c r="C7114" t="s">
        <v>18</v>
      </c>
      <c r="D7114" t="s">
        <v>15</v>
      </c>
      <c r="E7114">
        <v>0</v>
      </c>
      <c r="F7114">
        <v>0.75</v>
      </c>
      <c r="G7114">
        <v>0.17089653015136699</v>
      </c>
      <c r="H7114">
        <v>0</v>
      </c>
      <c r="I7114">
        <v>0</v>
      </c>
      <c r="J7114">
        <v>30</v>
      </c>
    </row>
    <row r="7115" spans="1:10" x14ac:dyDescent="0.25">
      <c r="A7115" t="s">
        <v>26</v>
      </c>
      <c r="B7115" t="s">
        <v>21</v>
      </c>
      <c r="C7115" t="s">
        <v>18</v>
      </c>
      <c r="D7115" t="s">
        <v>15</v>
      </c>
      <c r="E7115">
        <v>0</v>
      </c>
      <c r="F7115">
        <v>0.75</v>
      </c>
      <c r="G7115">
        <v>0.39025831222534102</v>
      </c>
      <c r="H7115">
        <v>1</v>
      </c>
      <c r="I7115">
        <v>4</v>
      </c>
      <c r="J7115">
        <v>30</v>
      </c>
    </row>
    <row r="7116" spans="1:10" x14ac:dyDescent="0.25">
      <c r="A7116" t="s">
        <v>26</v>
      </c>
      <c r="B7116" t="s">
        <v>21</v>
      </c>
      <c r="C7116" t="s">
        <v>18</v>
      </c>
      <c r="D7116" t="s">
        <v>15</v>
      </c>
      <c r="E7116">
        <v>0</v>
      </c>
      <c r="F7116">
        <v>0.75</v>
      </c>
      <c r="G7116">
        <v>0.24458265304565399</v>
      </c>
      <c r="H7116">
        <v>0</v>
      </c>
      <c r="I7116">
        <v>0</v>
      </c>
      <c r="J7116">
        <v>30</v>
      </c>
    </row>
    <row r="7117" spans="1:10" x14ac:dyDescent="0.25">
      <c r="A7117" t="s">
        <v>26</v>
      </c>
      <c r="B7117" t="s">
        <v>21</v>
      </c>
      <c r="C7117" t="s">
        <v>18</v>
      </c>
      <c r="D7117" t="s">
        <v>15</v>
      </c>
      <c r="E7117">
        <v>0</v>
      </c>
      <c r="F7117">
        <v>0.75</v>
      </c>
      <c r="G7117">
        <v>0.48720693588256803</v>
      </c>
      <c r="H7117">
        <v>1</v>
      </c>
      <c r="I7117">
        <v>7</v>
      </c>
      <c r="J7117">
        <v>30</v>
      </c>
    </row>
    <row r="7118" spans="1:10" x14ac:dyDescent="0.25">
      <c r="A7118" t="s">
        <v>26</v>
      </c>
      <c r="B7118" t="s">
        <v>21</v>
      </c>
      <c r="C7118" t="s">
        <v>18</v>
      </c>
      <c r="D7118" t="s">
        <v>15</v>
      </c>
      <c r="E7118">
        <v>0</v>
      </c>
      <c r="F7118">
        <v>0.75</v>
      </c>
      <c r="G7118">
        <v>0.26610875129699701</v>
      </c>
      <c r="H7118">
        <v>0</v>
      </c>
      <c r="I7118">
        <v>0</v>
      </c>
      <c r="J7118">
        <v>30</v>
      </c>
    </row>
    <row r="7119" spans="1:10" x14ac:dyDescent="0.25">
      <c r="A7119" t="s">
        <v>26</v>
      </c>
      <c r="B7119" t="s">
        <v>21</v>
      </c>
      <c r="C7119" t="s">
        <v>18</v>
      </c>
      <c r="D7119" t="s">
        <v>15</v>
      </c>
      <c r="E7119">
        <v>0</v>
      </c>
      <c r="F7119">
        <v>0.75</v>
      </c>
      <c r="G7119">
        <v>0.30690670013427701</v>
      </c>
      <c r="H7119">
        <v>0</v>
      </c>
      <c r="I7119">
        <v>0</v>
      </c>
      <c r="J7119">
        <v>30</v>
      </c>
    </row>
    <row r="7120" spans="1:10" x14ac:dyDescent="0.25">
      <c r="A7120" t="s">
        <v>26</v>
      </c>
      <c r="B7120" t="s">
        <v>21</v>
      </c>
      <c r="C7120" t="s">
        <v>18</v>
      </c>
      <c r="D7120" t="s">
        <v>15</v>
      </c>
      <c r="E7120">
        <v>0</v>
      </c>
      <c r="F7120">
        <v>0.75</v>
      </c>
      <c r="G7120">
        <v>0.46271324157714799</v>
      </c>
      <c r="H7120">
        <v>1</v>
      </c>
      <c r="I7120">
        <v>7</v>
      </c>
      <c r="J7120">
        <v>30</v>
      </c>
    </row>
    <row r="7121" spans="1:10" x14ac:dyDescent="0.25">
      <c r="A7121" t="s">
        <v>26</v>
      </c>
      <c r="B7121" t="s">
        <v>21</v>
      </c>
      <c r="C7121" t="s">
        <v>18</v>
      </c>
      <c r="D7121" t="s">
        <v>15</v>
      </c>
      <c r="E7121">
        <v>0</v>
      </c>
      <c r="F7121">
        <v>0.75</v>
      </c>
      <c r="G7121">
        <v>0.55314135551452603</v>
      </c>
      <c r="H7121">
        <v>1</v>
      </c>
      <c r="I7121">
        <v>7</v>
      </c>
      <c r="J7121">
        <v>30</v>
      </c>
    </row>
    <row r="7122" spans="1:10" x14ac:dyDescent="0.25">
      <c r="A7122" t="s">
        <v>26</v>
      </c>
      <c r="B7122" t="s">
        <v>21</v>
      </c>
      <c r="C7122" t="s">
        <v>18</v>
      </c>
      <c r="D7122" t="s">
        <v>15</v>
      </c>
      <c r="E7122">
        <v>0</v>
      </c>
      <c r="F7122">
        <v>0.75</v>
      </c>
      <c r="G7122">
        <v>0.273288965225219</v>
      </c>
      <c r="H7122">
        <v>0</v>
      </c>
      <c r="I7122">
        <v>0</v>
      </c>
      <c r="J7122">
        <v>30</v>
      </c>
    </row>
    <row r="7123" spans="1:10" x14ac:dyDescent="0.25">
      <c r="A7123" t="s">
        <v>26</v>
      </c>
      <c r="B7123" t="s">
        <v>21</v>
      </c>
      <c r="C7123" t="s">
        <v>18</v>
      </c>
      <c r="D7123" t="s">
        <v>15</v>
      </c>
      <c r="E7123">
        <v>0</v>
      </c>
      <c r="F7123">
        <v>0.75</v>
      </c>
      <c r="G7123">
        <v>0.34350919723510698</v>
      </c>
      <c r="H7123">
        <v>0</v>
      </c>
      <c r="I7123">
        <v>0</v>
      </c>
      <c r="J7123">
        <v>30</v>
      </c>
    </row>
    <row r="7124" spans="1:10" x14ac:dyDescent="0.25">
      <c r="A7124" t="s">
        <v>26</v>
      </c>
      <c r="B7124" t="s">
        <v>21</v>
      </c>
      <c r="C7124" t="s">
        <v>18</v>
      </c>
      <c r="D7124" t="s">
        <v>15</v>
      </c>
      <c r="E7124">
        <v>0</v>
      </c>
      <c r="F7124">
        <v>0.75</v>
      </c>
      <c r="G7124">
        <v>0.27076411247253401</v>
      </c>
      <c r="H7124">
        <v>0</v>
      </c>
      <c r="I7124">
        <v>0</v>
      </c>
      <c r="J7124">
        <v>30</v>
      </c>
    </row>
    <row r="7125" spans="1:10" x14ac:dyDescent="0.25">
      <c r="A7125" t="s">
        <v>26</v>
      </c>
      <c r="B7125" t="s">
        <v>21</v>
      </c>
      <c r="C7125" t="s">
        <v>18</v>
      </c>
      <c r="D7125" t="s">
        <v>15</v>
      </c>
      <c r="E7125">
        <v>0</v>
      </c>
      <c r="F7125">
        <v>0.75</v>
      </c>
      <c r="G7125">
        <v>0.20045232772827101</v>
      </c>
      <c r="H7125">
        <v>0</v>
      </c>
      <c r="I7125">
        <v>0</v>
      </c>
      <c r="J7125">
        <v>30</v>
      </c>
    </row>
    <row r="7126" spans="1:10" x14ac:dyDescent="0.25">
      <c r="A7126" t="s">
        <v>26</v>
      </c>
      <c r="B7126" t="s">
        <v>21</v>
      </c>
      <c r="C7126" t="s">
        <v>18</v>
      </c>
      <c r="D7126" t="s">
        <v>15</v>
      </c>
      <c r="E7126">
        <v>0</v>
      </c>
      <c r="F7126">
        <v>0.75</v>
      </c>
      <c r="G7126">
        <v>0.23353338241577101</v>
      </c>
      <c r="H7126">
        <v>0</v>
      </c>
      <c r="I7126">
        <v>0</v>
      </c>
      <c r="J7126">
        <v>30</v>
      </c>
    </row>
    <row r="7127" spans="1:10" x14ac:dyDescent="0.25">
      <c r="A7127" t="s">
        <v>26</v>
      </c>
      <c r="B7127" t="s">
        <v>21</v>
      </c>
      <c r="C7127" t="s">
        <v>18</v>
      </c>
      <c r="D7127" t="s">
        <v>15</v>
      </c>
      <c r="E7127">
        <v>0</v>
      </c>
      <c r="F7127">
        <v>0.74995949074073998</v>
      </c>
      <c r="G7127">
        <v>0.528919696807861</v>
      </c>
      <c r="H7127">
        <v>1</v>
      </c>
      <c r="I7127">
        <v>6</v>
      </c>
      <c r="J7127">
        <v>30</v>
      </c>
    </row>
    <row r="7128" spans="1:10" x14ac:dyDescent="0.25">
      <c r="A7128" t="s">
        <v>26</v>
      </c>
      <c r="B7128" t="s">
        <v>21</v>
      </c>
      <c r="C7128" t="s">
        <v>18</v>
      </c>
      <c r="D7128" t="s">
        <v>15</v>
      </c>
      <c r="E7128">
        <v>0</v>
      </c>
      <c r="F7128">
        <v>0.75</v>
      </c>
      <c r="G7128">
        <v>0.19994950294494601</v>
      </c>
      <c r="H7128">
        <v>0</v>
      </c>
      <c r="I7128">
        <v>0</v>
      </c>
      <c r="J7128">
        <v>30</v>
      </c>
    </row>
    <row r="7129" spans="1:10" x14ac:dyDescent="0.25">
      <c r="A7129" t="s">
        <v>26</v>
      </c>
      <c r="B7129" t="s">
        <v>21</v>
      </c>
      <c r="C7129" t="s">
        <v>18</v>
      </c>
      <c r="D7129" t="s">
        <v>15</v>
      </c>
      <c r="E7129">
        <v>0</v>
      </c>
      <c r="F7129">
        <v>0.74995949074073998</v>
      </c>
      <c r="G7129">
        <v>0.51985287666320801</v>
      </c>
      <c r="H7129">
        <v>1</v>
      </c>
      <c r="I7129">
        <v>6</v>
      </c>
      <c r="J7129">
        <v>30</v>
      </c>
    </row>
    <row r="7130" spans="1:10" x14ac:dyDescent="0.25">
      <c r="A7130" t="s">
        <v>26</v>
      </c>
      <c r="B7130" t="s">
        <v>21</v>
      </c>
      <c r="C7130" t="s">
        <v>18</v>
      </c>
      <c r="D7130" t="s">
        <v>15</v>
      </c>
      <c r="E7130">
        <v>0</v>
      </c>
      <c r="F7130">
        <v>0.75</v>
      </c>
      <c r="G7130">
        <v>0.60321640968322698</v>
      </c>
      <c r="H7130">
        <v>1</v>
      </c>
      <c r="I7130">
        <v>6</v>
      </c>
      <c r="J7130">
        <v>30</v>
      </c>
    </row>
    <row r="7131" spans="1:10" x14ac:dyDescent="0.25">
      <c r="A7131" t="s">
        <v>26</v>
      </c>
      <c r="B7131" t="s">
        <v>21</v>
      </c>
      <c r="C7131" t="s">
        <v>18</v>
      </c>
      <c r="D7131" t="s">
        <v>15</v>
      </c>
      <c r="E7131">
        <v>0</v>
      </c>
      <c r="F7131">
        <v>0.75</v>
      </c>
      <c r="G7131">
        <v>0.51283907890319802</v>
      </c>
      <c r="H7131">
        <v>1</v>
      </c>
      <c r="I7131">
        <v>8</v>
      </c>
      <c r="J7131">
        <v>30</v>
      </c>
    </row>
    <row r="7132" spans="1:10" x14ac:dyDescent="0.25">
      <c r="A7132" t="s">
        <v>26</v>
      </c>
      <c r="B7132" t="s">
        <v>21</v>
      </c>
      <c r="C7132" t="s">
        <v>18</v>
      </c>
      <c r="D7132" t="s">
        <v>15</v>
      </c>
      <c r="E7132">
        <v>0</v>
      </c>
      <c r="F7132">
        <v>0.75</v>
      </c>
      <c r="G7132">
        <v>0.84635114669799805</v>
      </c>
      <c r="H7132">
        <v>3</v>
      </c>
      <c r="I7132">
        <v>13</v>
      </c>
      <c r="J7132">
        <v>30</v>
      </c>
    </row>
    <row r="7133" spans="1:10" x14ac:dyDescent="0.25">
      <c r="A7133" t="s">
        <v>26</v>
      </c>
      <c r="B7133" t="s">
        <v>21</v>
      </c>
      <c r="C7133" t="s">
        <v>18</v>
      </c>
      <c r="D7133" t="s">
        <v>15</v>
      </c>
      <c r="E7133">
        <v>0</v>
      </c>
      <c r="F7133">
        <v>0.74995949074073998</v>
      </c>
      <c r="G7133">
        <v>0.43349432945251398</v>
      </c>
      <c r="H7133">
        <v>1</v>
      </c>
      <c r="I7133">
        <v>7</v>
      </c>
      <c r="J7133">
        <v>30</v>
      </c>
    </row>
    <row r="7134" spans="1:10" x14ac:dyDescent="0.25">
      <c r="A7134" t="s">
        <v>26</v>
      </c>
      <c r="B7134" t="s">
        <v>21</v>
      </c>
      <c r="C7134" t="s">
        <v>18</v>
      </c>
      <c r="D7134" t="s">
        <v>15</v>
      </c>
      <c r="E7134">
        <v>0</v>
      </c>
      <c r="F7134">
        <v>0.75</v>
      </c>
      <c r="G7134">
        <v>0.40335392951965299</v>
      </c>
      <c r="H7134">
        <v>1</v>
      </c>
      <c r="I7134">
        <v>7</v>
      </c>
      <c r="J7134">
        <v>30</v>
      </c>
    </row>
    <row r="7135" spans="1:10" x14ac:dyDescent="0.25">
      <c r="A7135" t="s">
        <v>26</v>
      </c>
      <c r="B7135" t="s">
        <v>21</v>
      </c>
      <c r="C7135" t="s">
        <v>18</v>
      </c>
      <c r="D7135" t="s">
        <v>15</v>
      </c>
      <c r="E7135">
        <v>0</v>
      </c>
      <c r="F7135">
        <v>0.75</v>
      </c>
      <c r="G7135">
        <v>0.39529228210449202</v>
      </c>
      <c r="H7135">
        <v>1</v>
      </c>
      <c r="I7135">
        <v>8</v>
      </c>
      <c r="J7135">
        <v>30</v>
      </c>
    </row>
    <row r="7136" spans="1:10" x14ac:dyDescent="0.25">
      <c r="A7136" t="s">
        <v>26</v>
      </c>
      <c r="B7136" t="s">
        <v>21</v>
      </c>
      <c r="C7136" t="s">
        <v>18</v>
      </c>
      <c r="D7136" t="s">
        <v>15</v>
      </c>
      <c r="E7136">
        <v>0</v>
      </c>
      <c r="F7136">
        <v>0.75</v>
      </c>
      <c r="G7136">
        <v>0.46812796592712402</v>
      </c>
      <c r="H7136">
        <v>1</v>
      </c>
      <c r="I7136">
        <v>8</v>
      </c>
      <c r="J7136">
        <v>30</v>
      </c>
    </row>
    <row r="7137" spans="1:10" x14ac:dyDescent="0.25">
      <c r="A7137" t="s">
        <v>26</v>
      </c>
      <c r="B7137" t="s">
        <v>21</v>
      </c>
      <c r="C7137" t="s">
        <v>18</v>
      </c>
      <c r="D7137" t="s">
        <v>15</v>
      </c>
      <c r="E7137">
        <v>0</v>
      </c>
      <c r="F7137">
        <v>0.75</v>
      </c>
      <c r="G7137">
        <v>0.40388250350952098</v>
      </c>
      <c r="H7137">
        <v>1</v>
      </c>
      <c r="I7137">
        <v>7</v>
      </c>
      <c r="J7137">
        <v>30</v>
      </c>
    </row>
    <row r="7138" spans="1:10" x14ac:dyDescent="0.25">
      <c r="A7138" t="s">
        <v>26</v>
      </c>
      <c r="B7138" t="s">
        <v>21</v>
      </c>
      <c r="C7138" t="s">
        <v>18</v>
      </c>
      <c r="D7138" t="s">
        <v>15</v>
      </c>
      <c r="E7138">
        <v>0</v>
      </c>
      <c r="F7138">
        <v>0.75</v>
      </c>
      <c r="G7138">
        <v>0.81286001205444303</v>
      </c>
      <c r="H7138">
        <v>2</v>
      </c>
      <c r="I7138">
        <v>13</v>
      </c>
      <c r="J7138">
        <v>30</v>
      </c>
    </row>
    <row r="7139" spans="1:10" x14ac:dyDescent="0.25">
      <c r="A7139" t="s">
        <v>26</v>
      </c>
      <c r="B7139" t="s">
        <v>21</v>
      </c>
      <c r="C7139" t="s">
        <v>18</v>
      </c>
      <c r="D7139" t="s">
        <v>15</v>
      </c>
      <c r="E7139">
        <v>0</v>
      </c>
      <c r="F7139">
        <v>0.74995949074073998</v>
      </c>
      <c r="G7139">
        <v>1.0434436798095701</v>
      </c>
      <c r="H7139">
        <v>4</v>
      </c>
      <c r="I7139">
        <v>17</v>
      </c>
      <c r="J7139">
        <v>30</v>
      </c>
    </row>
    <row r="7140" spans="1:10" x14ac:dyDescent="0.25">
      <c r="A7140" t="s">
        <v>26</v>
      </c>
      <c r="B7140" t="s">
        <v>21</v>
      </c>
      <c r="C7140" t="s">
        <v>18</v>
      </c>
      <c r="D7140" t="s">
        <v>15</v>
      </c>
      <c r="E7140">
        <v>0</v>
      </c>
      <c r="F7140">
        <v>0.75</v>
      </c>
      <c r="G7140">
        <v>1.2246279716491699</v>
      </c>
      <c r="H7140">
        <v>5</v>
      </c>
      <c r="I7140">
        <v>17</v>
      </c>
      <c r="J7140">
        <v>30</v>
      </c>
    </row>
    <row r="7141" spans="1:10" x14ac:dyDescent="0.25">
      <c r="A7141" t="s">
        <v>26</v>
      </c>
      <c r="B7141" t="s">
        <v>21</v>
      </c>
      <c r="C7141" t="s">
        <v>18</v>
      </c>
      <c r="D7141" t="s">
        <v>15</v>
      </c>
      <c r="E7141">
        <v>0</v>
      </c>
      <c r="F7141">
        <v>0.74995949074073998</v>
      </c>
      <c r="G7141">
        <v>1.3319735527038501</v>
      </c>
      <c r="H7141">
        <v>5</v>
      </c>
      <c r="I7141">
        <v>20</v>
      </c>
      <c r="J7141">
        <v>30</v>
      </c>
    </row>
    <row r="7142" spans="1:10" x14ac:dyDescent="0.25">
      <c r="A7142" t="s">
        <v>26</v>
      </c>
      <c r="B7142" t="s">
        <v>21</v>
      </c>
      <c r="C7142" t="s">
        <v>18</v>
      </c>
      <c r="D7142" t="s">
        <v>16</v>
      </c>
      <c r="E7142">
        <v>0</v>
      </c>
      <c r="F7142">
        <v>0.75</v>
      </c>
      <c r="G7142">
        <v>0.15327072143554599</v>
      </c>
      <c r="H7142">
        <v>0</v>
      </c>
      <c r="I7142">
        <v>0</v>
      </c>
      <c r="J7142">
        <v>30</v>
      </c>
    </row>
    <row r="7143" spans="1:10" x14ac:dyDescent="0.25">
      <c r="A7143" t="s">
        <v>26</v>
      </c>
      <c r="B7143" t="s">
        <v>21</v>
      </c>
      <c r="C7143" t="s">
        <v>18</v>
      </c>
      <c r="D7143" t="s">
        <v>16</v>
      </c>
      <c r="E7143">
        <v>0.32677469135802401</v>
      </c>
      <c r="F7143">
        <v>0.83169312905373904</v>
      </c>
      <c r="G7143">
        <v>0.200125217437744</v>
      </c>
      <c r="H7143">
        <v>1</v>
      </c>
      <c r="I7143">
        <v>1</v>
      </c>
      <c r="J7143">
        <v>30</v>
      </c>
    </row>
    <row r="7144" spans="1:10" x14ac:dyDescent="0.25">
      <c r="A7144" t="s">
        <v>26</v>
      </c>
      <c r="B7144" t="s">
        <v>21</v>
      </c>
      <c r="C7144" t="s">
        <v>18</v>
      </c>
      <c r="D7144" t="s">
        <v>16</v>
      </c>
      <c r="E7144">
        <v>0.32677469135802401</v>
      </c>
      <c r="F7144">
        <v>0.83169312905373904</v>
      </c>
      <c r="G7144">
        <v>0.21726393699645899</v>
      </c>
      <c r="H7144">
        <v>1</v>
      </c>
      <c r="I7144">
        <v>1</v>
      </c>
      <c r="J7144">
        <v>30</v>
      </c>
    </row>
    <row r="7145" spans="1:10" x14ac:dyDescent="0.25">
      <c r="A7145" t="s">
        <v>26</v>
      </c>
      <c r="B7145" t="s">
        <v>21</v>
      </c>
      <c r="C7145" t="s">
        <v>18</v>
      </c>
      <c r="D7145" t="s">
        <v>16</v>
      </c>
      <c r="E7145">
        <v>0.33449074074073998</v>
      </c>
      <c r="F7145">
        <v>0.83362211989583501</v>
      </c>
      <c r="G7145">
        <v>0.23233985900878901</v>
      </c>
      <c r="H7145">
        <v>1</v>
      </c>
      <c r="I7145">
        <v>1</v>
      </c>
      <c r="J7145">
        <v>30</v>
      </c>
    </row>
    <row r="7146" spans="1:10" x14ac:dyDescent="0.25">
      <c r="A7146" t="s">
        <v>26</v>
      </c>
      <c r="B7146" t="s">
        <v>21</v>
      </c>
      <c r="C7146" t="s">
        <v>18</v>
      </c>
      <c r="D7146" t="s">
        <v>16</v>
      </c>
      <c r="E7146">
        <v>0.32986111111111099</v>
      </c>
      <c r="F7146">
        <v>0.83246472031250196</v>
      </c>
      <c r="G7146">
        <v>0.223780632019042</v>
      </c>
      <c r="H7146">
        <v>1</v>
      </c>
      <c r="I7146">
        <v>1</v>
      </c>
      <c r="J7146">
        <v>30</v>
      </c>
    </row>
    <row r="7147" spans="1:10" x14ac:dyDescent="0.25">
      <c r="A7147" t="s">
        <v>26</v>
      </c>
      <c r="B7147" t="s">
        <v>21</v>
      </c>
      <c r="C7147" t="s">
        <v>18</v>
      </c>
      <c r="D7147" t="s">
        <v>16</v>
      </c>
      <c r="E7147">
        <v>0.30941358024691301</v>
      </c>
      <c r="F7147">
        <v>0.82735288811851604</v>
      </c>
      <c r="G7147">
        <v>0.214209079742431</v>
      </c>
      <c r="H7147">
        <v>1</v>
      </c>
      <c r="I7147">
        <v>1</v>
      </c>
      <c r="J7147">
        <v>30</v>
      </c>
    </row>
    <row r="7148" spans="1:10" x14ac:dyDescent="0.25">
      <c r="A7148" t="s">
        <v>26</v>
      </c>
      <c r="B7148" t="s">
        <v>21</v>
      </c>
      <c r="C7148" t="s">
        <v>18</v>
      </c>
      <c r="D7148" t="s">
        <v>16</v>
      </c>
      <c r="E7148">
        <v>0</v>
      </c>
      <c r="F7148">
        <v>0.75</v>
      </c>
      <c r="G7148">
        <v>0.17147016525268499</v>
      </c>
      <c r="H7148">
        <v>0</v>
      </c>
      <c r="I7148">
        <v>0</v>
      </c>
      <c r="J7148">
        <v>30</v>
      </c>
    </row>
    <row r="7149" spans="1:10" x14ac:dyDescent="0.25">
      <c r="A7149" t="s">
        <v>26</v>
      </c>
      <c r="B7149" t="s">
        <v>21</v>
      </c>
      <c r="C7149" t="s">
        <v>18</v>
      </c>
      <c r="D7149" t="s">
        <v>16</v>
      </c>
      <c r="E7149">
        <v>0.32600308641975301</v>
      </c>
      <c r="F7149">
        <v>0.83150022910319898</v>
      </c>
      <c r="G7149">
        <v>0.239354133605957</v>
      </c>
      <c r="H7149">
        <v>1</v>
      </c>
      <c r="I7149">
        <v>1</v>
      </c>
      <c r="J7149">
        <v>30</v>
      </c>
    </row>
    <row r="7150" spans="1:10" x14ac:dyDescent="0.25">
      <c r="A7150" t="s">
        <v>26</v>
      </c>
      <c r="B7150" t="s">
        <v>21</v>
      </c>
      <c r="C7150" t="s">
        <v>18</v>
      </c>
      <c r="D7150" t="s">
        <v>16</v>
      </c>
      <c r="E7150">
        <v>0.32291666666666602</v>
      </c>
      <c r="F7150">
        <v>0.83072862930103897</v>
      </c>
      <c r="G7150">
        <v>0.247408866882324</v>
      </c>
      <c r="H7150">
        <v>1</v>
      </c>
      <c r="I7150">
        <v>1</v>
      </c>
      <c r="J7150">
        <v>30</v>
      </c>
    </row>
    <row r="7151" spans="1:10" x14ac:dyDescent="0.25">
      <c r="A7151" t="s">
        <v>26</v>
      </c>
      <c r="B7151" t="s">
        <v>21</v>
      </c>
      <c r="C7151" t="s">
        <v>18</v>
      </c>
      <c r="D7151" t="s">
        <v>16</v>
      </c>
      <c r="E7151">
        <v>0</v>
      </c>
      <c r="F7151">
        <v>0.75</v>
      </c>
      <c r="G7151">
        <v>0.17641901969909601</v>
      </c>
      <c r="H7151">
        <v>0</v>
      </c>
      <c r="I7151">
        <v>0</v>
      </c>
      <c r="J7151">
        <v>30</v>
      </c>
    </row>
    <row r="7152" spans="1:10" x14ac:dyDescent="0.25">
      <c r="A7152" t="s">
        <v>26</v>
      </c>
      <c r="B7152" t="s">
        <v>21</v>
      </c>
      <c r="C7152" t="s">
        <v>18</v>
      </c>
      <c r="D7152" t="s">
        <v>16</v>
      </c>
      <c r="E7152">
        <v>0.328703703703703</v>
      </c>
      <c r="F7152">
        <v>0.83217537893008997</v>
      </c>
      <c r="G7152">
        <v>0.25100040435790999</v>
      </c>
      <c r="H7152">
        <v>1</v>
      </c>
      <c r="I7152">
        <v>1</v>
      </c>
      <c r="J7152">
        <v>30</v>
      </c>
    </row>
    <row r="7153" spans="1:10" x14ac:dyDescent="0.25">
      <c r="A7153" t="s">
        <v>26</v>
      </c>
      <c r="B7153" t="s">
        <v>21</v>
      </c>
      <c r="C7153" t="s">
        <v>18</v>
      </c>
      <c r="D7153" t="s">
        <v>16</v>
      </c>
      <c r="E7153">
        <v>0.33410493827160398</v>
      </c>
      <c r="F7153">
        <v>0.83352566993055799</v>
      </c>
      <c r="G7153">
        <v>0.24516463279724099</v>
      </c>
      <c r="H7153">
        <v>1</v>
      </c>
      <c r="I7153">
        <v>1</v>
      </c>
      <c r="J7153">
        <v>30</v>
      </c>
    </row>
    <row r="7154" spans="1:10" x14ac:dyDescent="0.25">
      <c r="A7154" t="s">
        <v>26</v>
      </c>
      <c r="B7154" t="s">
        <v>21</v>
      </c>
      <c r="C7154" t="s">
        <v>18</v>
      </c>
      <c r="D7154" t="s">
        <v>16</v>
      </c>
      <c r="E7154">
        <v>0.33912037037037002</v>
      </c>
      <c r="F7154">
        <v>0.83477951947916895</v>
      </c>
      <c r="G7154">
        <v>0.241174936294555</v>
      </c>
      <c r="H7154">
        <v>1</v>
      </c>
      <c r="I7154">
        <v>1</v>
      </c>
      <c r="J7154">
        <v>30</v>
      </c>
    </row>
    <row r="7155" spans="1:10" x14ac:dyDescent="0.25">
      <c r="A7155" t="s">
        <v>26</v>
      </c>
      <c r="B7155" t="s">
        <v>21</v>
      </c>
      <c r="C7155" t="s">
        <v>18</v>
      </c>
      <c r="D7155" t="s">
        <v>16</v>
      </c>
      <c r="E7155">
        <v>0.30941358024691301</v>
      </c>
      <c r="F7155">
        <v>0.82735288811851604</v>
      </c>
      <c r="G7155">
        <v>0.24729466438293399</v>
      </c>
      <c r="H7155">
        <v>1</v>
      </c>
      <c r="I7155">
        <v>1</v>
      </c>
      <c r="J7155">
        <v>30</v>
      </c>
    </row>
    <row r="7156" spans="1:10" x14ac:dyDescent="0.25">
      <c r="A7156" t="s">
        <v>26</v>
      </c>
      <c r="B7156" t="s">
        <v>21</v>
      </c>
      <c r="C7156" t="s">
        <v>18</v>
      </c>
      <c r="D7156" t="s">
        <v>16</v>
      </c>
      <c r="E7156">
        <v>0.32368827160493802</v>
      </c>
      <c r="F7156">
        <v>0.83092152925157903</v>
      </c>
      <c r="G7156">
        <v>0.24683499336242601</v>
      </c>
      <c r="H7156">
        <v>1</v>
      </c>
      <c r="I7156">
        <v>1</v>
      </c>
      <c r="J7156">
        <v>30</v>
      </c>
    </row>
    <row r="7157" spans="1:10" x14ac:dyDescent="0.25">
      <c r="A7157" t="s">
        <v>26</v>
      </c>
      <c r="B7157" t="s">
        <v>21</v>
      </c>
      <c r="C7157" t="s">
        <v>18</v>
      </c>
      <c r="D7157" t="s">
        <v>16</v>
      </c>
      <c r="E7157">
        <v>0.31790123456790098</v>
      </c>
      <c r="F7157">
        <v>0.82947478779258998</v>
      </c>
      <c r="G7157">
        <v>0.240384817123413</v>
      </c>
      <c r="H7157">
        <v>1</v>
      </c>
      <c r="I7157">
        <v>1</v>
      </c>
      <c r="J7157">
        <v>30</v>
      </c>
    </row>
    <row r="7158" spans="1:10" x14ac:dyDescent="0.25">
      <c r="A7158" t="s">
        <v>26</v>
      </c>
      <c r="B7158" t="s">
        <v>21</v>
      </c>
      <c r="C7158" t="s">
        <v>18</v>
      </c>
      <c r="D7158" t="s">
        <v>16</v>
      </c>
      <c r="E7158">
        <v>0.33256172839506098</v>
      </c>
      <c r="F7158">
        <v>0.83313987006944601</v>
      </c>
      <c r="G7158">
        <v>0.24566960334777799</v>
      </c>
      <c r="H7158">
        <v>1</v>
      </c>
      <c r="I7158">
        <v>1</v>
      </c>
      <c r="J7158">
        <v>30</v>
      </c>
    </row>
    <row r="7159" spans="1:10" x14ac:dyDescent="0.25">
      <c r="A7159" t="s">
        <v>26</v>
      </c>
      <c r="B7159" t="s">
        <v>21</v>
      </c>
      <c r="C7159" t="s">
        <v>18</v>
      </c>
      <c r="D7159" t="s">
        <v>16</v>
      </c>
      <c r="E7159">
        <v>0.31983024691357997</v>
      </c>
      <c r="F7159">
        <v>0.82995702949887795</v>
      </c>
      <c r="G7159">
        <v>0.24069380760192799</v>
      </c>
      <c r="H7159">
        <v>1</v>
      </c>
      <c r="I7159">
        <v>1</v>
      </c>
      <c r="J7159">
        <v>30</v>
      </c>
    </row>
    <row r="7160" spans="1:10" x14ac:dyDescent="0.25">
      <c r="A7160" t="s">
        <v>26</v>
      </c>
      <c r="B7160" t="s">
        <v>21</v>
      </c>
      <c r="C7160" t="s">
        <v>18</v>
      </c>
      <c r="D7160" t="s">
        <v>16</v>
      </c>
      <c r="E7160">
        <v>0.32253086419753002</v>
      </c>
      <c r="F7160">
        <v>0.83063217932576905</v>
      </c>
      <c r="G7160">
        <v>0.247203588485717</v>
      </c>
      <c r="H7160">
        <v>1</v>
      </c>
      <c r="I7160">
        <v>1</v>
      </c>
      <c r="J7160">
        <v>30</v>
      </c>
    </row>
    <row r="7161" spans="1:10" x14ac:dyDescent="0.25">
      <c r="A7161" t="s">
        <v>26</v>
      </c>
      <c r="B7161" t="s">
        <v>21</v>
      </c>
      <c r="C7161" t="s">
        <v>18</v>
      </c>
      <c r="D7161" t="s">
        <v>16</v>
      </c>
      <c r="E7161">
        <v>0.33757716049382702</v>
      </c>
      <c r="F7161">
        <v>0.83439371961805797</v>
      </c>
      <c r="G7161">
        <v>0.24072003364562899</v>
      </c>
      <c r="H7161">
        <v>1</v>
      </c>
      <c r="I7161">
        <v>1</v>
      </c>
      <c r="J7161">
        <v>30</v>
      </c>
    </row>
    <row r="7162" spans="1:10" x14ac:dyDescent="0.25">
      <c r="A7162" t="s">
        <v>26</v>
      </c>
      <c r="B7162" t="s">
        <v>21</v>
      </c>
      <c r="C7162" t="s">
        <v>18</v>
      </c>
      <c r="D7162" t="s">
        <v>16</v>
      </c>
      <c r="E7162">
        <v>0.33217592592592499</v>
      </c>
      <c r="F7162">
        <v>0.83304342010416899</v>
      </c>
      <c r="G7162">
        <v>0.235253095626831</v>
      </c>
      <c r="H7162">
        <v>1</v>
      </c>
      <c r="I7162">
        <v>1</v>
      </c>
      <c r="J7162">
        <v>30</v>
      </c>
    </row>
    <row r="7163" spans="1:10" x14ac:dyDescent="0.25">
      <c r="A7163" t="s">
        <v>26</v>
      </c>
      <c r="B7163" t="s">
        <v>21</v>
      </c>
      <c r="C7163" t="s">
        <v>18</v>
      </c>
      <c r="D7163" t="s">
        <v>16</v>
      </c>
      <c r="E7163">
        <v>0.34027777777777701</v>
      </c>
      <c r="F7163">
        <v>0.83506886049375295</v>
      </c>
      <c r="G7163">
        <v>0.23112511634826599</v>
      </c>
      <c r="H7163">
        <v>1</v>
      </c>
      <c r="I7163">
        <v>1</v>
      </c>
      <c r="J7163">
        <v>30</v>
      </c>
    </row>
    <row r="7164" spans="1:10" x14ac:dyDescent="0.25">
      <c r="A7164" t="s">
        <v>26</v>
      </c>
      <c r="B7164" t="s">
        <v>21</v>
      </c>
      <c r="C7164" t="s">
        <v>18</v>
      </c>
      <c r="D7164" t="s">
        <v>16</v>
      </c>
      <c r="E7164">
        <v>0.33294753086419698</v>
      </c>
      <c r="F7164">
        <v>0.83323632003472403</v>
      </c>
      <c r="G7164">
        <v>0.23104834556579501</v>
      </c>
      <c r="H7164">
        <v>1</v>
      </c>
      <c r="I7164">
        <v>1</v>
      </c>
      <c r="J7164">
        <v>30</v>
      </c>
    </row>
    <row r="7165" spans="1:10" x14ac:dyDescent="0.25">
      <c r="A7165" t="s">
        <v>26</v>
      </c>
      <c r="B7165" t="s">
        <v>21</v>
      </c>
      <c r="C7165" t="s">
        <v>18</v>
      </c>
      <c r="D7165" t="s">
        <v>16</v>
      </c>
      <c r="E7165">
        <v>0.32600308641975301</v>
      </c>
      <c r="F7165">
        <v>0.83150022910319898</v>
      </c>
      <c r="G7165">
        <v>0.22965073585510201</v>
      </c>
      <c r="H7165">
        <v>1</v>
      </c>
      <c r="I7165">
        <v>1</v>
      </c>
      <c r="J7165">
        <v>30</v>
      </c>
    </row>
    <row r="7166" spans="1:10" x14ac:dyDescent="0.25">
      <c r="A7166" t="s">
        <v>26</v>
      </c>
      <c r="B7166" t="s">
        <v>21</v>
      </c>
      <c r="C7166" t="s">
        <v>18</v>
      </c>
      <c r="D7166" t="s">
        <v>16</v>
      </c>
      <c r="E7166">
        <v>0.32175925925925902</v>
      </c>
      <c r="F7166">
        <v>0.83043927937522899</v>
      </c>
      <c r="G7166">
        <v>0.22497797012329099</v>
      </c>
      <c r="H7166">
        <v>1</v>
      </c>
      <c r="I7166">
        <v>1</v>
      </c>
      <c r="J7166">
        <v>30</v>
      </c>
    </row>
    <row r="7167" spans="1:10" x14ac:dyDescent="0.25">
      <c r="A7167" t="s">
        <v>26</v>
      </c>
      <c r="B7167" t="s">
        <v>21</v>
      </c>
      <c r="C7167" t="s">
        <v>18</v>
      </c>
      <c r="D7167" t="s">
        <v>16</v>
      </c>
      <c r="E7167">
        <v>0.34220679012345601</v>
      </c>
      <c r="F7167">
        <v>0.83555111026979501</v>
      </c>
      <c r="G7167">
        <v>0.213451147079467</v>
      </c>
      <c r="H7167">
        <v>1</v>
      </c>
      <c r="I7167">
        <v>1</v>
      </c>
      <c r="J7167">
        <v>30</v>
      </c>
    </row>
    <row r="7168" spans="1:10" x14ac:dyDescent="0.25">
      <c r="A7168" t="s">
        <v>26</v>
      </c>
      <c r="B7168" t="s">
        <v>21</v>
      </c>
      <c r="C7168" t="s">
        <v>18</v>
      </c>
      <c r="D7168" t="s">
        <v>16</v>
      </c>
      <c r="E7168">
        <v>0.327932098765432</v>
      </c>
      <c r="F7168">
        <v>0.83198247897954902</v>
      </c>
      <c r="G7168">
        <v>0.212620019912719</v>
      </c>
      <c r="H7168">
        <v>1</v>
      </c>
      <c r="I7168">
        <v>1</v>
      </c>
      <c r="J7168">
        <v>30</v>
      </c>
    </row>
    <row r="7169" spans="1:10" x14ac:dyDescent="0.25">
      <c r="A7169" t="s">
        <v>26</v>
      </c>
      <c r="B7169" t="s">
        <v>21</v>
      </c>
      <c r="C7169" t="s">
        <v>18</v>
      </c>
      <c r="D7169" t="s">
        <v>16</v>
      </c>
      <c r="E7169">
        <v>0.32716049382716</v>
      </c>
      <c r="F7169">
        <v>0.83178957902900896</v>
      </c>
      <c r="G7169">
        <v>0.200036525726318</v>
      </c>
      <c r="H7169">
        <v>1</v>
      </c>
      <c r="I7169">
        <v>1</v>
      </c>
      <c r="J7169">
        <v>30</v>
      </c>
    </row>
    <row r="7170" spans="1:10" x14ac:dyDescent="0.25">
      <c r="A7170" t="s">
        <v>26</v>
      </c>
      <c r="B7170" t="s">
        <v>21</v>
      </c>
      <c r="C7170" t="s">
        <v>18</v>
      </c>
      <c r="D7170" t="s">
        <v>16</v>
      </c>
      <c r="E7170">
        <v>0.33294753086419698</v>
      </c>
      <c r="F7170">
        <v>0.83323632003472403</v>
      </c>
      <c r="G7170">
        <v>0.22971510887145899</v>
      </c>
      <c r="H7170">
        <v>1</v>
      </c>
      <c r="I7170">
        <v>1</v>
      </c>
      <c r="J7170">
        <v>30</v>
      </c>
    </row>
    <row r="7171" spans="1:10" x14ac:dyDescent="0.25">
      <c r="A7171" t="s">
        <v>26</v>
      </c>
      <c r="B7171" t="s">
        <v>21</v>
      </c>
      <c r="C7171" t="s">
        <v>18</v>
      </c>
      <c r="D7171" t="s">
        <v>16</v>
      </c>
      <c r="E7171">
        <v>0.32484567901234501</v>
      </c>
      <c r="F7171">
        <v>0.83121087917738901</v>
      </c>
      <c r="G7171">
        <v>0.20183682441711401</v>
      </c>
      <c r="H7171">
        <v>1</v>
      </c>
      <c r="I7171">
        <v>1</v>
      </c>
      <c r="J7171">
        <v>30</v>
      </c>
    </row>
    <row r="7172" spans="1:10" x14ac:dyDescent="0.25">
      <c r="A7172" t="s">
        <v>26</v>
      </c>
      <c r="B7172" t="s">
        <v>21</v>
      </c>
      <c r="C7172" t="s">
        <v>18</v>
      </c>
      <c r="D7172" t="s">
        <v>17</v>
      </c>
      <c r="E7172">
        <v>0</v>
      </c>
      <c r="F7172">
        <v>0.74981850372939796</v>
      </c>
      <c r="G7172">
        <v>2.3088421821594198</v>
      </c>
      <c r="H7172">
        <v>7</v>
      </c>
      <c r="I7172">
        <v>19</v>
      </c>
      <c r="J7172">
        <v>30</v>
      </c>
    </row>
    <row r="7173" spans="1:10" x14ac:dyDescent="0.25">
      <c r="A7173" t="s">
        <v>26</v>
      </c>
      <c r="B7173" t="s">
        <v>21</v>
      </c>
      <c r="C7173" t="s">
        <v>18</v>
      </c>
      <c r="D7173" t="s">
        <v>17</v>
      </c>
      <c r="E7173">
        <v>3.8580246913580201E-4</v>
      </c>
      <c r="F7173">
        <v>0.74923000540451301</v>
      </c>
      <c r="G7173">
        <v>7.2520806789398096</v>
      </c>
      <c r="H7173">
        <v>20</v>
      </c>
      <c r="I7173">
        <v>29</v>
      </c>
      <c r="J7173">
        <v>30</v>
      </c>
    </row>
    <row r="7174" spans="1:10" x14ac:dyDescent="0.25">
      <c r="A7174" t="s">
        <v>26</v>
      </c>
      <c r="B7174" t="s">
        <v>21</v>
      </c>
      <c r="C7174" t="s">
        <v>18</v>
      </c>
      <c r="D7174" t="s">
        <v>17</v>
      </c>
      <c r="E7174">
        <v>3.8580246913580201E-4</v>
      </c>
      <c r="F7174">
        <v>0.74880558860281599</v>
      </c>
      <c r="G7174">
        <v>9.2280285358428902</v>
      </c>
      <c r="H7174">
        <v>29</v>
      </c>
      <c r="I7174">
        <v>33</v>
      </c>
      <c r="J7174">
        <v>30</v>
      </c>
    </row>
    <row r="7175" spans="1:10" x14ac:dyDescent="0.25">
      <c r="A7175" t="s">
        <v>26</v>
      </c>
      <c r="B7175" t="s">
        <v>21</v>
      </c>
      <c r="C7175" t="s">
        <v>18</v>
      </c>
      <c r="D7175" t="s">
        <v>17</v>
      </c>
      <c r="E7175">
        <v>3.8580246913580201E-4</v>
      </c>
      <c r="F7175">
        <v>0.748662455208564</v>
      </c>
      <c r="G7175">
        <v>10.5393996238708</v>
      </c>
      <c r="H7175">
        <v>31</v>
      </c>
      <c r="I7175">
        <v>34</v>
      </c>
      <c r="J7175">
        <v>30</v>
      </c>
    </row>
    <row r="7176" spans="1:10" x14ac:dyDescent="0.25">
      <c r="A7176" t="s">
        <v>26</v>
      </c>
      <c r="B7176" t="s">
        <v>21</v>
      </c>
      <c r="C7176" t="s">
        <v>18</v>
      </c>
      <c r="D7176" t="s">
        <v>17</v>
      </c>
      <c r="E7176">
        <v>7.7160493827160403E-4</v>
      </c>
      <c r="F7176">
        <v>0.74884699925787002</v>
      </c>
      <c r="G7176">
        <v>11.554083824157701</v>
      </c>
      <c r="H7176">
        <v>34</v>
      </c>
      <c r="I7176">
        <v>32</v>
      </c>
      <c r="J7176">
        <v>30</v>
      </c>
    </row>
    <row r="7177" spans="1:10" x14ac:dyDescent="0.25">
      <c r="A7177" t="s">
        <v>26</v>
      </c>
      <c r="B7177" t="s">
        <v>21</v>
      </c>
      <c r="C7177" t="s">
        <v>18</v>
      </c>
      <c r="D7177" t="s">
        <v>17</v>
      </c>
      <c r="E7177">
        <v>0</v>
      </c>
      <c r="F7177">
        <v>0.74887925276469802</v>
      </c>
      <c r="G7177">
        <v>16.419535160064601</v>
      </c>
      <c r="H7177">
        <v>50</v>
      </c>
      <c r="I7177">
        <v>32</v>
      </c>
      <c r="J7177">
        <v>30</v>
      </c>
    </row>
    <row r="7178" spans="1:10" x14ac:dyDescent="0.25">
      <c r="A7178" t="s">
        <v>26</v>
      </c>
      <c r="B7178" t="s">
        <v>21</v>
      </c>
      <c r="C7178" t="s">
        <v>18</v>
      </c>
      <c r="D7178" t="s">
        <v>17</v>
      </c>
      <c r="E7178">
        <v>5.4398148148148098E-2</v>
      </c>
      <c r="F7178">
        <v>0.75798812645061597</v>
      </c>
      <c r="G7178">
        <v>22.694335460662799</v>
      </c>
      <c r="H7178">
        <v>78</v>
      </c>
      <c r="I7178">
        <v>39</v>
      </c>
      <c r="J7178">
        <v>30</v>
      </c>
    </row>
    <row r="7179" spans="1:10" x14ac:dyDescent="0.25">
      <c r="A7179" t="s">
        <v>26</v>
      </c>
      <c r="B7179" t="s">
        <v>21</v>
      </c>
      <c r="C7179" t="s">
        <v>18</v>
      </c>
      <c r="D7179" t="s">
        <v>17</v>
      </c>
      <c r="E7179">
        <v>4.6682098765432098E-2</v>
      </c>
      <c r="F7179">
        <v>0.75058402927685097</v>
      </c>
      <c r="G7179">
        <v>28.481791257858202</v>
      </c>
      <c r="H7179">
        <v>103</v>
      </c>
      <c r="I7179">
        <v>43</v>
      </c>
      <c r="J7179">
        <v>30</v>
      </c>
    </row>
    <row r="7180" spans="1:10" x14ac:dyDescent="0.25">
      <c r="A7180" t="s">
        <v>26</v>
      </c>
      <c r="B7180" t="s">
        <v>21</v>
      </c>
      <c r="C7180" t="s">
        <v>18</v>
      </c>
      <c r="D7180" t="s">
        <v>17</v>
      </c>
      <c r="E7180">
        <v>5.13117283950617E-2</v>
      </c>
      <c r="F7180">
        <v>0.75639097949591005</v>
      </c>
      <c r="G7180">
        <v>29.2816388607025</v>
      </c>
      <c r="H7180">
        <v>108</v>
      </c>
      <c r="I7180">
        <v>43</v>
      </c>
      <c r="J7180">
        <v>30</v>
      </c>
    </row>
    <row r="7181" spans="1:10" x14ac:dyDescent="0.25">
      <c r="A7181" t="s">
        <v>26</v>
      </c>
      <c r="B7181" t="s">
        <v>21</v>
      </c>
      <c r="C7181" t="s">
        <v>18</v>
      </c>
      <c r="D7181" t="s">
        <v>17</v>
      </c>
      <c r="E7181">
        <v>4.8611111111111098E-2</v>
      </c>
      <c r="F7181">
        <v>0.75136908475505404</v>
      </c>
      <c r="G7181">
        <v>30.284590244293199</v>
      </c>
      <c r="H7181">
        <v>110</v>
      </c>
      <c r="I7181">
        <v>39</v>
      </c>
      <c r="J7181">
        <v>30</v>
      </c>
    </row>
    <row r="7182" spans="1:10" x14ac:dyDescent="0.25">
      <c r="A7182" t="s">
        <v>26</v>
      </c>
      <c r="B7182" t="s">
        <v>21</v>
      </c>
      <c r="C7182" t="s">
        <v>18</v>
      </c>
      <c r="D7182" t="s">
        <v>17</v>
      </c>
      <c r="E7182">
        <v>5.4398148148148098E-2</v>
      </c>
      <c r="F7182">
        <v>0.75809358973190599</v>
      </c>
      <c r="G7182">
        <v>37.717941045761101</v>
      </c>
      <c r="H7182">
        <v>145</v>
      </c>
      <c r="I7182">
        <v>39</v>
      </c>
      <c r="J7182">
        <v>30</v>
      </c>
    </row>
    <row r="7183" spans="1:10" x14ac:dyDescent="0.25">
      <c r="A7183" t="s">
        <v>26</v>
      </c>
      <c r="B7183" t="s">
        <v>21</v>
      </c>
      <c r="C7183" t="s">
        <v>18</v>
      </c>
      <c r="D7183" t="s">
        <v>17</v>
      </c>
      <c r="E7183">
        <v>0.102623456790123</v>
      </c>
      <c r="F7183">
        <v>0.75658056099930404</v>
      </c>
      <c r="G7183">
        <v>47.745632410049403</v>
      </c>
      <c r="H7183">
        <v>216</v>
      </c>
      <c r="I7183">
        <v>42</v>
      </c>
      <c r="J7183">
        <v>30</v>
      </c>
    </row>
    <row r="7184" spans="1:10" x14ac:dyDescent="0.25">
      <c r="A7184" t="s">
        <v>26</v>
      </c>
      <c r="B7184" t="s">
        <v>21</v>
      </c>
      <c r="C7184" t="s">
        <v>18</v>
      </c>
      <c r="D7184" t="s">
        <v>17</v>
      </c>
      <c r="E7184">
        <v>9.4907407407407399E-2</v>
      </c>
      <c r="F7184">
        <v>0.75260578280864099</v>
      </c>
      <c r="G7184">
        <v>53.831604957580502</v>
      </c>
      <c r="H7184">
        <v>242</v>
      </c>
      <c r="I7184">
        <v>41</v>
      </c>
      <c r="J7184">
        <v>30</v>
      </c>
    </row>
    <row r="7185" spans="1:10" x14ac:dyDescent="0.25">
      <c r="A7185" t="s">
        <v>26</v>
      </c>
      <c r="B7185" t="s">
        <v>21</v>
      </c>
      <c r="C7185" t="s">
        <v>18</v>
      </c>
      <c r="D7185" t="s">
        <v>17</v>
      </c>
      <c r="E7185">
        <v>0.10339506172839499</v>
      </c>
      <c r="F7185">
        <v>0.757647424756133</v>
      </c>
      <c r="G7185">
        <v>60.720609188079798</v>
      </c>
      <c r="H7185">
        <v>298</v>
      </c>
      <c r="I7185">
        <v>39</v>
      </c>
      <c r="J7185">
        <v>30</v>
      </c>
    </row>
    <row r="7186" spans="1:10" x14ac:dyDescent="0.25">
      <c r="A7186" t="s">
        <v>26</v>
      </c>
      <c r="B7186" t="s">
        <v>21</v>
      </c>
      <c r="C7186" t="s">
        <v>18</v>
      </c>
      <c r="D7186" t="s">
        <v>17</v>
      </c>
      <c r="E7186">
        <v>0.10802469135802401</v>
      </c>
      <c r="F7186">
        <v>0.75564874418965999</v>
      </c>
      <c r="G7186">
        <v>65.395316839218097</v>
      </c>
      <c r="H7186">
        <v>333</v>
      </c>
      <c r="I7186">
        <v>40</v>
      </c>
      <c r="J7186">
        <v>30</v>
      </c>
    </row>
    <row r="7187" spans="1:10" x14ac:dyDescent="0.25">
      <c r="A7187" t="s">
        <v>26</v>
      </c>
      <c r="B7187" t="s">
        <v>21</v>
      </c>
      <c r="C7187" t="s">
        <v>18</v>
      </c>
      <c r="D7187" t="s">
        <v>17</v>
      </c>
      <c r="E7187">
        <v>0.106867283950617</v>
      </c>
      <c r="F7187">
        <v>0.75587001745810101</v>
      </c>
      <c r="G7187">
        <v>71.952664375305105</v>
      </c>
      <c r="H7187">
        <v>342</v>
      </c>
      <c r="I7187">
        <v>42</v>
      </c>
      <c r="J7187">
        <v>30</v>
      </c>
    </row>
    <row r="7188" spans="1:10" x14ac:dyDescent="0.25">
      <c r="A7188" t="s">
        <v>26</v>
      </c>
      <c r="B7188" t="s">
        <v>21</v>
      </c>
      <c r="C7188" t="s">
        <v>18</v>
      </c>
      <c r="D7188" t="s">
        <v>17</v>
      </c>
      <c r="E7188">
        <v>0.106095679012345</v>
      </c>
      <c r="F7188">
        <v>0.75342409088684203</v>
      </c>
      <c r="G7188">
        <v>73.823999643325806</v>
      </c>
      <c r="H7188">
        <v>395</v>
      </c>
      <c r="I7188">
        <v>39</v>
      </c>
      <c r="J7188">
        <v>30</v>
      </c>
    </row>
    <row r="7189" spans="1:10" x14ac:dyDescent="0.25">
      <c r="A7189" t="s">
        <v>26</v>
      </c>
      <c r="B7189" t="s">
        <v>21</v>
      </c>
      <c r="C7189" t="s">
        <v>18</v>
      </c>
      <c r="D7189" t="s">
        <v>17</v>
      </c>
      <c r="E7189">
        <v>9.7993827160493804E-2</v>
      </c>
      <c r="F7189">
        <v>0.75367289574795504</v>
      </c>
      <c r="G7189">
        <v>74.248691082000704</v>
      </c>
      <c r="H7189">
        <v>383</v>
      </c>
      <c r="I7189">
        <v>43</v>
      </c>
      <c r="J7189">
        <v>30</v>
      </c>
    </row>
    <row r="7190" spans="1:10" x14ac:dyDescent="0.25">
      <c r="A7190" t="s">
        <v>26</v>
      </c>
      <c r="B7190" t="s">
        <v>21</v>
      </c>
      <c r="C7190" t="s">
        <v>18</v>
      </c>
      <c r="D7190" t="s">
        <v>17</v>
      </c>
      <c r="E7190">
        <v>0.105324074074074</v>
      </c>
      <c r="F7190">
        <v>0.76171071916168898</v>
      </c>
      <c r="G7190">
        <v>74.709700345992999</v>
      </c>
      <c r="H7190">
        <v>362</v>
      </c>
      <c r="I7190">
        <v>44</v>
      </c>
      <c r="J7190">
        <v>30</v>
      </c>
    </row>
    <row r="7191" spans="1:10" x14ac:dyDescent="0.25">
      <c r="A7191" t="s">
        <v>26</v>
      </c>
      <c r="B7191" t="s">
        <v>21</v>
      </c>
      <c r="C7191" t="s">
        <v>18</v>
      </c>
      <c r="D7191" t="s">
        <v>17</v>
      </c>
      <c r="E7191">
        <v>0.15354938271604901</v>
      </c>
      <c r="F7191">
        <v>0.75084491484776195</v>
      </c>
      <c r="G7191">
        <v>89.694840908050494</v>
      </c>
      <c r="H7191">
        <v>532</v>
      </c>
      <c r="I7191">
        <v>44</v>
      </c>
      <c r="J7191">
        <v>30</v>
      </c>
    </row>
    <row r="7192" spans="1:10" x14ac:dyDescent="0.25">
      <c r="A7192" t="s">
        <v>26</v>
      </c>
      <c r="B7192" t="s">
        <v>21</v>
      </c>
      <c r="C7192" t="s">
        <v>18</v>
      </c>
      <c r="D7192" t="s">
        <v>17</v>
      </c>
      <c r="E7192">
        <v>0.15817901234567899</v>
      </c>
      <c r="F7192">
        <v>0.75260666736045401</v>
      </c>
      <c r="G7192">
        <v>101.542004108428</v>
      </c>
      <c r="H7192">
        <v>547</v>
      </c>
      <c r="I7192">
        <v>43</v>
      </c>
      <c r="J7192">
        <v>30</v>
      </c>
    </row>
    <row r="7193" spans="1:10" x14ac:dyDescent="0.25">
      <c r="A7193" t="s">
        <v>26</v>
      </c>
      <c r="B7193" t="s">
        <v>21</v>
      </c>
      <c r="C7193" t="s">
        <v>18</v>
      </c>
      <c r="D7193" t="s">
        <v>17</v>
      </c>
      <c r="E7193">
        <v>0.15432098765432001</v>
      </c>
      <c r="F7193">
        <v>0.75355078130952702</v>
      </c>
      <c r="G7193">
        <v>102.96526646613999</v>
      </c>
      <c r="H7193">
        <v>663</v>
      </c>
      <c r="I7193">
        <v>46</v>
      </c>
      <c r="J7193">
        <v>30</v>
      </c>
    </row>
    <row r="7194" spans="1:10" x14ac:dyDescent="0.25">
      <c r="A7194" t="s">
        <v>26</v>
      </c>
      <c r="B7194" t="s">
        <v>21</v>
      </c>
      <c r="C7194" t="s">
        <v>18</v>
      </c>
      <c r="D7194" t="s">
        <v>17</v>
      </c>
      <c r="E7194">
        <v>0.16049382716049301</v>
      </c>
      <c r="F7194">
        <v>0.74657600525721302</v>
      </c>
      <c r="G7194">
        <v>110.814919710159</v>
      </c>
      <c r="H7194">
        <v>693</v>
      </c>
      <c r="I7194">
        <v>46</v>
      </c>
      <c r="J7194">
        <v>30</v>
      </c>
    </row>
    <row r="7195" spans="1:10" x14ac:dyDescent="0.25">
      <c r="A7195" t="s">
        <v>26</v>
      </c>
      <c r="B7195" t="s">
        <v>21</v>
      </c>
      <c r="C7195" t="s">
        <v>18</v>
      </c>
      <c r="D7195" t="s">
        <v>17</v>
      </c>
      <c r="E7195">
        <v>0.17052469135802401</v>
      </c>
      <c r="F7195">
        <v>0.745080775431751</v>
      </c>
      <c r="G7195">
        <v>111.800511360168</v>
      </c>
      <c r="H7195">
        <v>829</v>
      </c>
      <c r="I7195">
        <v>45</v>
      </c>
      <c r="J7195">
        <v>30</v>
      </c>
    </row>
    <row r="7196" spans="1:10" x14ac:dyDescent="0.25">
      <c r="A7196" t="s">
        <v>26</v>
      </c>
      <c r="B7196" t="s">
        <v>21</v>
      </c>
      <c r="C7196" t="s">
        <v>18</v>
      </c>
      <c r="D7196" t="s">
        <v>17</v>
      </c>
      <c r="E7196">
        <v>0.250385802469135</v>
      </c>
      <c r="F7196">
        <v>0.76270212140485905</v>
      </c>
      <c r="G7196">
        <v>114.76222038269</v>
      </c>
      <c r="H7196">
        <v>616</v>
      </c>
      <c r="I7196">
        <v>49</v>
      </c>
      <c r="J7196">
        <v>30</v>
      </c>
    </row>
    <row r="7197" spans="1:10" x14ac:dyDescent="0.25">
      <c r="A7197" t="s">
        <v>26</v>
      </c>
      <c r="B7197" t="s">
        <v>21</v>
      </c>
      <c r="C7197" t="s">
        <v>18</v>
      </c>
      <c r="D7197" t="s">
        <v>17</v>
      </c>
      <c r="E7197">
        <v>0.149305555555555</v>
      </c>
      <c r="F7197">
        <v>0.743550228353972</v>
      </c>
      <c r="G7197">
        <v>116.322777748107</v>
      </c>
      <c r="H7197">
        <v>738</v>
      </c>
      <c r="I7197">
        <v>46</v>
      </c>
      <c r="J7197">
        <v>30</v>
      </c>
    </row>
    <row r="7198" spans="1:10" x14ac:dyDescent="0.25">
      <c r="A7198" t="s">
        <v>26</v>
      </c>
      <c r="B7198" t="s">
        <v>21</v>
      </c>
      <c r="C7198" t="s">
        <v>18</v>
      </c>
      <c r="D7198" t="s">
        <v>17</v>
      </c>
      <c r="E7198">
        <v>0.33989197530864101</v>
      </c>
      <c r="F7198">
        <v>0.75504165843896498</v>
      </c>
      <c r="G7198">
        <v>144.546590805053</v>
      </c>
      <c r="H7198">
        <v>1340</v>
      </c>
      <c r="I7198">
        <v>51</v>
      </c>
      <c r="J7198">
        <v>30</v>
      </c>
    </row>
    <row r="7199" spans="1:10" x14ac:dyDescent="0.25">
      <c r="A7199" t="s">
        <v>26</v>
      </c>
      <c r="B7199" t="s">
        <v>21</v>
      </c>
      <c r="C7199" t="s">
        <v>18</v>
      </c>
      <c r="D7199" t="s">
        <v>17</v>
      </c>
      <c r="E7199">
        <v>0.281635802469135</v>
      </c>
      <c r="F7199">
        <v>0.762015471438928</v>
      </c>
      <c r="G7199">
        <v>167.710709333419</v>
      </c>
      <c r="H7199">
        <v>805</v>
      </c>
      <c r="I7199">
        <v>49</v>
      </c>
      <c r="J7199">
        <v>30</v>
      </c>
    </row>
    <row r="7200" spans="1:10" x14ac:dyDescent="0.25">
      <c r="A7200" t="s">
        <v>26</v>
      </c>
      <c r="B7200" t="s">
        <v>21</v>
      </c>
      <c r="C7200" t="s">
        <v>18</v>
      </c>
      <c r="D7200" t="s">
        <v>17</v>
      </c>
      <c r="E7200">
        <v>0.23958333333333301</v>
      </c>
      <c r="F7200">
        <v>0.74548378927249104</v>
      </c>
      <c r="G7200">
        <v>169.566561460495</v>
      </c>
      <c r="H7200">
        <v>1141</v>
      </c>
      <c r="I7200">
        <v>47</v>
      </c>
      <c r="J7200">
        <v>30</v>
      </c>
    </row>
    <row r="7201" spans="1:10" x14ac:dyDescent="0.25">
      <c r="A7201" t="s">
        <v>26</v>
      </c>
      <c r="B7201" t="s">
        <v>21</v>
      </c>
      <c r="C7201" t="s">
        <v>18</v>
      </c>
      <c r="D7201" t="s">
        <v>17</v>
      </c>
      <c r="E7201">
        <v>0.19135802469135799</v>
      </c>
      <c r="F7201">
        <v>0.76049163860698099</v>
      </c>
      <c r="G7201">
        <v>170.62949967384299</v>
      </c>
      <c r="H7201">
        <v>553</v>
      </c>
      <c r="I7201">
        <v>48</v>
      </c>
      <c r="J7201">
        <v>30</v>
      </c>
    </row>
    <row r="7202" spans="1:10" x14ac:dyDescent="0.25">
      <c r="A7202" t="s">
        <v>27</v>
      </c>
      <c r="B7202" t="s">
        <v>11</v>
      </c>
      <c r="C7202" t="s">
        <v>12</v>
      </c>
      <c r="D7202" t="s">
        <v>13</v>
      </c>
      <c r="E7202">
        <v>0.91112743297833199</v>
      </c>
      <c r="F7202">
        <v>0.92092069859269099</v>
      </c>
      <c r="G7202">
        <v>835.55198168754498</v>
      </c>
      <c r="H7202">
        <v>133</v>
      </c>
      <c r="I7202">
        <v>242</v>
      </c>
      <c r="J7202">
        <v>30</v>
      </c>
    </row>
    <row r="7203" spans="1:10" x14ac:dyDescent="0.25">
      <c r="A7203" t="s">
        <v>27</v>
      </c>
      <c r="B7203" t="s">
        <v>11</v>
      </c>
      <c r="C7203" t="s">
        <v>12</v>
      </c>
      <c r="D7203" t="s">
        <v>13</v>
      </c>
      <c r="E7203">
        <v>0.914799853103195</v>
      </c>
      <c r="F7203">
        <v>0.922690452149872</v>
      </c>
      <c r="G7203">
        <v>854.18012022972096</v>
      </c>
      <c r="H7203">
        <v>167</v>
      </c>
      <c r="I7203">
        <v>303</v>
      </c>
      <c r="J7203">
        <v>30</v>
      </c>
    </row>
    <row r="7204" spans="1:10" x14ac:dyDescent="0.25">
      <c r="A7204" t="s">
        <v>27</v>
      </c>
      <c r="B7204" t="s">
        <v>11</v>
      </c>
      <c r="C7204" t="s">
        <v>12</v>
      </c>
      <c r="D7204" t="s">
        <v>13</v>
      </c>
      <c r="E7204">
        <v>0.90598604480352496</v>
      </c>
      <c r="F7204">
        <v>0.91675650477506399</v>
      </c>
      <c r="G7204">
        <v>861.03046298027004</v>
      </c>
      <c r="H7204">
        <v>138</v>
      </c>
      <c r="I7204">
        <v>257</v>
      </c>
      <c r="J7204">
        <v>30</v>
      </c>
    </row>
    <row r="7205" spans="1:10" x14ac:dyDescent="0.25">
      <c r="A7205" t="s">
        <v>27</v>
      </c>
      <c r="B7205" t="s">
        <v>11</v>
      </c>
      <c r="C7205" t="s">
        <v>12</v>
      </c>
      <c r="D7205" t="s">
        <v>13</v>
      </c>
      <c r="E7205">
        <v>0.91883951524054297</v>
      </c>
      <c r="F7205">
        <v>0.929196465247079</v>
      </c>
      <c r="G7205">
        <v>866.20704245567299</v>
      </c>
      <c r="H7205">
        <v>142</v>
      </c>
      <c r="I7205">
        <v>254</v>
      </c>
      <c r="J7205">
        <v>30</v>
      </c>
    </row>
    <row r="7206" spans="1:10" x14ac:dyDescent="0.25">
      <c r="A7206" t="s">
        <v>27</v>
      </c>
      <c r="B7206" t="s">
        <v>11</v>
      </c>
      <c r="C7206" t="s">
        <v>12</v>
      </c>
      <c r="D7206" t="s">
        <v>13</v>
      </c>
      <c r="E7206">
        <v>0.91773778920308402</v>
      </c>
      <c r="F7206">
        <v>0.92830944173664898</v>
      </c>
      <c r="G7206">
        <v>868.89606547355595</v>
      </c>
      <c r="H7206">
        <v>154</v>
      </c>
      <c r="I7206">
        <v>269</v>
      </c>
      <c r="J7206">
        <v>30</v>
      </c>
    </row>
    <row r="7207" spans="1:10" x14ac:dyDescent="0.25">
      <c r="A7207" t="s">
        <v>27</v>
      </c>
      <c r="B7207" t="s">
        <v>11</v>
      </c>
      <c r="C7207" t="s">
        <v>12</v>
      </c>
      <c r="D7207" t="s">
        <v>13</v>
      </c>
      <c r="E7207">
        <v>0.90598604480352496</v>
      </c>
      <c r="F7207">
        <v>0.91825186694605299</v>
      </c>
      <c r="G7207">
        <v>875.39621472358704</v>
      </c>
      <c r="H7207">
        <v>132</v>
      </c>
      <c r="I7207">
        <v>252</v>
      </c>
      <c r="J7207">
        <v>30</v>
      </c>
    </row>
    <row r="7208" spans="1:10" x14ac:dyDescent="0.25">
      <c r="A7208" t="s">
        <v>27</v>
      </c>
      <c r="B7208" t="s">
        <v>11</v>
      </c>
      <c r="C7208" t="s">
        <v>12</v>
      </c>
      <c r="D7208" t="s">
        <v>13</v>
      </c>
      <c r="E7208">
        <v>0.91296364304076305</v>
      </c>
      <c r="F7208">
        <v>0.92546055333771604</v>
      </c>
      <c r="G7208">
        <v>879.35337853431702</v>
      </c>
      <c r="H7208">
        <v>150</v>
      </c>
      <c r="I7208">
        <v>270</v>
      </c>
      <c r="J7208">
        <v>30</v>
      </c>
    </row>
    <row r="7209" spans="1:10" x14ac:dyDescent="0.25">
      <c r="A7209" t="s">
        <v>27</v>
      </c>
      <c r="B7209" t="s">
        <v>11</v>
      </c>
      <c r="C7209" t="s">
        <v>12</v>
      </c>
      <c r="D7209" t="s">
        <v>13</v>
      </c>
      <c r="E7209">
        <v>0.90672052882849796</v>
      </c>
      <c r="F7209">
        <v>0.91807990837153697</v>
      </c>
      <c r="G7209">
        <v>889.18045353889397</v>
      </c>
      <c r="H7209">
        <v>142</v>
      </c>
      <c r="I7209">
        <v>269</v>
      </c>
      <c r="J7209">
        <v>30</v>
      </c>
    </row>
    <row r="7210" spans="1:10" x14ac:dyDescent="0.25">
      <c r="A7210" t="s">
        <v>27</v>
      </c>
      <c r="B7210" t="s">
        <v>11</v>
      </c>
      <c r="C7210" t="s">
        <v>12</v>
      </c>
      <c r="D7210" t="s">
        <v>13</v>
      </c>
      <c r="E7210">
        <v>0.91296364304076305</v>
      </c>
      <c r="F7210">
        <v>0.92257466448164005</v>
      </c>
      <c r="G7210">
        <v>890.83673000335602</v>
      </c>
      <c r="H7210">
        <v>122</v>
      </c>
      <c r="I7210">
        <v>218</v>
      </c>
      <c r="J7210">
        <v>30</v>
      </c>
    </row>
    <row r="7211" spans="1:10" x14ac:dyDescent="0.25">
      <c r="A7211" t="s">
        <v>27</v>
      </c>
      <c r="B7211" t="s">
        <v>11</v>
      </c>
      <c r="C7211" t="s">
        <v>12</v>
      </c>
      <c r="D7211" t="s">
        <v>13</v>
      </c>
      <c r="E7211">
        <v>0.91369812706573605</v>
      </c>
      <c r="F7211">
        <v>0.92493794172857002</v>
      </c>
      <c r="G7211">
        <v>897.46516418456997</v>
      </c>
      <c r="H7211">
        <v>163</v>
      </c>
      <c r="I7211">
        <v>277</v>
      </c>
      <c r="J7211">
        <v>30</v>
      </c>
    </row>
    <row r="7212" spans="1:10" x14ac:dyDescent="0.25">
      <c r="A7212" t="s">
        <v>27</v>
      </c>
      <c r="B7212" t="s">
        <v>11</v>
      </c>
      <c r="C7212" t="s">
        <v>12</v>
      </c>
      <c r="D7212" t="s">
        <v>13</v>
      </c>
      <c r="E7212">
        <v>0.91626882115313901</v>
      </c>
      <c r="F7212">
        <v>0.92804992291869104</v>
      </c>
      <c r="G7212">
        <v>899.24429488182</v>
      </c>
      <c r="H7212">
        <v>158</v>
      </c>
      <c r="I7212">
        <v>288</v>
      </c>
      <c r="J7212">
        <v>30</v>
      </c>
    </row>
    <row r="7213" spans="1:10" x14ac:dyDescent="0.25">
      <c r="A7213" t="s">
        <v>27</v>
      </c>
      <c r="B7213" t="s">
        <v>11</v>
      </c>
      <c r="C7213" t="s">
        <v>12</v>
      </c>
      <c r="D7213" t="s">
        <v>13</v>
      </c>
      <c r="E7213">
        <v>0.91186191700330499</v>
      </c>
      <c r="F7213">
        <v>0.92013326670513995</v>
      </c>
      <c r="G7213">
        <v>900.74543094634998</v>
      </c>
      <c r="H7213">
        <v>146</v>
      </c>
      <c r="I7213">
        <v>275</v>
      </c>
      <c r="J7213">
        <v>30</v>
      </c>
    </row>
    <row r="7214" spans="1:10" x14ac:dyDescent="0.25">
      <c r="A7214" t="s">
        <v>27</v>
      </c>
      <c r="B7214" t="s">
        <v>11</v>
      </c>
      <c r="C7214" t="s">
        <v>12</v>
      </c>
      <c r="D7214" t="s">
        <v>13</v>
      </c>
      <c r="E7214">
        <v>0.91076019096584604</v>
      </c>
      <c r="F7214">
        <v>0.91950505247925096</v>
      </c>
      <c r="G7214">
        <v>906.11189103126503</v>
      </c>
      <c r="H7214">
        <v>134</v>
      </c>
      <c r="I7214">
        <v>255</v>
      </c>
      <c r="J7214">
        <v>30</v>
      </c>
    </row>
    <row r="7215" spans="1:10" x14ac:dyDescent="0.25">
      <c r="A7215" t="s">
        <v>27</v>
      </c>
      <c r="B7215" t="s">
        <v>11</v>
      </c>
      <c r="C7215" t="s">
        <v>12</v>
      </c>
      <c r="D7215" t="s">
        <v>13</v>
      </c>
      <c r="E7215">
        <v>0.90672052882849796</v>
      </c>
      <c r="F7215">
        <v>0.92811852065563505</v>
      </c>
      <c r="G7215">
        <v>906.46242523193303</v>
      </c>
      <c r="H7215">
        <v>132</v>
      </c>
      <c r="I7215">
        <v>258</v>
      </c>
      <c r="J7215">
        <v>30</v>
      </c>
    </row>
    <row r="7216" spans="1:10" x14ac:dyDescent="0.25">
      <c r="A7216" t="s">
        <v>27</v>
      </c>
      <c r="B7216" t="s">
        <v>11</v>
      </c>
      <c r="C7216" t="s">
        <v>12</v>
      </c>
      <c r="D7216" t="s">
        <v>13</v>
      </c>
      <c r="E7216">
        <v>0.91847227322805702</v>
      </c>
      <c r="F7216">
        <v>0.92835129019037799</v>
      </c>
      <c r="G7216">
        <v>910.886212587356</v>
      </c>
      <c r="H7216">
        <v>171</v>
      </c>
      <c r="I7216">
        <v>311</v>
      </c>
      <c r="J7216">
        <v>30</v>
      </c>
    </row>
    <row r="7217" spans="1:10" x14ac:dyDescent="0.25">
      <c r="A7217" t="s">
        <v>27</v>
      </c>
      <c r="B7217" t="s">
        <v>11</v>
      </c>
      <c r="C7217" t="s">
        <v>12</v>
      </c>
      <c r="D7217" t="s">
        <v>13</v>
      </c>
      <c r="E7217">
        <v>0.90451707675357995</v>
      </c>
      <c r="F7217">
        <v>0.91474437230737904</v>
      </c>
      <c r="G7217">
        <v>912.15518116950898</v>
      </c>
      <c r="H7217">
        <v>143</v>
      </c>
      <c r="I7217">
        <v>266</v>
      </c>
      <c r="J7217">
        <v>30</v>
      </c>
    </row>
    <row r="7218" spans="1:10" x14ac:dyDescent="0.25">
      <c r="A7218" t="s">
        <v>27</v>
      </c>
      <c r="B7218" t="s">
        <v>11</v>
      </c>
      <c r="C7218" t="s">
        <v>12</v>
      </c>
      <c r="D7218" t="s">
        <v>13</v>
      </c>
      <c r="E7218">
        <v>0.91443261109070795</v>
      </c>
      <c r="F7218">
        <v>0.92233853218020401</v>
      </c>
      <c r="G7218">
        <v>912.59240460395802</v>
      </c>
      <c r="H7218">
        <v>147</v>
      </c>
      <c r="I7218">
        <v>286</v>
      </c>
      <c r="J7218">
        <v>30</v>
      </c>
    </row>
    <row r="7219" spans="1:10" x14ac:dyDescent="0.25">
      <c r="A7219" t="s">
        <v>27</v>
      </c>
      <c r="B7219" t="s">
        <v>11</v>
      </c>
      <c r="C7219" t="s">
        <v>12</v>
      </c>
      <c r="D7219" t="s">
        <v>13</v>
      </c>
      <c r="E7219">
        <v>0.90084465662871804</v>
      </c>
      <c r="F7219">
        <v>0.91158076206041205</v>
      </c>
      <c r="G7219">
        <v>912.62902235984802</v>
      </c>
      <c r="H7219">
        <v>133</v>
      </c>
      <c r="I7219">
        <v>264</v>
      </c>
      <c r="J7219">
        <v>30</v>
      </c>
    </row>
    <row r="7220" spans="1:10" x14ac:dyDescent="0.25">
      <c r="A7220" t="s">
        <v>27</v>
      </c>
      <c r="B7220" t="s">
        <v>11</v>
      </c>
      <c r="C7220" t="s">
        <v>12</v>
      </c>
      <c r="D7220" t="s">
        <v>13</v>
      </c>
      <c r="E7220">
        <v>0.90818949687844197</v>
      </c>
      <c r="F7220">
        <v>0.91971568713632201</v>
      </c>
      <c r="G7220">
        <v>915.51239442825295</v>
      </c>
      <c r="H7220">
        <v>165</v>
      </c>
      <c r="I7220">
        <v>298</v>
      </c>
      <c r="J7220">
        <v>30</v>
      </c>
    </row>
    <row r="7221" spans="1:10" x14ac:dyDescent="0.25">
      <c r="A7221" t="s">
        <v>27</v>
      </c>
      <c r="B7221" t="s">
        <v>11</v>
      </c>
      <c r="C7221" t="s">
        <v>12</v>
      </c>
      <c r="D7221" t="s">
        <v>13</v>
      </c>
      <c r="E7221">
        <v>0.91296364304076305</v>
      </c>
      <c r="F7221">
        <v>0.92224948325504996</v>
      </c>
      <c r="G7221">
        <v>919.90268635749806</v>
      </c>
      <c r="H7221">
        <v>185</v>
      </c>
      <c r="I7221">
        <v>330</v>
      </c>
      <c r="J7221">
        <v>30</v>
      </c>
    </row>
    <row r="7222" spans="1:10" x14ac:dyDescent="0.25">
      <c r="A7222" t="s">
        <v>27</v>
      </c>
      <c r="B7222" t="s">
        <v>11</v>
      </c>
      <c r="C7222" t="s">
        <v>12</v>
      </c>
      <c r="D7222" t="s">
        <v>13</v>
      </c>
      <c r="E7222">
        <v>0.91296364304076305</v>
      </c>
      <c r="F7222">
        <v>0.92312842266514705</v>
      </c>
      <c r="G7222">
        <v>923.31971979141201</v>
      </c>
      <c r="H7222">
        <v>170</v>
      </c>
      <c r="I7222">
        <v>319</v>
      </c>
      <c r="J7222">
        <v>30</v>
      </c>
    </row>
    <row r="7223" spans="1:10" x14ac:dyDescent="0.25">
      <c r="A7223" t="s">
        <v>27</v>
      </c>
      <c r="B7223" t="s">
        <v>11</v>
      </c>
      <c r="C7223" t="s">
        <v>12</v>
      </c>
      <c r="D7223" t="s">
        <v>13</v>
      </c>
      <c r="E7223">
        <v>0.91222915901579105</v>
      </c>
      <c r="F7223">
        <v>0.92114574950290096</v>
      </c>
      <c r="G7223">
        <v>928.00963377952496</v>
      </c>
      <c r="H7223">
        <v>158</v>
      </c>
      <c r="I7223">
        <v>288</v>
      </c>
      <c r="J7223">
        <v>30</v>
      </c>
    </row>
    <row r="7224" spans="1:10" x14ac:dyDescent="0.25">
      <c r="A7224" t="s">
        <v>27</v>
      </c>
      <c r="B7224" t="s">
        <v>11</v>
      </c>
      <c r="C7224" t="s">
        <v>12</v>
      </c>
      <c r="D7224" t="s">
        <v>13</v>
      </c>
      <c r="E7224">
        <v>0.90414983474109401</v>
      </c>
      <c r="F7224">
        <v>0.91540523021131104</v>
      </c>
      <c r="G7224">
        <v>930.883006095886</v>
      </c>
      <c r="H7224">
        <v>168</v>
      </c>
      <c r="I7224">
        <v>323</v>
      </c>
      <c r="J7224">
        <v>30</v>
      </c>
    </row>
    <row r="7225" spans="1:10" x14ac:dyDescent="0.25">
      <c r="A7225" t="s">
        <v>27</v>
      </c>
      <c r="B7225" t="s">
        <v>11</v>
      </c>
      <c r="C7225" t="s">
        <v>12</v>
      </c>
      <c r="D7225" t="s">
        <v>13</v>
      </c>
      <c r="E7225">
        <v>0.91149467499081804</v>
      </c>
      <c r="F7225">
        <v>0.92282466149181097</v>
      </c>
      <c r="G7225">
        <v>930.99578666687</v>
      </c>
      <c r="H7225">
        <v>181</v>
      </c>
      <c r="I7225">
        <v>335</v>
      </c>
      <c r="J7225">
        <v>30</v>
      </c>
    </row>
    <row r="7226" spans="1:10" x14ac:dyDescent="0.25">
      <c r="A7226" t="s">
        <v>27</v>
      </c>
      <c r="B7226" t="s">
        <v>11</v>
      </c>
      <c r="C7226" t="s">
        <v>12</v>
      </c>
      <c r="D7226" t="s">
        <v>13</v>
      </c>
      <c r="E7226">
        <v>0.91002570694087404</v>
      </c>
      <c r="F7226">
        <v>0.91852232516918897</v>
      </c>
      <c r="G7226">
        <v>931.83095526695195</v>
      </c>
      <c r="H7226">
        <v>159</v>
      </c>
      <c r="I7226">
        <v>293</v>
      </c>
      <c r="J7226">
        <v>30</v>
      </c>
    </row>
    <row r="7227" spans="1:10" x14ac:dyDescent="0.25">
      <c r="A7227" t="s">
        <v>27</v>
      </c>
      <c r="B7227" t="s">
        <v>11</v>
      </c>
      <c r="C7227" t="s">
        <v>12</v>
      </c>
      <c r="D7227" t="s">
        <v>13</v>
      </c>
      <c r="E7227">
        <v>0.90929122291590103</v>
      </c>
      <c r="F7227">
        <v>0.92210879304847404</v>
      </c>
      <c r="G7227">
        <v>932.48238968849103</v>
      </c>
      <c r="H7227">
        <v>170</v>
      </c>
      <c r="I7227">
        <v>310</v>
      </c>
      <c r="J7227">
        <v>30</v>
      </c>
    </row>
    <row r="7228" spans="1:10" x14ac:dyDescent="0.25">
      <c r="A7228" t="s">
        <v>27</v>
      </c>
      <c r="B7228" t="s">
        <v>11</v>
      </c>
      <c r="C7228" t="s">
        <v>12</v>
      </c>
      <c r="D7228" t="s">
        <v>13</v>
      </c>
      <c r="E7228">
        <v>0.91112743297833199</v>
      </c>
      <c r="F7228">
        <v>0.92316383044359496</v>
      </c>
      <c r="G7228">
        <v>935.59281539916901</v>
      </c>
      <c r="H7228">
        <v>166</v>
      </c>
      <c r="I7228">
        <v>301</v>
      </c>
      <c r="J7228">
        <v>30</v>
      </c>
    </row>
    <row r="7229" spans="1:10" x14ac:dyDescent="0.25">
      <c r="A7229" t="s">
        <v>27</v>
      </c>
      <c r="B7229" t="s">
        <v>11</v>
      </c>
      <c r="C7229" t="s">
        <v>12</v>
      </c>
      <c r="D7229" t="s">
        <v>13</v>
      </c>
      <c r="E7229">
        <v>0.91112743297833199</v>
      </c>
      <c r="F7229">
        <v>0.92112868101825296</v>
      </c>
      <c r="G7229">
        <v>941.44574642181396</v>
      </c>
      <c r="H7229">
        <v>153</v>
      </c>
      <c r="I7229">
        <v>295</v>
      </c>
      <c r="J7229">
        <v>30</v>
      </c>
    </row>
    <row r="7230" spans="1:10" x14ac:dyDescent="0.25">
      <c r="A7230" t="s">
        <v>27</v>
      </c>
      <c r="B7230" t="s">
        <v>11</v>
      </c>
      <c r="C7230" t="s">
        <v>12</v>
      </c>
      <c r="D7230" t="s">
        <v>13</v>
      </c>
      <c r="E7230">
        <v>0.91516709511568095</v>
      </c>
      <c r="F7230">
        <v>0.92377615325581997</v>
      </c>
      <c r="G7230">
        <v>941.701566934585</v>
      </c>
      <c r="H7230">
        <v>158</v>
      </c>
      <c r="I7230">
        <v>299</v>
      </c>
      <c r="J7230">
        <v>30</v>
      </c>
    </row>
    <row r="7231" spans="1:10" x14ac:dyDescent="0.25">
      <c r="A7231" t="s">
        <v>27</v>
      </c>
      <c r="B7231" t="s">
        <v>11</v>
      </c>
      <c r="C7231" t="s">
        <v>12</v>
      </c>
      <c r="D7231" t="s">
        <v>13</v>
      </c>
      <c r="E7231">
        <v>0.91369812706573605</v>
      </c>
      <c r="F7231">
        <v>0.92282638925596705</v>
      </c>
      <c r="G7231">
        <v>942.23706364631596</v>
      </c>
      <c r="H7231">
        <v>196</v>
      </c>
      <c r="I7231">
        <v>371</v>
      </c>
      <c r="J7231">
        <v>30</v>
      </c>
    </row>
    <row r="7232" spans="1:10" x14ac:dyDescent="0.25">
      <c r="A7232" t="s">
        <v>27</v>
      </c>
      <c r="B7232" t="s">
        <v>11</v>
      </c>
      <c r="C7232" t="s">
        <v>12</v>
      </c>
      <c r="D7232" t="s">
        <v>14</v>
      </c>
      <c r="E7232">
        <v>0.11421226588321701</v>
      </c>
      <c r="F7232">
        <v>0.77854997817113403</v>
      </c>
      <c r="G7232">
        <v>6.6635577678680402</v>
      </c>
      <c r="H7232">
        <v>2</v>
      </c>
      <c r="I7232">
        <v>2</v>
      </c>
      <c r="J7232">
        <v>30</v>
      </c>
    </row>
    <row r="7233" spans="1:10" x14ac:dyDescent="0.25">
      <c r="A7233" t="s">
        <v>27</v>
      </c>
      <c r="B7233" t="s">
        <v>11</v>
      </c>
      <c r="C7233" t="s">
        <v>12</v>
      </c>
      <c r="D7233" t="s">
        <v>14</v>
      </c>
      <c r="E7233">
        <v>8.9239809034153503E-2</v>
      </c>
      <c r="F7233">
        <v>0.77203601970532398</v>
      </c>
      <c r="G7233">
        <v>6.8493750095367396</v>
      </c>
      <c r="H7233">
        <v>2</v>
      </c>
      <c r="I7233">
        <v>2</v>
      </c>
      <c r="J7233">
        <v>30</v>
      </c>
    </row>
    <row r="7234" spans="1:10" x14ac:dyDescent="0.25">
      <c r="A7234" t="s">
        <v>27</v>
      </c>
      <c r="B7234" t="s">
        <v>11</v>
      </c>
      <c r="C7234" t="s">
        <v>12</v>
      </c>
      <c r="D7234" t="s">
        <v>14</v>
      </c>
      <c r="E7234">
        <v>8.5567388909291206E-2</v>
      </c>
      <c r="F7234">
        <v>0.77139025033448405</v>
      </c>
      <c r="G7234">
        <v>7.0913593769073398</v>
      </c>
      <c r="H7234">
        <v>2</v>
      </c>
      <c r="I7234">
        <v>2</v>
      </c>
      <c r="J7234">
        <v>30</v>
      </c>
    </row>
    <row r="7235" spans="1:10" x14ac:dyDescent="0.25">
      <c r="A7235" t="s">
        <v>27</v>
      </c>
      <c r="B7235" t="s">
        <v>11</v>
      </c>
      <c r="C7235" t="s">
        <v>12</v>
      </c>
      <c r="D7235" t="s">
        <v>14</v>
      </c>
      <c r="E7235">
        <v>0.11127432978332701</v>
      </c>
      <c r="F7235">
        <v>0.77781561970003699</v>
      </c>
      <c r="G7235">
        <v>6.9395163059234601</v>
      </c>
      <c r="H7235">
        <v>2</v>
      </c>
      <c r="I7235">
        <v>2</v>
      </c>
      <c r="J7235">
        <v>30</v>
      </c>
    </row>
    <row r="7236" spans="1:10" x14ac:dyDescent="0.25">
      <c r="A7236" t="s">
        <v>27</v>
      </c>
      <c r="B7236" t="s">
        <v>11</v>
      </c>
      <c r="C7236" t="s">
        <v>12</v>
      </c>
      <c r="D7236" t="s">
        <v>14</v>
      </c>
      <c r="E7236">
        <v>0.10062431142122601</v>
      </c>
      <c r="F7236">
        <v>0.77488195716213704</v>
      </c>
      <c r="G7236">
        <v>7.3912434577941797</v>
      </c>
      <c r="H7236">
        <v>2</v>
      </c>
      <c r="I7236">
        <v>2</v>
      </c>
      <c r="J7236">
        <v>30</v>
      </c>
    </row>
    <row r="7237" spans="1:10" x14ac:dyDescent="0.25">
      <c r="A7237" t="s">
        <v>27</v>
      </c>
      <c r="B7237" t="s">
        <v>11</v>
      </c>
      <c r="C7237" t="s">
        <v>12</v>
      </c>
      <c r="D7237" t="s">
        <v>14</v>
      </c>
      <c r="E7237">
        <v>0.12192434814542701</v>
      </c>
      <c r="F7237">
        <v>0.78020649517454999</v>
      </c>
      <c r="G7237">
        <v>7.3476681709289497</v>
      </c>
      <c r="H7237">
        <v>2</v>
      </c>
      <c r="I7237">
        <v>2</v>
      </c>
      <c r="J7237">
        <v>30</v>
      </c>
    </row>
    <row r="7238" spans="1:10" x14ac:dyDescent="0.25">
      <c r="A7238" t="s">
        <v>27</v>
      </c>
      <c r="B7238" t="s">
        <v>11</v>
      </c>
      <c r="C7238" t="s">
        <v>12</v>
      </c>
      <c r="D7238" t="s">
        <v>14</v>
      </c>
      <c r="E7238">
        <v>0.112743297833272</v>
      </c>
      <c r="F7238">
        <v>0.77818281095398201</v>
      </c>
      <c r="G7238">
        <v>7.33805084228515</v>
      </c>
      <c r="H7238">
        <v>2</v>
      </c>
      <c r="I7238">
        <v>2</v>
      </c>
      <c r="J7238">
        <v>30</v>
      </c>
    </row>
    <row r="7239" spans="1:10" x14ac:dyDescent="0.25">
      <c r="A7239" t="s">
        <v>27</v>
      </c>
      <c r="B7239" t="s">
        <v>11</v>
      </c>
      <c r="C7239" t="s">
        <v>12</v>
      </c>
      <c r="D7239" t="s">
        <v>14</v>
      </c>
      <c r="E7239">
        <v>0.116415717958134</v>
      </c>
      <c r="F7239">
        <v>0.77882914497899203</v>
      </c>
      <c r="G7239">
        <v>7.6154048442840496</v>
      </c>
      <c r="H7239">
        <v>2</v>
      </c>
      <c r="I7239">
        <v>2</v>
      </c>
      <c r="J7239">
        <v>30</v>
      </c>
    </row>
    <row r="7240" spans="1:10" x14ac:dyDescent="0.25">
      <c r="A7240" t="s">
        <v>27</v>
      </c>
      <c r="B7240" t="s">
        <v>11</v>
      </c>
      <c r="C7240" t="s">
        <v>12</v>
      </c>
      <c r="D7240" t="s">
        <v>14</v>
      </c>
      <c r="E7240">
        <v>9.6584649283877999E-2</v>
      </c>
      <c r="F7240">
        <v>0.77414424970345197</v>
      </c>
      <c r="G7240">
        <v>7.4811038970947203</v>
      </c>
      <c r="H7240">
        <v>2</v>
      </c>
      <c r="I7240">
        <v>2</v>
      </c>
      <c r="J7240">
        <v>30</v>
      </c>
    </row>
    <row r="7241" spans="1:10" x14ac:dyDescent="0.25">
      <c r="A7241" t="s">
        <v>27</v>
      </c>
      <c r="B7241" t="s">
        <v>11</v>
      </c>
      <c r="C7241" t="s">
        <v>12</v>
      </c>
      <c r="D7241" t="s">
        <v>14</v>
      </c>
      <c r="E7241">
        <v>0.105031215571061</v>
      </c>
      <c r="F7241">
        <v>0.77625425844854901</v>
      </c>
      <c r="G7241">
        <v>7.6589641571044904</v>
      </c>
      <c r="H7241">
        <v>2</v>
      </c>
      <c r="I7241">
        <v>2</v>
      </c>
      <c r="J7241">
        <v>30</v>
      </c>
    </row>
    <row r="7242" spans="1:10" x14ac:dyDescent="0.25">
      <c r="A7242" t="s">
        <v>27</v>
      </c>
      <c r="B7242" t="s">
        <v>11</v>
      </c>
      <c r="C7242" t="s">
        <v>12</v>
      </c>
      <c r="D7242" t="s">
        <v>14</v>
      </c>
      <c r="E7242">
        <v>0.101358795446199</v>
      </c>
      <c r="F7242">
        <v>0.775065547485567</v>
      </c>
      <c r="G7242">
        <v>7.7132775783538801</v>
      </c>
      <c r="H7242">
        <v>2</v>
      </c>
      <c r="I7242">
        <v>2</v>
      </c>
      <c r="J7242">
        <v>30</v>
      </c>
    </row>
    <row r="7243" spans="1:10" x14ac:dyDescent="0.25">
      <c r="A7243" t="s">
        <v>27</v>
      </c>
      <c r="B7243" t="s">
        <v>11</v>
      </c>
      <c r="C7243" t="s">
        <v>12</v>
      </c>
      <c r="D7243" t="s">
        <v>14</v>
      </c>
      <c r="E7243">
        <v>0.103929489533602</v>
      </c>
      <c r="F7243">
        <v>0.77543572320455301</v>
      </c>
      <c r="G7243">
        <v>7.7941808700561497</v>
      </c>
      <c r="H7243">
        <v>2</v>
      </c>
      <c r="I7243">
        <v>2</v>
      </c>
      <c r="J7243">
        <v>30</v>
      </c>
    </row>
    <row r="7244" spans="1:10" x14ac:dyDescent="0.25">
      <c r="A7244" t="s">
        <v>27</v>
      </c>
      <c r="B7244" t="s">
        <v>11</v>
      </c>
      <c r="C7244" t="s">
        <v>12</v>
      </c>
      <c r="D7244" t="s">
        <v>14</v>
      </c>
      <c r="E7244">
        <v>9.9889827396254099E-2</v>
      </c>
      <c r="F7244">
        <v>0.77497086659302095</v>
      </c>
      <c r="G7244">
        <v>7.8494927883148096</v>
      </c>
      <c r="H7244">
        <v>2</v>
      </c>
      <c r="I7244">
        <v>2</v>
      </c>
      <c r="J7244">
        <v>30</v>
      </c>
    </row>
    <row r="7245" spans="1:10" x14ac:dyDescent="0.25">
      <c r="A7245" t="s">
        <v>27</v>
      </c>
      <c r="B7245" t="s">
        <v>11</v>
      </c>
      <c r="C7245" t="s">
        <v>12</v>
      </c>
      <c r="D7245" t="s">
        <v>14</v>
      </c>
      <c r="E7245">
        <v>0.112008813808299</v>
      </c>
      <c r="F7245">
        <v>0.77800075987128203</v>
      </c>
      <c r="G7245">
        <v>7.7058510780334402</v>
      </c>
      <c r="H7245">
        <v>2</v>
      </c>
      <c r="I7245">
        <v>2</v>
      </c>
      <c r="J7245">
        <v>30</v>
      </c>
    </row>
    <row r="7246" spans="1:10" x14ac:dyDescent="0.25">
      <c r="A7246" t="s">
        <v>27</v>
      </c>
      <c r="B7246" t="s">
        <v>11</v>
      </c>
      <c r="C7246" t="s">
        <v>12</v>
      </c>
      <c r="D7246" t="s">
        <v>14</v>
      </c>
      <c r="E7246">
        <v>0.113477781858244</v>
      </c>
      <c r="F7246">
        <v>0.77836640058332696</v>
      </c>
      <c r="G7246">
        <v>8.0200426578521693</v>
      </c>
      <c r="H7246">
        <v>2</v>
      </c>
      <c r="I7246">
        <v>2</v>
      </c>
      <c r="J7246">
        <v>30</v>
      </c>
    </row>
    <row r="7247" spans="1:10" x14ac:dyDescent="0.25">
      <c r="A7247" t="s">
        <v>27</v>
      </c>
      <c r="B7247" t="s">
        <v>11</v>
      </c>
      <c r="C7247" t="s">
        <v>12</v>
      </c>
      <c r="D7247" t="s">
        <v>14</v>
      </c>
      <c r="E7247">
        <v>8.9974293059125895E-2</v>
      </c>
      <c r="F7247">
        <v>0.77249125135218399</v>
      </c>
      <c r="G7247">
        <v>8.0889892578125</v>
      </c>
      <c r="H7247">
        <v>2</v>
      </c>
      <c r="I7247">
        <v>2</v>
      </c>
      <c r="J7247">
        <v>30</v>
      </c>
    </row>
    <row r="7248" spans="1:10" x14ac:dyDescent="0.25">
      <c r="A7248" t="s">
        <v>27</v>
      </c>
      <c r="B7248" t="s">
        <v>11</v>
      </c>
      <c r="C7248" t="s">
        <v>12</v>
      </c>
      <c r="D7248" t="s">
        <v>14</v>
      </c>
      <c r="E7248">
        <v>0.123026074182886</v>
      </c>
      <c r="F7248">
        <v>0.78048151940595001</v>
      </c>
      <c r="G7248">
        <v>7.9617974758148096</v>
      </c>
      <c r="H7248">
        <v>2</v>
      </c>
      <c r="I7248">
        <v>2</v>
      </c>
      <c r="J7248">
        <v>30</v>
      </c>
    </row>
    <row r="7249" spans="1:10" x14ac:dyDescent="0.25">
      <c r="A7249" t="s">
        <v>27</v>
      </c>
      <c r="B7249" t="s">
        <v>11</v>
      </c>
      <c r="C7249" t="s">
        <v>12</v>
      </c>
      <c r="D7249" t="s">
        <v>14</v>
      </c>
      <c r="E7249">
        <v>0.109438119720896</v>
      </c>
      <c r="F7249">
        <v>0.77735734325809802</v>
      </c>
      <c r="G7249">
        <v>8.1516606807708705</v>
      </c>
      <c r="H7249">
        <v>2</v>
      </c>
      <c r="I7249">
        <v>2</v>
      </c>
      <c r="J7249">
        <v>30</v>
      </c>
    </row>
    <row r="7250" spans="1:10" x14ac:dyDescent="0.25">
      <c r="A7250" t="s">
        <v>27</v>
      </c>
      <c r="B7250" t="s">
        <v>11</v>
      </c>
      <c r="C7250" t="s">
        <v>12</v>
      </c>
      <c r="D7250" t="s">
        <v>14</v>
      </c>
      <c r="E7250">
        <v>9.9155343371281596E-2</v>
      </c>
      <c r="F7250">
        <v>0.77478558028534605</v>
      </c>
      <c r="G7250">
        <v>7.9884161949157697</v>
      </c>
      <c r="H7250">
        <v>2</v>
      </c>
      <c r="I7250">
        <v>2</v>
      </c>
      <c r="J7250">
        <v>30</v>
      </c>
    </row>
    <row r="7251" spans="1:10" x14ac:dyDescent="0.25">
      <c r="A7251" t="s">
        <v>27</v>
      </c>
      <c r="B7251" t="s">
        <v>11</v>
      </c>
      <c r="C7251" t="s">
        <v>12</v>
      </c>
      <c r="D7251" t="s">
        <v>14</v>
      </c>
      <c r="E7251">
        <v>9.1443261109070806E-2</v>
      </c>
      <c r="F7251">
        <v>0.77258683877157497</v>
      </c>
      <c r="G7251">
        <v>8.0592148303985596</v>
      </c>
      <c r="H7251">
        <v>2</v>
      </c>
      <c r="I7251">
        <v>2</v>
      </c>
      <c r="J7251">
        <v>30</v>
      </c>
    </row>
    <row r="7252" spans="1:10" x14ac:dyDescent="0.25">
      <c r="A7252" t="s">
        <v>27</v>
      </c>
      <c r="B7252" t="s">
        <v>11</v>
      </c>
      <c r="C7252" t="s">
        <v>12</v>
      </c>
      <c r="D7252" t="s">
        <v>14</v>
      </c>
      <c r="E7252">
        <v>0.12192434814542701</v>
      </c>
      <c r="F7252">
        <v>0.780206491574293</v>
      </c>
      <c r="G7252">
        <v>8.3299896717071498</v>
      </c>
      <c r="H7252">
        <v>2</v>
      </c>
      <c r="I7252">
        <v>2</v>
      </c>
      <c r="J7252">
        <v>30</v>
      </c>
    </row>
    <row r="7253" spans="1:10" x14ac:dyDescent="0.25">
      <c r="A7253" t="s">
        <v>27</v>
      </c>
      <c r="B7253" t="s">
        <v>11</v>
      </c>
      <c r="C7253" t="s">
        <v>12</v>
      </c>
      <c r="D7253" t="s">
        <v>14</v>
      </c>
      <c r="E7253">
        <v>0.10650018362100599</v>
      </c>
      <c r="F7253">
        <v>0.77635067769372101</v>
      </c>
      <c r="G7253">
        <v>8.2231848239898593</v>
      </c>
      <c r="H7253">
        <v>2</v>
      </c>
      <c r="I7253">
        <v>2</v>
      </c>
      <c r="J7253">
        <v>30</v>
      </c>
    </row>
    <row r="7254" spans="1:10" x14ac:dyDescent="0.25">
      <c r="A7254" t="s">
        <v>27</v>
      </c>
      <c r="B7254" t="s">
        <v>11</v>
      </c>
      <c r="C7254" t="s">
        <v>12</v>
      </c>
      <c r="D7254" t="s">
        <v>14</v>
      </c>
      <c r="E7254">
        <v>0.10613294160852001</v>
      </c>
      <c r="F7254">
        <v>0.77625898931472603</v>
      </c>
      <c r="G7254">
        <v>8.2098648548126203</v>
      </c>
      <c r="H7254">
        <v>2</v>
      </c>
      <c r="I7254">
        <v>2</v>
      </c>
      <c r="J7254">
        <v>30</v>
      </c>
    </row>
    <row r="7255" spans="1:10" x14ac:dyDescent="0.25">
      <c r="A7255" t="s">
        <v>27</v>
      </c>
      <c r="B7255" t="s">
        <v>11</v>
      </c>
      <c r="C7255" t="s">
        <v>12</v>
      </c>
      <c r="D7255" t="s">
        <v>14</v>
      </c>
      <c r="E7255">
        <v>9.4013955196474402E-2</v>
      </c>
      <c r="F7255">
        <v>0.77268612871156594</v>
      </c>
      <c r="G7255">
        <v>8.3134171962738002</v>
      </c>
      <c r="H7255">
        <v>1</v>
      </c>
      <c r="I7255">
        <v>1</v>
      </c>
      <c r="J7255">
        <v>30</v>
      </c>
    </row>
    <row r="7256" spans="1:10" x14ac:dyDescent="0.25">
      <c r="A7256" t="s">
        <v>27</v>
      </c>
      <c r="B7256" t="s">
        <v>11</v>
      </c>
      <c r="C7256" t="s">
        <v>12</v>
      </c>
      <c r="D7256" t="s">
        <v>14</v>
      </c>
      <c r="E7256">
        <v>0.112376055820785</v>
      </c>
      <c r="F7256">
        <v>0.77809099863591602</v>
      </c>
      <c r="G7256">
        <v>8.2694330215454102</v>
      </c>
      <c r="H7256">
        <v>2</v>
      </c>
      <c r="I7256">
        <v>2</v>
      </c>
      <c r="J7256">
        <v>30</v>
      </c>
    </row>
    <row r="7257" spans="1:10" x14ac:dyDescent="0.25">
      <c r="A7257" t="s">
        <v>27</v>
      </c>
      <c r="B7257" t="s">
        <v>11</v>
      </c>
      <c r="C7257" t="s">
        <v>12</v>
      </c>
      <c r="D7257" t="s">
        <v>14</v>
      </c>
      <c r="E7257">
        <v>9.6217407271391803E-2</v>
      </c>
      <c r="F7257">
        <v>0.77405262205978598</v>
      </c>
      <c r="G7257">
        <v>8.4113602638244593</v>
      </c>
      <c r="H7257">
        <v>2</v>
      </c>
      <c r="I7257">
        <v>2</v>
      </c>
      <c r="J7257">
        <v>30</v>
      </c>
    </row>
    <row r="7258" spans="1:10" x14ac:dyDescent="0.25">
      <c r="A7258" t="s">
        <v>27</v>
      </c>
      <c r="B7258" t="s">
        <v>11</v>
      </c>
      <c r="C7258" t="s">
        <v>12</v>
      </c>
      <c r="D7258" t="s">
        <v>14</v>
      </c>
      <c r="E7258">
        <v>0.10356224752111599</v>
      </c>
      <c r="F7258">
        <v>0.77561618270778399</v>
      </c>
      <c r="G7258">
        <v>8.5025267601013095</v>
      </c>
      <c r="H7258">
        <v>2</v>
      </c>
      <c r="I7258">
        <v>2</v>
      </c>
      <c r="J7258">
        <v>30</v>
      </c>
    </row>
    <row r="7259" spans="1:10" x14ac:dyDescent="0.25">
      <c r="A7259" t="s">
        <v>27</v>
      </c>
      <c r="B7259" t="s">
        <v>11</v>
      </c>
      <c r="C7259" t="s">
        <v>12</v>
      </c>
      <c r="D7259" t="s">
        <v>14</v>
      </c>
      <c r="E7259">
        <v>0.110172603745868</v>
      </c>
      <c r="F7259">
        <v>0.77726882045919798</v>
      </c>
      <c r="G7259">
        <v>8.5994582176208496</v>
      </c>
      <c r="H7259">
        <v>2</v>
      </c>
      <c r="I7259">
        <v>2</v>
      </c>
      <c r="J7259">
        <v>30</v>
      </c>
    </row>
    <row r="7260" spans="1:10" x14ac:dyDescent="0.25">
      <c r="A7260" t="s">
        <v>27</v>
      </c>
      <c r="B7260" t="s">
        <v>11</v>
      </c>
      <c r="C7260" t="s">
        <v>12</v>
      </c>
      <c r="D7260" t="s">
        <v>14</v>
      </c>
      <c r="E7260">
        <v>9.4748439221446906E-2</v>
      </c>
      <c r="F7260">
        <v>0.77341306649739205</v>
      </c>
      <c r="G7260">
        <v>8.77490139007568</v>
      </c>
      <c r="H7260">
        <v>2</v>
      </c>
      <c r="I7260">
        <v>2</v>
      </c>
      <c r="J7260">
        <v>30</v>
      </c>
    </row>
    <row r="7261" spans="1:10" x14ac:dyDescent="0.25">
      <c r="A7261" t="s">
        <v>27</v>
      </c>
      <c r="B7261" t="s">
        <v>11</v>
      </c>
      <c r="C7261" t="s">
        <v>12</v>
      </c>
      <c r="D7261" t="s">
        <v>14</v>
      </c>
      <c r="E7261">
        <v>0.109805361733382</v>
      </c>
      <c r="F7261">
        <v>0.77744843941961195</v>
      </c>
      <c r="G7261">
        <v>8.8826878070831299</v>
      </c>
      <c r="H7261">
        <v>2</v>
      </c>
      <c r="I7261">
        <v>2</v>
      </c>
      <c r="J7261">
        <v>30</v>
      </c>
    </row>
    <row r="7262" spans="1:10" x14ac:dyDescent="0.25">
      <c r="A7262" t="s">
        <v>27</v>
      </c>
      <c r="B7262" t="s">
        <v>11</v>
      </c>
      <c r="C7262" t="s">
        <v>12</v>
      </c>
      <c r="D7262" t="s">
        <v>15</v>
      </c>
      <c r="E7262">
        <v>0</v>
      </c>
      <c r="F7262">
        <v>0.75</v>
      </c>
      <c r="G7262">
        <v>310.43767929077097</v>
      </c>
      <c r="H7262">
        <v>1</v>
      </c>
      <c r="I7262">
        <v>2</v>
      </c>
      <c r="J7262">
        <v>30</v>
      </c>
    </row>
    <row r="7263" spans="1:10" x14ac:dyDescent="0.25">
      <c r="A7263" t="s">
        <v>27</v>
      </c>
      <c r="B7263" t="s">
        <v>11</v>
      </c>
      <c r="C7263" t="s">
        <v>12</v>
      </c>
      <c r="D7263" t="s">
        <v>15</v>
      </c>
      <c r="E7263">
        <v>0</v>
      </c>
      <c r="F7263">
        <v>0.75</v>
      </c>
      <c r="G7263">
        <v>495.60696983337402</v>
      </c>
      <c r="H7263">
        <v>1</v>
      </c>
      <c r="I7263">
        <v>3</v>
      </c>
      <c r="J7263">
        <v>30</v>
      </c>
    </row>
    <row r="7264" spans="1:10" x14ac:dyDescent="0.25">
      <c r="A7264" t="s">
        <v>27</v>
      </c>
      <c r="B7264" t="s">
        <v>11</v>
      </c>
      <c r="C7264" t="s">
        <v>12</v>
      </c>
      <c r="D7264" t="s">
        <v>15</v>
      </c>
      <c r="E7264">
        <v>0</v>
      </c>
      <c r="F7264">
        <v>0.75</v>
      </c>
      <c r="G7264">
        <v>601.24770736694302</v>
      </c>
      <c r="H7264">
        <v>2</v>
      </c>
      <c r="I7264">
        <v>5</v>
      </c>
      <c r="J7264">
        <v>30</v>
      </c>
    </row>
    <row r="7265" spans="1:10" x14ac:dyDescent="0.25">
      <c r="A7265" t="s">
        <v>27</v>
      </c>
      <c r="B7265" t="s">
        <v>11</v>
      </c>
      <c r="C7265" t="s">
        <v>12</v>
      </c>
      <c r="D7265" t="s">
        <v>15</v>
      </c>
      <c r="E7265">
        <v>0</v>
      </c>
      <c r="F7265">
        <v>0.75</v>
      </c>
      <c r="G7265">
        <v>685.73014450073197</v>
      </c>
      <c r="H7265">
        <v>2</v>
      </c>
      <c r="I7265">
        <v>7</v>
      </c>
      <c r="J7265">
        <v>30</v>
      </c>
    </row>
    <row r="7266" spans="1:10" x14ac:dyDescent="0.25">
      <c r="A7266" t="s">
        <v>27</v>
      </c>
      <c r="B7266" t="s">
        <v>11</v>
      </c>
      <c r="C7266" t="s">
        <v>12</v>
      </c>
      <c r="D7266" t="s">
        <v>15</v>
      </c>
      <c r="E7266">
        <v>0</v>
      </c>
      <c r="F7266">
        <v>0.75</v>
      </c>
      <c r="G7266">
        <v>2027.71305704116</v>
      </c>
      <c r="H7266">
        <v>3</v>
      </c>
      <c r="I7266">
        <v>10</v>
      </c>
      <c r="J7266">
        <v>30</v>
      </c>
    </row>
    <row r="7267" spans="1:10" x14ac:dyDescent="0.25">
      <c r="A7267" t="s">
        <v>27</v>
      </c>
      <c r="B7267" t="s">
        <v>11</v>
      </c>
      <c r="C7267" t="s">
        <v>12</v>
      </c>
      <c r="D7267" t="s">
        <v>15</v>
      </c>
      <c r="E7267">
        <v>3.6724201248622803E-4</v>
      </c>
      <c r="F7267">
        <v>0.750017443995593</v>
      </c>
      <c r="G7267">
        <v>2115.2538883686002</v>
      </c>
      <c r="H7267">
        <v>7</v>
      </c>
      <c r="I7267">
        <v>23</v>
      </c>
      <c r="J7267">
        <v>30</v>
      </c>
    </row>
    <row r="7268" spans="1:10" x14ac:dyDescent="0.25">
      <c r="A7268" t="s">
        <v>27</v>
      </c>
      <c r="B7268" t="s">
        <v>11</v>
      </c>
      <c r="C7268" t="s">
        <v>12</v>
      </c>
      <c r="D7268" t="s">
        <v>15</v>
      </c>
      <c r="E7268">
        <v>0</v>
      </c>
      <c r="F7268">
        <v>0.75</v>
      </c>
      <c r="G7268">
        <v>2192.8747136592801</v>
      </c>
      <c r="H7268">
        <v>8</v>
      </c>
      <c r="I7268">
        <v>27</v>
      </c>
      <c r="J7268">
        <v>30</v>
      </c>
    </row>
    <row r="7269" spans="1:10" x14ac:dyDescent="0.25">
      <c r="A7269" t="s">
        <v>27</v>
      </c>
      <c r="B7269" t="s">
        <v>11</v>
      </c>
      <c r="C7269" t="s">
        <v>12</v>
      </c>
      <c r="D7269" t="s">
        <v>15</v>
      </c>
      <c r="E7269">
        <v>0</v>
      </c>
      <c r="F7269">
        <v>0.75</v>
      </c>
      <c r="G7269">
        <v>2202.03203916549</v>
      </c>
      <c r="H7269">
        <v>7</v>
      </c>
      <c r="I7269">
        <v>18</v>
      </c>
      <c r="J7269">
        <v>30</v>
      </c>
    </row>
    <row r="7270" spans="1:10" x14ac:dyDescent="0.25">
      <c r="A7270" t="s">
        <v>27</v>
      </c>
      <c r="B7270" t="s">
        <v>11</v>
      </c>
      <c r="C7270" t="s">
        <v>12</v>
      </c>
      <c r="D7270" t="s">
        <v>15</v>
      </c>
      <c r="E7270">
        <v>3.6724201248622803E-4</v>
      </c>
      <c r="F7270">
        <v>0.750017443995593</v>
      </c>
      <c r="G7270">
        <v>2296.17294430732</v>
      </c>
      <c r="H7270">
        <v>7</v>
      </c>
      <c r="I7270">
        <v>24</v>
      </c>
      <c r="J7270">
        <v>30</v>
      </c>
    </row>
    <row r="7271" spans="1:10" x14ac:dyDescent="0.25">
      <c r="A7271" t="s">
        <v>27</v>
      </c>
      <c r="B7271" t="s">
        <v>11</v>
      </c>
      <c r="C7271" t="s">
        <v>12</v>
      </c>
      <c r="D7271" t="s">
        <v>15</v>
      </c>
      <c r="E7271">
        <v>0</v>
      </c>
      <c r="F7271">
        <v>0.75</v>
      </c>
      <c r="G7271">
        <v>4555.6961703300403</v>
      </c>
      <c r="H7271">
        <v>6</v>
      </c>
      <c r="I7271">
        <v>20</v>
      </c>
      <c r="J7271">
        <v>30</v>
      </c>
    </row>
    <row r="7272" spans="1:10" x14ac:dyDescent="0.25">
      <c r="A7272" t="s">
        <v>27</v>
      </c>
      <c r="B7272" t="s">
        <v>11</v>
      </c>
      <c r="C7272" t="s">
        <v>12</v>
      </c>
      <c r="D7272" t="s">
        <v>15</v>
      </c>
      <c r="E7272">
        <v>3.6724201248622803E-4</v>
      </c>
      <c r="F7272">
        <v>0.750017443995593</v>
      </c>
      <c r="G7272">
        <v>7160.3504600524902</v>
      </c>
      <c r="H7272">
        <v>10</v>
      </c>
      <c r="I7272">
        <v>30</v>
      </c>
      <c r="J7272">
        <v>30</v>
      </c>
    </row>
    <row r="7273" spans="1:10" x14ac:dyDescent="0.25">
      <c r="A7273" t="s">
        <v>27</v>
      </c>
      <c r="B7273" t="s">
        <v>11</v>
      </c>
      <c r="C7273" t="s">
        <v>12</v>
      </c>
      <c r="D7273" t="s">
        <v>15</v>
      </c>
      <c r="E7273">
        <v>7.3448402497245605E-4</v>
      </c>
      <c r="F7273">
        <v>0.75001560778553</v>
      </c>
      <c r="G7273">
        <v>16768.1337139606</v>
      </c>
      <c r="H7273">
        <v>46</v>
      </c>
      <c r="I7273">
        <v>123</v>
      </c>
      <c r="J7273">
        <v>30</v>
      </c>
    </row>
    <row r="7274" spans="1:10" x14ac:dyDescent="0.25">
      <c r="A7274" t="s">
        <v>27</v>
      </c>
      <c r="B7274" t="s">
        <v>11</v>
      </c>
      <c r="C7274" t="s">
        <v>12</v>
      </c>
      <c r="D7274" t="s">
        <v>15</v>
      </c>
      <c r="E7274">
        <v>4.4069041498347398E-3</v>
      </c>
      <c r="F7274">
        <v>0.75020654925122998</v>
      </c>
      <c r="G7274">
        <v>20323.4647128582</v>
      </c>
      <c r="H7274">
        <v>51</v>
      </c>
      <c r="I7274">
        <v>126</v>
      </c>
      <c r="J7274">
        <v>30</v>
      </c>
    </row>
    <row r="7275" spans="1:10" x14ac:dyDescent="0.25">
      <c r="A7275" t="s">
        <v>27</v>
      </c>
      <c r="B7275" t="s">
        <v>11</v>
      </c>
      <c r="C7275" t="s">
        <v>12</v>
      </c>
      <c r="D7275" t="s">
        <v>15</v>
      </c>
      <c r="E7275">
        <v>1.4689680499449099E-3</v>
      </c>
      <c r="F7275">
        <v>0.75006977598237201</v>
      </c>
      <c r="G7275">
        <v>20646.091393947601</v>
      </c>
      <c r="H7275">
        <v>54</v>
      </c>
      <c r="I7275">
        <v>156</v>
      </c>
      <c r="J7275">
        <v>30</v>
      </c>
    </row>
    <row r="7276" spans="1:10" x14ac:dyDescent="0.25">
      <c r="A7276" t="s">
        <v>27</v>
      </c>
      <c r="B7276" t="s">
        <v>11</v>
      </c>
      <c r="C7276" t="s">
        <v>12</v>
      </c>
      <c r="D7276" t="s">
        <v>15</v>
      </c>
      <c r="E7276">
        <v>2.9379360998898199E-3</v>
      </c>
      <c r="F7276">
        <v>0.75012361131512995</v>
      </c>
      <c r="G7276">
        <v>21465.365255117398</v>
      </c>
      <c r="H7276">
        <v>52</v>
      </c>
      <c r="I7276">
        <v>151</v>
      </c>
      <c r="J7276">
        <v>30</v>
      </c>
    </row>
    <row r="7277" spans="1:10" x14ac:dyDescent="0.25">
      <c r="A7277" t="s">
        <v>27</v>
      </c>
      <c r="B7277" t="s">
        <v>11</v>
      </c>
      <c r="C7277" t="s">
        <v>12</v>
      </c>
      <c r="D7277" t="s">
        <v>15</v>
      </c>
      <c r="E7277">
        <v>4.7741461623209596E-3</v>
      </c>
      <c r="F7277">
        <v>0.75022677194271004</v>
      </c>
      <c r="G7277">
        <v>23630.2003514766</v>
      </c>
      <c r="H7277">
        <v>56</v>
      </c>
      <c r="I7277">
        <v>170</v>
      </c>
      <c r="J7277">
        <v>30</v>
      </c>
    </row>
    <row r="7278" spans="1:10" x14ac:dyDescent="0.25">
      <c r="A7278" t="s">
        <v>27</v>
      </c>
      <c r="B7278" t="s">
        <v>11</v>
      </c>
      <c r="C7278" t="s">
        <v>12</v>
      </c>
      <c r="D7278" t="s">
        <v>15</v>
      </c>
      <c r="E7278">
        <v>7.3448402497245597E-3</v>
      </c>
      <c r="F7278">
        <v>0.750321546007234</v>
      </c>
      <c r="G7278">
        <v>24383.586520910201</v>
      </c>
      <c r="H7278">
        <v>68</v>
      </c>
      <c r="I7278">
        <v>194</v>
      </c>
      <c r="J7278">
        <v>30</v>
      </c>
    </row>
    <row r="7279" spans="1:10" x14ac:dyDescent="0.25">
      <c r="A7279" t="s">
        <v>27</v>
      </c>
      <c r="B7279" t="s">
        <v>11</v>
      </c>
      <c r="C7279" t="s">
        <v>12</v>
      </c>
      <c r="D7279" t="s">
        <v>15</v>
      </c>
      <c r="E7279">
        <v>5.8758721997796502E-3</v>
      </c>
      <c r="F7279">
        <v>0.75025426633206005</v>
      </c>
      <c r="G7279">
        <v>25636.085997581398</v>
      </c>
      <c r="H7279">
        <v>66</v>
      </c>
      <c r="I7279">
        <v>187</v>
      </c>
      <c r="J7279">
        <v>30</v>
      </c>
    </row>
    <row r="7280" spans="1:10" x14ac:dyDescent="0.25">
      <c r="A7280" t="s">
        <v>27</v>
      </c>
      <c r="B7280" t="s">
        <v>11</v>
      </c>
      <c r="C7280" t="s">
        <v>12</v>
      </c>
      <c r="D7280" t="s">
        <v>15</v>
      </c>
      <c r="E7280">
        <v>3.6724201248622798E-3</v>
      </c>
      <c r="F7280">
        <v>0.75017443995593103</v>
      </c>
      <c r="G7280">
        <v>28398.479934215498</v>
      </c>
      <c r="H7280">
        <v>82</v>
      </c>
      <c r="I7280">
        <v>236</v>
      </c>
      <c r="J7280">
        <v>30</v>
      </c>
    </row>
    <row r="7281" spans="1:10" x14ac:dyDescent="0.25">
      <c r="A7281" t="s">
        <v>27</v>
      </c>
      <c r="B7281" t="s">
        <v>11</v>
      </c>
      <c r="C7281" t="s">
        <v>12</v>
      </c>
      <c r="D7281" t="s">
        <v>15</v>
      </c>
      <c r="E7281">
        <v>5.1413881748071898E-3</v>
      </c>
      <c r="F7281">
        <v>0.75024143724241599</v>
      </c>
      <c r="G7281">
        <v>28437.835588693601</v>
      </c>
      <c r="H7281">
        <v>81</v>
      </c>
      <c r="I7281">
        <v>221</v>
      </c>
      <c r="J7281">
        <v>30</v>
      </c>
    </row>
    <row r="7282" spans="1:10" x14ac:dyDescent="0.25">
      <c r="A7282" t="s">
        <v>27</v>
      </c>
      <c r="B7282" t="s">
        <v>11</v>
      </c>
      <c r="C7282" t="s">
        <v>12</v>
      </c>
      <c r="D7282" t="s">
        <v>15</v>
      </c>
      <c r="E7282">
        <v>4.4069041498347398E-3</v>
      </c>
      <c r="F7282">
        <v>0.75018726904557398</v>
      </c>
      <c r="G7282">
        <v>30191.6055951118</v>
      </c>
      <c r="H7282">
        <v>79</v>
      </c>
      <c r="I7282">
        <v>218</v>
      </c>
      <c r="J7282">
        <v>30</v>
      </c>
    </row>
    <row r="7283" spans="1:10" x14ac:dyDescent="0.25">
      <c r="A7283" t="s">
        <v>27</v>
      </c>
      <c r="B7283" t="s">
        <v>11</v>
      </c>
      <c r="C7283" t="s">
        <v>12</v>
      </c>
      <c r="D7283" t="s">
        <v>15</v>
      </c>
      <c r="E7283">
        <v>5.1413881748071898E-3</v>
      </c>
      <c r="F7283">
        <v>0.75024143724241599</v>
      </c>
      <c r="G7283">
        <v>30253.184617280898</v>
      </c>
      <c r="H7283">
        <v>78</v>
      </c>
      <c r="I7283">
        <v>221</v>
      </c>
      <c r="J7283">
        <v>30</v>
      </c>
    </row>
    <row r="7284" spans="1:10" x14ac:dyDescent="0.25">
      <c r="A7284" t="s">
        <v>27</v>
      </c>
      <c r="B7284" t="s">
        <v>11</v>
      </c>
      <c r="C7284" t="s">
        <v>12</v>
      </c>
      <c r="D7284" t="s">
        <v>15</v>
      </c>
      <c r="E7284">
        <v>2.9379360998898199E-3</v>
      </c>
      <c r="F7284">
        <v>0.75010099155343302</v>
      </c>
      <c r="G7284">
        <v>30586.035153388901</v>
      </c>
      <c r="H7284">
        <v>82</v>
      </c>
      <c r="I7284">
        <v>231</v>
      </c>
      <c r="J7284">
        <v>30</v>
      </c>
    </row>
    <row r="7285" spans="1:10" x14ac:dyDescent="0.25">
      <c r="A7285" t="s">
        <v>27</v>
      </c>
      <c r="B7285" t="s">
        <v>11</v>
      </c>
      <c r="C7285" t="s">
        <v>12</v>
      </c>
      <c r="D7285" t="s">
        <v>15</v>
      </c>
      <c r="E7285">
        <v>4.7741461623209596E-3</v>
      </c>
      <c r="F7285">
        <v>0.75023540334689598</v>
      </c>
      <c r="G7285">
        <v>31248.356228351498</v>
      </c>
      <c r="H7285">
        <v>96</v>
      </c>
      <c r="I7285">
        <v>261</v>
      </c>
      <c r="J7285">
        <v>30</v>
      </c>
    </row>
    <row r="7286" spans="1:10" x14ac:dyDescent="0.25">
      <c r="A7286" t="s">
        <v>27</v>
      </c>
      <c r="B7286" t="s">
        <v>11</v>
      </c>
      <c r="C7286" t="s">
        <v>12</v>
      </c>
      <c r="D7286" t="s">
        <v>15</v>
      </c>
      <c r="E7286">
        <v>8.4465662871832502E-3</v>
      </c>
      <c r="F7286">
        <v>0.75038193169298495</v>
      </c>
      <c r="G7286">
        <v>32421.679090023001</v>
      </c>
      <c r="H7286">
        <v>100</v>
      </c>
      <c r="I7286">
        <v>296</v>
      </c>
      <c r="J7286">
        <v>30</v>
      </c>
    </row>
    <row r="7287" spans="1:10" x14ac:dyDescent="0.25">
      <c r="A7287" t="s">
        <v>27</v>
      </c>
      <c r="B7287" t="s">
        <v>11</v>
      </c>
      <c r="C7287" t="s">
        <v>12</v>
      </c>
      <c r="D7287" t="s">
        <v>15</v>
      </c>
      <c r="E7287">
        <v>1.02827763496143E-2</v>
      </c>
      <c r="F7287">
        <v>0.75046637297506402</v>
      </c>
      <c r="G7287">
        <v>34252.915363788597</v>
      </c>
      <c r="H7287">
        <v>112</v>
      </c>
      <c r="I7287">
        <v>328</v>
      </c>
      <c r="J7287">
        <v>30</v>
      </c>
    </row>
    <row r="7288" spans="1:10" x14ac:dyDescent="0.25">
      <c r="A7288" t="s">
        <v>27</v>
      </c>
      <c r="B7288" t="s">
        <v>11</v>
      </c>
      <c r="C7288" t="s">
        <v>12</v>
      </c>
      <c r="D7288" t="s">
        <v>15</v>
      </c>
      <c r="E7288">
        <v>8.8138082996694796E-3</v>
      </c>
      <c r="F7288">
        <v>0.75039937568857795</v>
      </c>
      <c r="G7288">
        <v>34581.0267424583</v>
      </c>
      <c r="H7288">
        <v>121</v>
      </c>
      <c r="I7288">
        <v>322</v>
      </c>
      <c r="J7288">
        <v>30</v>
      </c>
    </row>
    <row r="7289" spans="1:10" x14ac:dyDescent="0.25">
      <c r="A7289" t="s">
        <v>27</v>
      </c>
      <c r="B7289" t="s">
        <v>11</v>
      </c>
      <c r="C7289" t="s">
        <v>12</v>
      </c>
      <c r="D7289" t="s">
        <v>15</v>
      </c>
      <c r="E7289">
        <v>9.9155343371281606E-3</v>
      </c>
      <c r="F7289">
        <v>0.75046897048373096</v>
      </c>
      <c r="G7289">
        <v>36266.9158530235</v>
      </c>
      <c r="H7289">
        <v>133</v>
      </c>
      <c r="I7289">
        <v>362</v>
      </c>
      <c r="J7289">
        <v>30</v>
      </c>
    </row>
    <row r="7290" spans="1:10" x14ac:dyDescent="0.25">
      <c r="A7290" t="s">
        <v>27</v>
      </c>
      <c r="B7290" t="s">
        <v>11</v>
      </c>
      <c r="C7290" t="s">
        <v>12</v>
      </c>
      <c r="D7290" t="s">
        <v>15</v>
      </c>
      <c r="E7290">
        <v>7.7120822622107899E-3</v>
      </c>
      <c r="F7290">
        <v>0.75032832435629804</v>
      </c>
      <c r="G7290">
        <v>37192.869856834397</v>
      </c>
      <c r="H7290">
        <v>166</v>
      </c>
      <c r="I7290">
        <v>474</v>
      </c>
      <c r="J7290">
        <v>30</v>
      </c>
    </row>
    <row r="7291" spans="1:10" x14ac:dyDescent="0.25">
      <c r="A7291" t="s">
        <v>27</v>
      </c>
      <c r="B7291" t="s">
        <v>11</v>
      </c>
      <c r="C7291" t="s">
        <v>12</v>
      </c>
      <c r="D7291" t="s">
        <v>15</v>
      </c>
      <c r="E7291">
        <v>2.2034520749173701E-2</v>
      </c>
      <c r="F7291">
        <v>0.75100559594491401</v>
      </c>
      <c r="G7291">
        <v>40699.7799518108</v>
      </c>
      <c r="H7291">
        <v>288</v>
      </c>
      <c r="I7291">
        <v>742</v>
      </c>
      <c r="J7291">
        <v>30</v>
      </c>
    </row>
    <row r="7292" spans="1:10" x14ac:dyDescent="0.25">
      <c r="A7292" t="s">
        <v>27</v>
      </c>
      <c r="B7292" t="s">
        <v>11</v>
      </c>
      <c r="C7292" t="s">
        <v>12</v>
      </c>
      <c r="D7292" t="s">
        <v>16</v>
      </c>
      <c r="E7292">
        <v>0</v>
      </c>
      <c r="F7292">
        <v>0.75</v>
      </c>
      <c r="G7292">
        <v>2.3819274902343701</v>
      </c>
      <c r="H7292">
        <v>0</v>
      </c>
      <c r="I7292">
        <v>0</v>
      </c>
      <c r="J7292">
        <v>30</v>
      </c>
    </row>
    <row r="7293" spans="1:10" x14ac:dyDescent="0.25">
      <c r="A7293" t="s">
        <v>27</v>
      </c>
      <c r="B7293" t="s">
        <v>11</v>
      </c>
      <c r="C7293" t="s">
        <v>12</v>
      </c>
      <c r="D7293" t="s">
        <v>16</v>
      </c>
      <c r="E7293">
        <v>0</v>
      </c>
      <c r="F7293">
        <v>0.75</v>
      </c>
      <c r="G7293">
        <v>2.5965986251831001</v>
      </c>
      <c r="H7293">
        <v>0</v>
      </c>
      <c r="I7293">
        <v>0</v>
      </c>
      <c r="J7293">
        <v>30</v>
      </c>
    </row>
    <row r="7294" spans="1:10" x14ac:dyDescent="0.25">
      <c r="A7294" t="s">
        <v>27</v>
      </c>
      <c r="B7294" t="s">
        <v>11</v>
      </c>
      <c r="C7294" t="s">
        <v>12</v>
      </c>
      <c r="D7294" t="s">
        <v>16</v>
      </c>
      <c r="E7294">
        <v>0</v>
      </c>
      <c r="F7294">
        <v>0.75</v>
      </c>
      <c r="G7294">
        <v>2.6932578086853001</v>
      </c>
      <c r="H7294">
        <v>0</v>
      </c>
      <c r="I7294">
        <v>0</v>
      </c>
      <c r="J7294">
        <v>30</v>
      </c>
    </row>
    <row r="7295" spans="1:10" x14ac:dyDescent="0.25">
      <c r="A7295" t="s">
        <v>27</v>
      </c>
      <c r="B7295" t="s">
        <v>11</v>
      </c>
      <c r="C7295" t="s">
        <v>12</v>
      </c>
      <c r="D7295" t="s">
        <v>16</v>
      </c>
      <c r="E7295">
        <v>0</v>
      </c>
      <c r="F7295">
        <v>0.75</v>
      </c>
      <c r="G7295">
        <v>2.6589684486389098</v>
      </c>
      <c r="H7295">
        <v>0</v>
      </c>
      <c r="I7295">
        <v>0</v>
      </c>
      <c r="J7295">
        <v>30</v>
      </c>
    </row>
    <row r="7296" spans="1:10" x14ac:dyDescent="0.25">
      <c r="A7296" t="s">
        <v>27</v>
      </c>
      <c r="B7296" t="s">
        <v>11</v>
      </c>
      <c r="C7296" t="s">
        <v>12</v>
      </c>
      <c r="D7296" t="s">
        <v>16</v>
      </c>
      <c r="E7296">
        <v>0</v>
      </c>
      <c r="F7296">
        <v>0.75</v>
      </c>
      <c r="G7296">
        <v>2.6376180648803702</v>
      </c>
      <c r="H7296">
        <v>0</v>
      </c>
      <c r="I7296">
        <v>0</v>
      </c>
      <c r="J7296">
        <v>30</v>
      </c>
    </row>
    <row r="7297" spans="1:10" x14ac:dyDescent="0.25">
      <c r="A7297" t="s">
        <v>27</v>
      </c>
      <c r="B7297" t="s">
        <v>11</v>
      </c>
      <c r="C7297" t="s">
        <v>12</v>
      </c>
      <c r="D7297" t="s">
        <v>16</v>
      </c>
      <c r="E7297">
        <v>0</v>
      </c>
      <c r="F7297">
        <v>0.75</v>
      </c>
      <c r="G7297">
        <v>2.6187992095947199</v>
      </c>
      <c r="H7297">
        <v>0</v>
      </c>
      <c r="I7297">
        <v>0</v>
      </c>
      <c r="J7297">
        <v>30</v>
      </c>
    </row>
    <row r="7298" spans="1:10" x14ac:dyDescent="0.25">
      <c r="A7298" t="s">
        <v>27</v>
      </c>
      <c r="B7298" t="s">
        <v>11</v>
      </c>
      <c r="C7298" t="s">
        <v>12</v>
      </c>
      <c r="D7298" t="s">
        <v>16</v>
      </c>
      <c r="E7298">
        <v>0</v>
      </c>
      <c r="F7298">
        <v>0.75</v>
      </c>
      <c r="G7298">
        <v>2.4316027164459202</v>
      </c>
      <c r="H7298">
        <v>0</v>
      </c>
      <c r="I7298">
        <v>0</v>
      </c>
      <c r="J7298">
        <v>30</v>
      </c>
    </row>
    <row r="7299" spans="1:10" x14ac:dyDescent="0.25">
      <c r="A7299" t="s">
        <v>27</v>
      </c>
      <c r="B7299" t="s">
        <v>11</v>
      </c>
      <c r="C7299" t="s">
        <v>12</v>
      </c>
      <c r="D7299" t="s">
        <v>16</v>
      </c>
      <c r="E7299">
        <v>0</v>
      </c>
      <c r="F7299">
        <v>0.75</v>
      </c>
      <c r="G7299">
        <v>19.4756212234497</v>
      </c>
      <c r="H7299">
        <v>0</v>
      </c>
      <c r="I7299">
        <v>0</v>
      </c>
      <c r="J7299">
        <v>30</v>
      </c>
    </row>
    <row r="7300" spans="1:10" x14ac:dyDescent="0.25">
      <c r="A7300" t="s">
        <v>27</v>
      </c>
      <c r="B7300" t="s">
        <v>11</v>
      </c>
      <c r="C7300" t="s">
        <v>12</v>
      </c>
      <c r="D7300" t="s">
        <v>16</v>
      </c>
      <c r="E7300">
        <v>0</v>
      </c>
      <c r="F7300">
        <v>0.75</v>
      </c>
      <c r="G7300">
        <v>20.147855520248399</v>
      </c>
      <c r="H7300">
        <v>0</v>
      </c>
      <c r="I7300">
        <v>0</v>
      </c>
      <c r="J7300">
        <v>30</v>
      </c>
    </row>
    <row r="7301" spans="1:10" x14ac:dyDescent="0.25">
      <c r="A7301" t="s">
        <v>27</v>
      </c>
      <c r="B7301" t="s">
        <v>11</v>
      </c>
      <c r="C7301" t="s">
        <v>12</v>
      </c>
      <c r="D7301" t="s">
        <v>16</v>
      </c>
      <c r="E7301">
        <v>0</v>
      </c>
      <c r="F7301">
        <v>0.75</v>
      </c>
      <c r="G7301">
        <v>20.156244516372599</v>
      </c>
      <c r="H7301">
        <v>0</v>
      </c>
      <c r="I7301">
        <v>0</v>
      </c>
      <c r="J7301">
        <v>30</v>
      </c>
    </row>
    <row r="7302" spans="1:10" x14ac:dyDescent="0.25">
      <c r="A7302" t="s">
        <v>27</v>
      </c>
      <c r="B7302" t="s">
        <v>11</v>
      </c>
      <c r="C7302" t="s">
        <v>12</v>
      </c>
      <c r="D7302" t="s">
        <v>16</v>
      </c>
      <c r="E7302">
        <v>0</v>
      </c>
      <c r="F7302">
        <v>0.75</v>
      </c>
      <c r="G7302">
        <v>20.21457862854</v>
      </c>
      <c r="H7302">
        <v>0</v>
      </c>
      <c r="I7302">
        <v>0</v>
      </c>
      <c r="J7302">
        <v>30</v>
      </c>
    </row>
    <row r="7303" spans="1:10" x14ac:dyDescent="0.25">
      <c r="A7303" t="s">
        <v>27</v>
      </c>
      <c r="B7303" t="s">
        <v>11</v>
      </c>
      <c r="C7303" t="s">
        <v>12</v>
      </c>
      <c r="D7303" t="s">
        <v>16</v>
      </c>
      <c r="E7303">
        <v>0</v>
      </c>
      <c r="F7303">
        <v>0.75</v>
      </c>
      <c r="G7303">
        <v>20.9706275463104</v>
      </c>
      <c r="H7303">
        <v>0</v>
      </c>
      <c r="I7303">
        <v>0</v>
      </c>
      <c r="J7303">
        <v>30</v>
      </c>
    </row>
    <row r="7304" spans="1:10" x14ac:dyDescent="0.25">
      <c r="A7304" t="s">
        <v>27</v>
      </c>
      <c r="B7304" t="s">
        <v>11</v>
      </c>
      <c r="C7304" t="s">
        <v>12</v>
      </c>
      <c r="D7304" t="s">
        <v>16</v>
      </c>
      <c r="E7304">
        <v>0</v>
      </c>
      <c r="F7304">
        <v>0.75</v>
      </c>
      <c r="G7304">
        <v>21.0198218822479</v>
      </c>
      <c r="H7304">
        <v>0</v>
      </c>
      <c r="I7304">
        <v>0</v>
      </c>
      <c r="J7304">
        <v>30</v>
      </c>
    </row>
    <row r="7305" spans="1:10" x14ac:dyDescent="0.25">
      <c r="A7305" t="s">
        <v>27</v>
      </c>
      <c r="B7305" t="s">
        <v>11</v>
      </c>
      <c r="C7305" t="s">
        <v>12</v>
      </c>
      <c r="D7305" t="s">
        <v>16</v>
      </c>
      <c r="E7305">
        <v>0</v>
      </c>
      <c r="F7305">
        <v>0.75</v>
      </c>
      <c r="G7305">
        <v>21.140100002288801</v>
      </c>
      <c r="H7305">
        <v>0</v>
      </c>
      <c r="I7305">
        <v>0</v>
      </c>
      <c r="J7305">
        <v>30</v>
      </c>
    </row>
    <row r="7306" spans="1:10" x14ac:dyDescent="0.25">
      <c r="A7306" t="s">
        <v>27</v>
      </c>
      <c r="B7306" t="s">
        <v>11</v>
      </c>
      <c r="C7306" t="s">
        <v>12</v>
      </c>
      <c r="D7306" t="s">
        <v>16</v>
      </c>
      <c r="E7306">
        <v>0</v>
      </c>
      <c r="F7306">
        <v>0.75</v>
      </c>
      <c r="G7306">
        <v>21.165282011032101</v>
      </c>
      <c r="H7306">
        <v>0</v>
      </c>
      <c r="I7306">
        <v>0</v>
      </c>
      <c r="J7306">
        <v>30</v>
      </c>
    </row>
    <row r="7307" spans="1:10" x14ac:dyDescent="0.25">
      <c r="A7307" t="s">
        <v>27</v>
      </c>
      <c r="B7307" t="s">
        <v>11</v>
      </c>
      <c r="C7307" t="s">
        <v>12</v>
      </c>
      <c r="D7307" t="s">
        <v>16</v>
      </c>
      <c r="E7307">
        <v>0</v>
      </c>
      <c r="F7307">
        <v>0.75</v>
      </c>
      <c r="G7307">
        <v>21.1634871959686</v>
      </c>
      <c r="H7307">
        <v>0</v>
      </c>
      <c r="I7307">
        <v>0</v>
      </c>
      <c r="J7307">
        <v>30</v>
      </c>
    </row>
    <row r="7308" spans="1:10" x14ac:dyDescent="0.25">
      <c r="A7308" t="s">
        <v>27</v>
      </c>
      <c r="B7308" t="s">
        <v>11</v>
      </c>
      <c r="C7308" t="s">
        <v>12</v>
      </c>
      <c r="D7308" t="s">
        <v>16</v>
      </c>
      <c r="E7308">
        <v>0</v>
      </c>
      <c r="F7308">
        <v>0.75</v>
      </c>
      <c r="G7308">
        <v>21.244711875915499</v>
      </c>
      <c r="H7308">
        <v>0</v>
      </c>
      <c r="I7308">
        <v>0</v>
      </c>
      <c r="J7308">
        <v>30</v>
      </c>
    </row>
    <row r="7309" spans="1:10" x14ac:dyDescent="0.25">
      <c r="A7309" t="s">
        <v>27</v>
      </c>
      <c r="B7309" t="s">
        <v>11</v>
      </c>
      <c r="C7309" t="s">
        <v>12</v>
      </c>
      <c r="D7309" t="s">
        <v>16</v>
      </c>
      <c r="E7309">
        <v>0</v>
      </c>
      <c r="F7309">
        <v>0.75</v>
      </c>
      <c r="G7309">
        <v>21.721046447753899</v>
      </c>
      <c r="H7309">
        <v>0</v>
      </c>
      <c r="I7309">
        <v>0</v>
      </c>
      <c r="J7309">
        <v>30</v>
      </c>
    </row>
    <row r="7310" spans="1:10" x14ac:dyDescent="0.25">
      <c r="A7310" t="s">
        <v>27</v>
      </c>
      <c r="B7310" t="s">
        <v>11</v>
      </c>
      <c r="C7310" t="s">
        <v>12</v>
      </c>
      <c r="D7310" t="s">
        <v>16</v>
      </c>
      <c r="E7310">
        <v>0</v>
      </c>
      <c r="F7310">
        <v>0.75</v>
      </c>
      <c r="G7310">
        <v>21.732856512069699</v>
      </c>
      <c r="H7310">
        <v>0</v>
      </c>
      <c r="I7310">
        <v>0</v>
      </c>
      <c r="J7310">
        <v>30</v>
      </c>
    </row>
    <row r="7311" spans="1:10" x14ac:dyDescent="0.25">
      <c r="A7311" t="s">
        <v>27</v>
      </c>
      <c r="B7311" t="s">
        <v>11</v>
      </c>
      <c r="C7311" t="s">
        <v>12</v>
      </c>
      <c r="D7311" t="s">
        <v>16</v>
      </c>
      <c r="E7311">
        <v>0</v>
      </c>
      <c r="F7311">
        <v>0.75</v>
      </c>
      <c r="G7311">
        <v>21.778895616531301</v>
      </c>
      <c r="H7311">
        <v>0</v>
      </c>
      <c r="I7311">
        <v>0</v>
      </c>
      <c r="J7311">
        <v>30</v>
      </c>
    </row>
    <row r="7312" spans="1:10" x14ac:dyDescent="0.25">
      <c r="A7312" t="s">
        <v>27</v>
      </c>
      <c r="B7312" t="s">
        <v>11</v>
      </c>
      <c r="C7312" t="s">
        <v>12</v>
      </c>
      <c r="D7312" t="s">
        <v>16</v>
      </c>
      <c r="E7312">
        <v>0</v>
      </c>
      <c r="F7312">
        <v>0.75</v>
      </c>
      <c r="G7312">
        <v>21.846039772033599</v>
      </c>
      <c r="H7312">
        <v>0</v>
      </c>
      <c r="I7312">
        <v>0</v>
      </c>
      <c r="J7312">
        <v>30</v>
      </c>
    </row>
    <row r="7313" spans="1:10" x14ac:dyDescent="0.25">
      <c r="A7313" t="s">
        <v>27</v>
      </c>
      <c r="B7313" t="s">
        <v>11</v>
      </c>
      <c r="C7313" t="s">
        <v>12</v>
      </c>
      <c r="D7313" t="s">
        <v>16</v>
      </c>
      <c r="E7313">
        <v>0</v>
      </c>
      <c r="F7313">
        <v>0.75</v>
      </c>
      <c r="G7313">
        <v>21.913141250610298</v>
      </c>
      <c r="H7313">
        <v>0</v>
      </c>
      <c r="I7313">
        <v>0</v>
      </c>
      <c r="J7313">
        <v>30</v>
      </c>
    </row>
    <row r="7314" spans="1:10" x14ac:dyDescent="0.25">
      <c r="A7314" t="s">
        <v>27</v>
      </c>
      <c r="B7314" t="s">
        <v>11</v>
      </c>
      <c r="C7314" t="s">
        <v>12</v>
      </c>
      <c r="D7314" t="s">
        <v>16</v>
      </c>
      <c r="E7314">
        <v>0</v>
      </c>
      <c r="F7314">
        <v>0.75</v>
      </c>
      <c r="G7314">
        <v>21.940566778182902</v>
      </c>
      <c r="H7314">
        <v>0</v>
      </c>
      <c r="I7314">
        <v>0</v>
      </c>
      <c r="J7314">
        <v>30</v>
      </c>
    </row>
    <row r="7315" spans="1:10" x14ac:dyDescent="0.25">
      <c r="A7315" t="s">
        <v>27</v>
      </c>
      <c r="B7315" t="s">
        <v>11</v>
      </c>
      <c r="C7315" t="s">
        <v>12</v>
      </c>
      <c r="D7315" t="s">
        <v>16</v>
      </c>
      <c r="E7315">
        <v>0</v>
      </c>
      <c r="F7315">
        <v>0.75</v>
      </c>
      <c r="G7315">
        <v>21.938149213790801</v>
      </c>
      <c r="H7315">
        <v>0</v>
      </c>
      <c r="I7315">
        <v>0</v>
      </c>
      <c r="J7315">
        <v>30</v>
      </c>
    </row>
    <row r="7316" spans="1:10" x14ac:dyDescent="0.25">
      <c r="A7316" t="s">
        <v>27</v>
      </c>
      <c r="B7316" t="s">
        <v>11</v>
      </c>
      <c r="C7316" t="s">
        <v>12</v>
      </c>
      <c r="D7316" t="s">
        <v>16</v>
      </c>
      <c r="E7316">
        <v>0</v>
      </c>
      <c r="F7316">
        <v>0.75</v>
      </c>
      <c r="G7316">
        <v>21.915880203246999</v>
      </c>
      <c r="H7316">
        <v>0</v>
      </c>
      <c r="I7316">
        <v>0</v>
      </c>
      <c r="J7316">
        <v>30</v>
      </c>
    </row>
    <row r="7317" spans="1:10" x14ac:dyDescent="0.25">
      <c r="A7317" t="s">
        <v>27</v>
      </c>
      <c r="B7317" t="s">
        <v>11</v>
      </c>
      <c r="C7317" t="s">
        <v>12</v>
      </c>
      <c r="D7317" t="s">
        <v>16</v>
      </c>
      <c r="E7317">
        <v>0</v>
      </c>
      <c r="F7317">
        <v>0.75</v>
      </c>
      <c r="G7317">
        <v>21.946609020233101</v>
      </c>
      <c r="H7317">
        <v>0</v>
      </c>
      <c r="I7317">
        <v>0</v>
      </c>
      <c r="J7317">
        <v>30</v>
      </c>
    </row>
    <row r="7318" spans="1:10" x14ac:dyDescent="0.25">
      <c r="A7318" t="s">
        <v>27</v>
      </c>
      <c r="B7318" t="s">
        <v>11</v>
      </c>
      <c r="C7318" t="s">
        <v>12</v>
      </c>
      <c r="D7318" t="s">
        <v>16</v>
      </c>
      <c r="E7318">
        <v>0</v>
      </c>
      <c r="F7318">
        <v>0.75</v>
      </c>
      <c r="G7318">
        <v>22.052556991577099</v>
      </c>
      <c r="H7318">
        <v>0</v>
      </c>
      <c r="I7318">
        <v>0</v>
      </c>
      <c r="J7318">
        <v>30</v>
      </c>
    </row>
    <row r="7319" spans="1:10" x14ac:dyDescent="0.25">
      <c r="A7319" t="s">
        <v>27</v>
      </c>
      <c r="B7319" t="s">
        <v>11</v>
      </c>
      <c r="C7319" t="s">
        <v>12</v>
      </c>
      <c r="D7319" t="s">
        <v>16</v>
      </c>
      <c r="E7319">
        <v>0</v>
      </c>
      <c r="F7319">
        <v>0.75</v>
      </c>
      <c r="G7319">
        <v>22.0395908355712</v>
      </c>
      <c r="H7319">
        <v>0</v>
      </c>
      <c r="I7319">
        <v>0</v>
      </c>
      <c r="J7319">
        <v>30</v>
      </c>
    </row>
    <row r="7320" spans="1:10" x14ac:dyDescent="0.25">
      <c r="A7320" t="s">
        <v>27</v>
      </c>
      <c r="B7320" t="s">
        <v>11</v>
      </c>
      <c r="C7320" t="s">
        <v>12</v>
      </c>
      <c r="D7320" t="s">
        <v>16</v>
      </c>
      <c r="E7320">
        <v>0</v>
      </c>
      <c r="F7320">
        <v>0.75</v>
      </c>
      <c r="G7320">
        <v>22.069895267486501</v>
      </c>
      <c r="H7320">
        <v>0</v>
      </c>
      <c r="I7320">
        <v>0</v>
      </c>
      <c r="J7320">
        <v>30</v>
      </c>
    </row>
    <row r="7321" spans="1:10" x14ac:dyDescent="0.25">
      <c r="A7321" t="s">
        <v>27</v>
      </c>
      <c r="B7321" t="s">
        <v>11</v>
      </c>
      <c r="C7321" t="s">
        <v>12</v>
      </c>
      <c r="D7321" t="s">
        <v>16</v>
      </c>
      <c r="E7321">
        <v>0</v>
      </c>
      <c r="F7321">
        <v>0.75</v>
      </c>
      <c r="G7321">
        <v>22.1154251098632</v>
      </c>
      <c r="H7321">
        <v>0</v>
      </c>
      <c r="I7321">
        <v>0</v>
      </c>
      <c r="J7321">
        <v>30</v>
      </c>
    </row>
    <row r="7322" spans="1:10" x14ac:dyDescent="0.25">
      <c r="A7322" t="s">
        <v>27</v>
      </c>
      <c r="B7322" t="s">
        <v>11</v>
      </c>
      <c r="C7322" t="s">
        <v>12</v>
      </c>
      <c r="D7322" t="s">
        <v>17</v>
      </c>
      <c r="E7322">
        <v>0.20271759089239799</v>
      </c>
      <c r="F7322">
        <v>0.79278257284447395</v>
      </c>
      <c r="G7322">
        <v>8085.3556244373303</v>
      </c>
      <c r="H7322">
        <v>356</v>
      </c>
      <c r="I7322">
        <v>407</v>
      </c>
      <c r="J7322">
        <v>30</v>
      </c>
    </row>
    <row r="7323" spans="1:10" x14ac:dyDescent="0.25">
      <c r="A7323" t="s">
        <v>27</v>
      </c>
      <c r="B7323" t="s">
        <v>11</v>
      </c>
      <c r="C7323" t="s">
        <v>12</v>
      </c>
      <c r="D7323" t="s">
        <v>17</v>
      </c>
      <c r="E7323">
        <v>0.23430040396621299</v>
      </c>
      <c r="F7323">
        <v>0.800312476009584</v>
      </c>
      <c r="G7323">
        <v>8213.5125186443292</v>
      </c>
      <c r="H7323">
        <v>489</v>
      </c>
      <c r="I7323">
        <v>511</v>
      </c>
      <c r="J7323">
        <v>30</v>
      </c>
    </row>
    <row r="7324" spans="1:10" x14ac:dyDescent="0.25">
      <c r="A7324" t="s">
        <v>27</v>
      </c>
      <c r="B7324" t="s">
        <v>11</v>
      </c>
      <c r="C7324" t="s">
        <v>12</v>
      </c>
      <c r="D7324" t="s">
        <v>17</v>
      </c>
      <c r="E7324">
        <v>0.31803158281307298</v>
      </c>
      <c r="F7324">
        <v>0.81725470505431497</v>
      </c>
      <c r="G7324">
        <v>9796.6254034042304</v>
      </c>
      <c r="H7324">
        <v>711</v>
      </c>
      <c r="I7324">
        <v>713</v>
      </c>
      <c r="J7324">
        <v>30</v>
      </c>
    </row>
    <row r="7325" spans="1:10" x14ac:dyDescent="0.25">
      <c r="A7325" t="s">
        <v>27</v>
      </c>
      <c r="B7325" t="s">
        <v>11</v>
      </c>
      <c r="C7325" t="s">
        <v>12</v>
      </c>
      <c r="D7325" t="s">
        <v>17</v>
      </c>
      <c r="E7325">
        <v>0.31435916268821101</v>
      </c>
      <c r="F7325">
        <v>0.81750046312027003</v>
      </c>
      <c r="G7325">
        <v>12228.5456559658</v>
      </c>
      <c r="H7325">
        <v>610</v>
      </c>
      <c r="I7325">
        <v>681</v>
      </c>
      <c r="J7325">
        <v>30</v>
      </c>
    </row>
    <row r="7326" spans="1:10" x14ac:dyDescent="0.25">
      <c r="A7326" t="s">
        <v>27</v>
      </c>
      <c r="B7326" t="s">
        <v>11</v>
      </c>
      <c r="C7326" t="s">
        <v>12</v>
      </c>
      <c r="D7326" t="s">
        <v>17</v>
      </c>
      <c r="E7326">
        <v>0.28534704370179897</v>
      </c>
      <c r="F7326">
        <v>0.80990453025174403</v>
      </c>
      <c r="G7326">
        <v>13078.0031831264</v>
      </c>
      <c r="H7326">
        <v>660</v>
      </c>
      <c r="I7326">
        <v>725</v>
      </c>
      <c r="J7326">
        <v>30</v>
      </c>
    </row>
    <row r="7327" spans="1:10" x14ac:dyDescent="0.25">
      <c r="A7327" t="s">
        <v>27</v>
      </c>
      <c r="B7327" t="s">
        <v>11</v>
      </c>
      <c r="C7327" t="s">
        <v>12</v>
      </c>
      <c r="D7327" t="s">
        <v>17</v>
      </c>
      <c r="E7327">
        <v>0.27616599338964298</v>
      </c>
      <c r="F7327">
        <v>0.80650501548883502</v>
      </c>
      <c r="G7327">
        <v>13082.7549548149</v>
      </c>
      <c r="H7327">
        <v>615</v>
      </c>
      <c r="I7327">
        <v>707</v>
      </c>
      <c r="J7327">
        <v>30</v>
      </c>
    </row>
    <row r="7328" spans="1:10" x14ac:dyDescent="0.25">
      <c r="A7328" t="s">
        <v>27</v>
      </c>
      <c r="B7328" t="s">
        <v>11</v>
      </c>
      <c r="C7328" t="s">
        <v>12</v>
      </c>
      <c r="D7328" t="s">
        <v>17</v>
      </c>
      <c r="E7328">
        <v>0.27175908923980902</v>
      </c>
      <c r="F7328">
        <v>0.80738353103250105</v>
      </c>
      <c r="G7328">
        <v>13183.0901219844</v>
      </c>
      <c r="H7328">
        <v>596</v>
      </c>
      <c r="I7328">
        <v>642</v>
      </c>
      <c r="J7328">
        <v>30</v>
      </c>
    </row>
    <row r="7329" spans="1:10" x14ac:dyDescent="0.25">
      <c r="A7329" t="s">
        <v>27</v>
      </c>
      <c r="B7329" t="s">
        <v>11</v>
      </c>
      <c r="C7329" t="s">
        <v>12</v>
      </c>
      <c r="D7329" t="s">
        <v>17</v>
      </c>
      <c r="E7329">
        <v>0.22254865956665401</v>
      </c>
      <c r="F7329">
        <v>0.79514912766169599</v>
      </c>
      <c r="G7329">
        <v>13283.744254589001</v>
      </c>
      <c r="H7329">
        <v>471</v>
      </c>
      <c r="I7329">
        <v>538</v>
      </c>
      <c r="J7329">
        <v>30</v>
      </c>
    </row>
    <row r="7330" spans="1:10" x14ac:dyDescent="0.25">
      <c r="A7330" t="s">
        <v>27</v>
      </c>
      <c r="B7330" t="s">
        <v>11</v>
      </c>
      <c r="C7330" t="s">
        <v>12</v>
      </c>
      <c r="D7330" t="s">
        <v>17</v>
      </c>
      <c r="E7330">
        <v>0.31766434080058698</v>
      </c>
      <c r="F7330">
        <v>0.81499775627330096</v>
      </c>
      <c r="G7330">
        <v>13501.5172379016</v>
      </c>
      <c r="H7330">
        <v>704</v>
      </c>
      <c r="I7330">
        <v>768</v>
      </c>
      <c r="J7330">
        <v>30</v>
      </c>
    </row>
    <row r="7331" spans="1:10" x14ac:dyDescent="0.25">
      <c r="A7331" t="s">
        <v>27</v>
      </c>
      <c r="B7331" t="s">
        <v>11</v>
      </c>
      <c r="C7331" t="s">
        <v>12</v>
      </c>
      <c r="D7331" t="s">
        <v>17</v>
      </c>
      <c r="E7331">
        <v>0.301505692251193</v>
      </c>
      <c r="F7331">
        <v>0.81533865663730998</v>
      </c>
      <c r="G7331">
        <v>13746.974214792201</v>
      </c>
      <c r="H7331">
        <v>675</v>
      </c>
      <c r="I7331">
        <v>753</v>
      </c>
      <c r="J7331">
        <v>30</v>
      </c>
    </row>
    <row r="7332" spans="1:10" x14ac:dyDescent="0.25">
      <c r="A7332" t="s">
        <v>27</v>
      </c>
      <c r="B7332" t="s">
        <v>11</v>
      </c>
      <c r="C7332" t="s">
        <v>12</v>
      </c>
      <c r="D7332" t="s">
        <v>17</v>
      </c>
      <c r="E7332">
        <v>0.31289019463826601</v>
      </c>
      <c r="F7332">
        <v>0.81790206622273198</v>
      </c>
      <c r="G7332">
        <v>13760.8614211082</v>
      </c>
      <c r="H7332">
        <v>674</v>
      </c>
      <c r="I7332">
        <v>757</v>
      </c>
      <c r="J7332">
        <v>30</v>
      </c>
    </row>
    <row r="7333" spans="1:10" x14ac:dyDescent="0.25">
      <c r="A7333" t="s">
        <v>27</v>
      </c>
      <c r="B7333" t="s">
        <v>11</v>
      </c>
      <c r="C7333" t="s">
        <v>12</v>
      </c>
      <c r="D7333" t="s">
        <v>17</v>
      </c>
      <c r="E7333">
        <v>0.28571428571428498</v>
      </c>
      <c r="F7333">
        <v>0.81000653854149796</v>
      </c>
      <c r="G7333">
        <v>13881.167809009499</v>
      </c>
      <c r="H7333">
        <v>662</v>
      </c>
      <c r="I7333">
        <v>729</v>
      </c>
      <c r="J7333">
        <v>30</v>
      </c>
    </row>
    <row r="7334" spans="1:10" x14ac:dyDescent="0.25">
      <c r="A7334" t="s">
        <v>27</v>
      </c>
      <c r="B7334" t="s">
        <v>11</v>
      </c>
      <c r="C7334" t="s">
        <v>12</v>
      </c>
      <c r="D7334" t="s">
        <v>17</v>
      </c>
      <c r="E7334">
        <v>0.27800220345207399</v>
      </c>
      <c r="F7334">
        <v>0.80482499879702596</v>
      </c>
      <c r="G7334">
        <v>14261.531331062301</v>
      </c>
      <c r="H7334">
        <v>615</v>
      </c>
      <c r="I7334">
        <v>722</v>
      </c>
      <c r="J7334">
        <v>30</v>
      </c>
    </row>
    <row r="7335" spans="1:10" x14ac:dyDescent="0.25">
      <c r="A7335" t="s">
        <v>27</v>
      </c>
      <c r="B7335" t="s">
        <v>11</v>
      </c>
      <c r="C7335" t="s">
        <v>12</v>
      </c>
      <c r="D7335" t="s">
        <v>17</v>
      </c>
      <c r="E7335">
        <v>0.30370914432611001</v>
      </c>
      <c r="F7335">
        <v>0.81314023081744402</v>
      </c>
      <c r="G7335">
        <v>14860.2670891284</v>
      </c>
      <c r="H7335">
        <v>750</v>
      </c>
      <c r="I7335">
        <v>811</v>
      </c>
      <c r="J7335">
        <v>30</v>
      </c>
    </row>
    <row r="7336" spans="1:10" x14ac:dyDescent="0.25">
      <c r="A7336" t="s">
        <v>27</v>
      </c>
      <c r="B7336" t="s">
        <v>11</v>
      </c>
      <c r="C7336" t="s">
        <v>12</v>
      </c>
      <c r="D7336" t="s">
        <v>17</v>
      </c>
      <c r="E7336">
        <v>0.37275064267352098</v>
      </c>
      <c r="F7336">
        <v>0.82355911355523304</v>
      </c>
      <c r="G7336">
        <v>15231.518876075699</v>
      </c>
      <c r="H7336">
        <v>872</v>
      </c>
      <c r="I7336">
        <v>940</v>
      </c>
      <c r="J7336">
        <v>30</v>
      </c>
    </row>
    <row r="7337" spans="1:10" x14ac:dyDescent="0.25">
      <c r="A7337" t="s">
        <v>27</v>
      </c>
      <c r="B7337" t="s">
        <v>11</v>
      </c>
      <c r="C7337" t="s">
        <v>12</v>
      </c>
      <c r="D7337" t="s">
        <v>17</v>
      </c>
      <c r="E7337">
        <v>0.36136614028644798</v>
      </c>
      <c r="F7337">
        <v>0.82608360092706401</v>
      </c>
      <c r="G7337">
        <v>15399.682652711799</v>
      </c>
      <c r="H7337">
        <v>818</v>
      </c>
      <c r="I7337">
        <v>866</v>
      </c>
      <c r="J7337">
        <v>30</v>
      </c>
    </row>
    <row r="7338" spans="1:10" x14ac:dyDescent="0.25">
      <c r="A7338" t="s">
        <v>27</v>
      </c>
      <c r="B7338" t="s">
        <v>11</v>
      </c>
      <c r="C7338" t="s">
        <v>12</v>
      </c>
      <c r="D7338" t="s">
        <v>17</v>
      </c>
      <c r="E7338">
        <v>0.38046272493573202</v>
      </c>
      <c r="F7338">
        <v>0.82500139144282103</v>
      </c>
      <c r="G7338">
        <v>15661.3062655925</v>
      </c>
      <c r="H7338">
        <v>922</v>
      </c>
      <c r="I7338">
        <v>987</v>
      </c>
      <c r="J7338">
        <v>30</v>
      </c>
    </row>
    <row r="7339" spans="1:10" x14ac:dyDescent="0.25">
      <c r="A7339" t="s">
        <v>27</v>
      </c>
      <c r="B7339" t="s">
        <v>11</v>
      </c>
      <c r="C7339" t="s">
        <v>12</v>
      </c>
      <c r="D7339" t="s">
        <v>17</v>
      </c>
      <c r="E7339">
        <v>0.36907822254865902</v>
      </c>
      <c r="F7339">
        <v>0.82352091758497703</v>
      </c>
      <c r="G7339">
        <v>15793.9277615547</v>
      </c>
      <c r="H7339">
        <v>831</v>
      </c>
      <c r="I7339">
        <v>924</v>
      </c>
      <c r="J7339">
        <v>30</v>
      </c>
    </row>
    <row r="7340" spans="1:10" x14ac:dyDescent="0.25">
      <c r="A7340" t="s">
        <v>27</v>
      </c>
      <c r="B7340" t="s">
        <v>11</v>
      </c>
      <c r="C7340" t="s">
        <v>12</v>
      </c>
      <c r="D7340" t="s">
        <v>17</v>
      </c>
      <c r="E7340">
        <v>0.35879544619904502</v>
      </c>
      <c r="F7340">
        <v>0.81800643574763099</v>
      </c>
      <c r="G7340">
        <v>16263.624191999401</v>
      </c>
      <c r="H7340">
        <v>874</v>
      </c>
      <c r="I7340">
        <v>954</v>
      </c>
      <c r="J7340">
        <v>30</v>
      </c>
    </row>
    <row r="7341" spans="1:10" x14ac:dyDescent="0.25">
      <c r="A7341" t="s">
        <v>27</v>
      </c>
      <c r="B7341" t="s">
        <v>11</v>
      </c>
      <c r="C7341" t="s">
        <v>12</v>
      </c>
      <c r="D7341" t="s">
        <v>17</v>
      </c>
      <c r="E7341">
        <v>0.37017994858611802</v>
      </c>
      <c r="F7341">
        <v>0.82363810845108298</v>
      </c>
      <c r="G7341">
        <v>16358.4764566421</v>
      </c>
      <c r="H7341">
        <v>830</v>
      </c>
      <c r="I7341">
        <v>950</v>
      </c>
      <c r="J7341">
        <v>30</v>
      </c>
    </row>
    <row r="7342" spans="1:10" x14ac:dyDescent="0.25">
      <c r="A7342" t="s">
        <v>27</v>
      </c>
      <c r="B7342" t="s">
        <v>11</v>
      </c>
      <c r="C7342" t="s">
        <v>12</v>
      </c>
      <c r="D7342" t="s">
        <v>17</v>
      </c>
      <c r="E7342">
        <v>0.38854204921042901</v>
      </c>
      <c r="F7342">
        <v>0.82557378112581703</v>
      </c>
      <c r="G7342">
        <v>16476.745958089799</v>
      </c>
      <c r="H7342">
        <v>932</v>
      </c>
      <c r="I7342">
        <v>1038</v>
      </c>
      <c r="J7342">
        <v>30</v>
      </c>
    </row>
    <row r="7343" spans="1:10" x14ac:dyDescent="0.25">
      <c r="A7343" t="s">
        <v>27</v>
      </c>
      <c r="B7343" t="s">
        <v>11</v>
      </c>
      <c r="C7343" t="s">
        <v>12</v>
      </c>
      <c r="D7343" t="s">
        <v>17</v>
      </c>
      <c r="E7343">
        <v>0.37054719059860403</v>
      </c>
      <c r="F7343">
        <v>0.82583963395181703</v>
      </c>
      <c r="G7343">
        <v>16496.028615951502</v>
      </c>
      <c r="H7343">
        <v>858</v>
      </c>
      <c r="I7343">
        <v>1007</v>
      </c>
      <c r="J7343">
        <v>30</v>
      </c>
    </row>
    <row r="7344" spans="1:10" x14ac:dyDescent="0.25">
      <c r="A7344" t="s">
        <v>27</v>
      </c>
      <c r="B7344" t="s">
        <v>11</v>
      </c>
      <c r="C7344" t="s">
        <v>12</v>
      </c>
      <c r="D7344" t="s">
        <v>17</v>
      </c>
      <c r="E7344">
        <v>0.39221446933529103</v>
      </c>
      <c r="F7344">
        <v>0.82764361539026798</v>
      </c>
      <c r="G7344">
        <v>16554.600602388298</v>
      </c>
      <c r="H7344">
        <v>959</v>
      </c>
      <c r="I7344">
        <v>1086</v>
      </c>
      <c r="J7344">
        <v>30</v>
      </c>
    </row>
    <row r="7345" spans="1:10" x14ac:dyDescent="0.25">
      <c r="A7345" t="s">
        <v>27</v>
      </c>
      <c r="B7345" t="s">
        <v>11</v>
      </c>
      <c r="C7345" t="s">
        <v>12</v>
      </c>
      <c r="D7345" t="s">
        <v>17</v>
      </c>
      <c r="E7345">
        <v>0.36724201248622801</v>
      </c>
      <c r="F7345">
        <v>0.82576472605615003</v>
      </c>
      <c r="G7345">
        <v>16641.502812385501</v>
      </c>
      <c r="H7345">
        <v>920</v>
      </c>
      <c r="I7345">
        <v>984</v>
      </c>
      <c r="J7345">
        <v>30</v>
      </c>
    </row>
    <row r="7346" spans="1:10" x14ac:dyDescent="0.25">
      <c r="A7346" t="s">
        <v>27</v>
      </c>
      <c r="B7346" t="s">
        <v>11</v>
      </c>
      <c r="C7346" t="s">
        <v>12</v>
      </c>
      <c r="D7346" t="s">
        <v>17</v>
      </c>
      <c r="E7346">
        <v>0.41828865222181399</v>
      </c>
      <c r="F7346">
        <v>0.83129771394377305</v>
      </c>
      <c r="G7346">
        <v>17012.229816675099</v>
      </c>
      <c r="H7346">
        <v>1034</v>
      </c>
      <c r="I7346">
        <v>1164</v>
      </c>
      <c r="J7346">
        <v>30</v>
      </c>
    </row>
    <row r="7347" spans="1:10" x14ac:dyDescent="0.25">
      <c r="A7347" t="s">
        <v>27</v>
      </c>
      <c r="B7347" t="s">
        <v>11</v>
      </c>
      <c r="C7347" t="s">
        <v>12</v>
      </c>
      <c r="D7347" t="s">
        <v>17</v>
      </c>
      <c r="E7347">
        <v>0.29709878810135798</v>
      </c>
      <c r="F7347">
        <v>0.80753159111138495</v>
      </c>
      <c r="G7347">
        <v>17017.584003209999</v>
      </c>
      <c r="H7347">
        <v>795</v>
      </c>
      <c r="I7347">
        <v>803</v>
      </c>
      <c r="J7347">
        <v>30</v>
      </c>
    </row>
    <row r="7348" spans="1:10" x14ac:dyDescent="0.25">
      <c r="A7348" t="s">
        <v>27</v>
      </c>
      <c r="B7348" t="s">
        <v>11</v>
      </c>
      <c r="C7348" t="s">
        <v>12</v>
      </c>
      <c r="D7348" t="s">
        <v>17</v>
      </c>
      <c r="E7348">
        <v>0.34006610356224698</v>
      </c>
      <c r="F7348">
        <v>0.81946961365578297</v>
      </c>
      <c r="G7348">
        <v>17087.949614524801</v>
      </c>
      <c r="H7348">
        <v>819</v>
      </c>
      <c r="I7348">
        <v>964</v>
      </c>
      <c r="J7348">
        <v>30</v>
      </c>
    </row>
    <row r="7349" spans="1:10" x14ac:dyDescent="0.25">
      <c r="A7349" t="s">
        <v>27</v>
      </c>
      <c r="B7349" t="s">
        <v>11</v>
      </c>
      <c r="C7349" t="s">
        <v>12</v>
      </c>
      <c r="D7349" t="s">
        <v>17</v>
      </c>
      <c r="E7349">
        <v>0.43481454278369402</v>
      </c>
      <c r="F7349">
        <v>0.83491275375549001</v>
      </c>
      <c r="G7349">
        <v>17416.8788921833</v>
      </c>
      <c r="H7349">
        <v>1141</v>
      </c>
      <c r="I7349">
        <v>1345</v>
      </c>
      <c r="J7349">
        <v>30</v>
      </c>
    </row>
    <row r="7350" spans="1:10" x14ac:dyDescent="0.25">
      <c r="A7350" t="s">
        <v>27</v>
      </c>
      <c r="B7350" t="s">
        <v>11</v>
      </c>
      <c r="C7350" t="s">
        <v>12</v>
      </c>
      <c r="D7350" t="s">
        <v>17</v>
      </c>
      <c r="E7350">
        <v>0.44913698127065699</v>
      </c>
      <c r="F7350">
        <v>0.83276141093136102</v>
      </c>
      <c r="G7350">
        <v>17562.7538013458</v>
      </c>
      <c r="H7350">
        <v>1172</v>
      </c>
      <c r="I7350">
        <v>1355</v>
      </c>
      <c r="J7350">
        <v>30</v>
      </c>
    </row>
    <row r="7351" spans="1:10" x14ac:dyDescent="0.25">
      <c r="A7351" t="s">
        <v>27</v>
      </c>
      <c r="B7351" t="s">
        <v>11</v>
      </c>
      <c r="C7351" t="s">
        <v>12</v>
      </c>
      <c r="D7351" t="s">
        <v>17</v>
      </c>
      <c r="E7351">
        <v>0.43738523687109798</v>
      </c>
      <c r="F7351">
        <v>0.83057433907796596</v>
      </c>
      <c r="G7351">
        <v>17626.388965368202</v>
      </c>
      <c r="H7351">
        <v>1182</v>
      </c>
      <c r="I7351">
        <v>1372</v>
      </c>
      <c r="J7351">
        <v>30</v>
      </c>
    </row>
    <row r="7352" spans="1:10" x14ac:dyDescent="0.25">
      <c r="A7352" t="s">
        <v>27</v>
      </c>
      <c r="B7352" t="s">
        <v>11</v>
      </c>
      <c r="C7352" t="s">
        <v>18</v>
      </c>
      <c r="D7352" t="s">
        <v>13</v>
      </c>
      <c r="E7352">
        <v>0.87660668380462703</v>
      </c>
      <c r="F7352">
        <v>0.91671147825486499</v>
      </c>
      <c r="G7352">
        <v>780.46195483207703</v>
      </c>
      <c r="H7352">
        <v>26</v>
      </c>
      <c r="I7352">
        <v>51</v>
      </c>
      <c r="J7352">
        <v>30</v>
      </c>
    </row>
    <row r="7353" spans="1:10" x14ac:dyDescent="0.25">
      <c r="A7353" t="s">
        <v>27</v>
      </c>
      <c r="B7353" t="s">
        <v>11</v>
      </c>
      <c r="C7353" t="s">
        <v>18</v>
      </c>
      <c r="D7353" t="s">
        <v>13</v>
      </c>
      <c r="E7353">
        <v>0.90231362467866305</v>
      </c>
      <c r="F7353">
        <v>0.91493273383654095</v>
      </c>
      <c r="G7353">
        <v>788.76424932479802</v>
      </c>
      <c r="H7353">
        <v>51</v>
      </c>
      <c r="I7353">
        <v>86</v>
      </c>
      <c r="J7353">
        <v>30</v>
      </c>
    </row>
    <row r="7354" spans="1:10" x14ac:dyDescent="0.25">
      <c r="A7354" t="s">
        <v>27</v>
      </c>
      <c r="B7354" t="s">
        <v>11</v>
      </c>
      <c r="C7354" t="s">
        <v>18</v>
      </c>
      <c r="D7354" t="s">
        <v>13</v>
      </c>
      <c r="E7354">
        <v>0.90011017260374504</v>
      </c>
      <c r="F7354">
        <v>0.91284919609853099</v>
      </c>
      <c r="G7354">
        <v>807.34944534301701</v>
      </c>
      <c r="H7354">
        <v>59</v>
      </c>
      <c r="I7354">
        <v>89</v>
      </c>
      <c r="J7354">
        <v>30</v>
      </c>
    </row>
    <row r="7355" spans="1:10" x14ac:dyDescent="0.25">
      <c r="A7355" t="s">
        <v>27</v>
      </c>
      <c r="B7355" t="s">
        <v>11</v>
      </c>
      <c r="C7355" t="s">
        <v>18</v>
      </c>
      <c r="D7355" t="s">
        <v>13</v>
      </c>
      <c r="E7355">
        <v>0.89533602644142396</v>
      </c>
      <c r="F7355">
        <v>0.91699276158876197</v>
      </c>
      <c r="G7355">
        <v>819.32736158370903</v>
      </c>
      <c r="H7355">
        <v>48</v>
      </c>
      <c r="I7355">
        <v>87</v>
      </c>
      <c r="J7355">
        <v>30</v>
      </c>
    </row>
    <row r="7356" spans="1:10" x14ac:dyDescent="0.25">
      <c r="A7356" t="s">
        <v>27</v>
      </c>
      <c r="B7356" t="s">
        <v>11</v>
      </c>
      <c r="C7356" t="s">
        <v>18</v>
      </c>
      <c r="D7356" t="s">
        <v>13</v>
      </c>
      <c r="E7356">
        <v>0.89753947851634197</v>
      </c>
      <c r="F7356">
        <v>0.91368642912262199</v>
      </c>
      <c r="G7356">
        <v>823.60923409461896</v>
      </c>
      <c r="H7356">
        <v>58</v>
      </c>
      <c r="I7356">
        <v>94</v>
      </c>
      <c r="J7356">
        <v>30</v>
      </c>
    </row>
    <row r="7357" spans="1:10" x14ac:dyDescent="0.25">
      <c r="A7357" t="s">
        <v>27</v>
      </c>
      <c r="B7357" t="s">
        <v>11</v>
      </c>
      <c r="C7357" t="s">
        <v>18</v>
      </c>
      <c r="D7357" t="s">
        <v>13</v>
      </c>
      <c r="E7357">
        <v>0.91883951524054297</v>
      </c>
      <c r="F7357">
        <v>0.92791007030738304</v>
      </c>
      <c r="G7357">
        <v>854.734079360961</v>
      </c>
      <c r="H7357">
        <v>58</v>
      </c>
      <c r="I7357">
        <v>88</v>
      </c>
      <c r="J7357">
        <v>30</v>
      </c>
    </row>
    <row r="7358" spans="1:10" x14ac:dyDescent="0.25">
      <c r="A7358" t="s">
        <v>27</v>
      </c>
      <c r="B7358" t="s">
        <v>11</v>
      </c>
      <c r="C7358" t="s">
        <v>18</v>
      </c>
      <c r="D7358" t="s">
        <v>13</v>
      </c>
      <c r="E7358">
        <v>0.903415350716121</v>
      </c>
      <c r="F7358">
        <v>0.91527908587528595</v>
      </c>
      <c r="G7358">
        <v>863.82473611831597</v>
      </c>
      <c r="H7358">
        <v>79</v>
      </c>
      <c r="I7358">
        <v>124</v>
      </c>
      <c r="J7358">
        <v>30</v>
      </c>
    </row>
    <row r="7359" spans="1:10" x14ac:dyDescent="0.25">
      <c r="A7359" t="s">
        <v>27</v>
      </c>
      <c r="B7359" t="s">
        <v>11</v>
      </c>
      <c r="C7359" t="s">
        <v>18</v>
      </c>
      <c r="D7359" t="s">
        <v>13</v>
      </c>
      <c r="E7359">
        <v>0.87403598971722296</v>
      </c>
      <c r="F7359">
        <v>0.91592567545996995</v>
      </c>
      <c r="G7359">
        <v>864.63321590423504</v>
      </c>
      <c r="H7359">
        <v>28</v>
      </c>
      <c r="I7359">
        <v>45</v>
      </c>
      <c r="J7359">
        <v>30</v>
      </c>
    </row>
    <row r="7360" spans="1:10" x14ac:dyDescent="0.25">
      <c r="A7360" t="s">
        <v>27</v>
      </c>
      <c r="B7360" t="s">
        <v>11</v>
      </c>
      <c r="C7360" t="s">
        <v>18</v>
      </c>
      <c r="D7360" t="s">
        <v>13</v>
      </c>
      <c r="E7360">
        <v>0.902680866691149</v>
      </c>
      <c r="F7360">
        <v>0.92310091549232598</v>
      </c>
      <c r="G7360">
        <v>875.69066333770695</v>
      </c>
      <c r="H7360">
        <v>50</v>
      </c>
      <c r="I7360">
        <v>88</v>
      </c>
      <c r="J7360">
        <v>30</v>
      </c>
    </row>
    <row r="7361" spans="1:10" x14ac:dyDescent="0.25">
      <c r="A7361" t="s">
        <v>27</v>
      </c>
      <c r="B7361" t="s">
        <v>11</v>
      </c>
      <c r="C7361" t="s">
        <v>18</v>
      </c>
      <c r="D7361" t="s">
        <v>13</v>
      </c>
      <c r="E7361">
        <v>0.88909291222915898</v>
      </c>
      <c r="F7361">
        <v>0.91996027374157197</v>
      </c>
      <c r="G7361">
        <v>879.11952376365605</v>
      </c>
      <c r="H7361">
        <v>30</v>
      </c>
      <c r="I7361">
        <v>54</v>
      </c>
      <c r="J7361">
        <v>30</v>
      </c>
    </row>
    <row r="7362" spans="1:10" x14ac:dyDescent="0.25">
      <c r="A7362" t="s">
        <v>27</v>
      </c>
      <c r="B7362" t="s">
        <v>11</v>
      </c>
      <c r="C7362" t="s">
        <v>18</v>
      </c>
      <c r="D7362" t="s">
        <v>13</v>
      </c>
      <c r="E7362">
        <v>0.89974293059125898</v>
      </c>
      <c r="F7362">
        <v>0.91312397819026603</v>
      </c>
      <c r="G7362">
        <v>885.82843255996704</v>
      </c>
      <c r="H7362">
        <v>29</v>
      </c>
      <c r="I7362">
        <v>48</v>
      </c>
      <c r="J7362">
        <v>30</v>
      </c>
    </row>
    <row r="7363" spans="1:10" x14ac:dyDescent="0.25">
      <c r="A7363" t="s">
        <v>27</v>
      </c>
      <c r="B7363" t="s">
        <v>11</v>
      </c>
      <c r="C7363" t="s">
        <v>18</v>
      </c>
      <c r="D7363" t="s">
        <v>13</v>
      </c>
      <c r="E7363">
        <v>0.89900844656628698</v>
      </c>
      <c r="F7363">
        <v>0.91248405371414099</v>
      </c>
      <c r="G7363">
        <v>897.92623734474103</v>
      </c>
      <c r="H7363">
        <v>65</v>
      </c>
      <c r="I7363">
        <v>113</v>
      </c>
      <c r="J7363">
        <v>30</v>
      </c>
    </row>
    <row r="7364" spans="1:10" x14ac:dyDescent="0.25">
      <c r="A7364" t="s">
        <v>27</v>
      </c>
      <c r="B7364" t="s">
        <v>11</v>
      </c>
      <c r="C7364" t="s">
        <v>18</v>
      </c>
      <c r="D7364" t="s">
        <v>13</v>
      </c>
      <c r="E7364">
        <v>0.91112743297833199</v>
      </c>
      <c r="F7364">
        <v>0.92486441414524401</v>
      </c>
      <c r="G7364">
        <v>902.94322872161797</v>
      </c>
      <c r="H7364">
        <v>69</v>
      </c>
      <c r="I7364">
        <v>105</v>
      </c>
      <c r="J7364">
        <v>30</v>
      </c>
    </row>
    <row r="7365" spans="1:10" x14ac:dyDescent="0.25">
      <c r="A7365" t="s">
        <v>27</v>
      </c>
      <c r="B7365" t="s">
        <v>11</v>
      </c>
      <c r="C7365" t="s">
        <v>18</v>
      </c>
      <c r="D7365" t="s">
        <v>13</v>
      </c>
      <c r="E7365">
        <v>0.89974293059125898</v>
      </c>
      <c r="F7365">
        <v>0.91275692216577098</v>
      </c>
      <c r="G7365">
        <v>916.29824185371399</v>
      </c>
      <c r="H7365">
        <v>48</v>
      </c>
      <c r="I7365">
        <v>73</v>
      </c>
      <c r="J7365">
        <v>30</v>
      </c>
    </row>
    <row r="7366" spans="1:10" x14ac:dyDescent="0.25">
      <c r="A7366" t="s">
        <v>27</v>
      </c>
      <c r="B7366" t="s">
        <v>11</v>
      </c>
      <c r="C7366" t="s">
        <v>18</v>
      </c>
      <c r="D7366" t="s">
        <v>13</v>
      </c>
      <c r="E7366">
        <v>0.89239809034153506</v>
      </c>
      <c r="F7366">
        <v>0.91185366367535903</v>
      </c>
      <c r="G7366">
        <v>918.94484305381695</v>
      </c>
      <c r="H7366">
        <v>35</v>
      </c>
      <c r="I7366">
        <v>60</v>
      </c>
      <c r="J7366">
        <v>30</v>
      </c>
    </row>
    <row r="7367" spans="1:10" x14ac:dyDescent="0.25">
      <c r="A7367" t="s">
        <v>27</v>
      </c>
      <c r="B7367" t="s">
        <v>11</v>
      </c>
      <c r="C7367" t="s">
        <v>18</v>
      </c>
      <c r="D7367" t="s">
        <v>13</v>
      </c>
      <c r="E7367">
        <v>0.88615497612926897</v>
      </c>
      <c r="F7367">
        <v>0.920249985588946</v>
      </c>
      <c r="G7367">
        <v>921.79530334472599</v>
      </c>
      <c r="H7367">
        <v>28</v>
      </c>
      <c r="I7367">
        <v>48</v>
      </c>
      <c r="J7367">
        <v>30</v>
      </c>
    </row>
    <row r="7368" spans="1:10" x14ac:dyDescent="0.25">
      <c r="A7368" t="s">
        <v>27</v>
      </c>
      <c r="B7368" t="s">
        <v>11</v>
      </c>
      <c r="C7368" t="s">
        <v>18</v>
      </c>
      <c r="D7368" t="s">
        <v>13</v>
      </c>
      <c r="E7368">
        <v>0.87440323172970902</v>
      </c>
      <c r="F7368">
        <v>0.92199611903565704</v>
      </c>
      <c r="G7368">
        <v>923.30750417709305</v>
      </c>
      <c r="H7368">
        <v>25</v>
      </c>
      <c r="I7368">
        <v>43</v>
      </c>
      <c r="J7368">
        <v>30</v>
      </c>
    </row>
    <row r="7369" spans="1:10" x14ac:dyDescent="0.25">
      <c r="A7369" t="s">
        <v>27</v>
      </c>
      <c r="B7369" t="s">
        <v>11</v>
      </c>
      <c r="C7369" t="s">
        <v>18</v>
      </c>
      <c r="D7369" t="s">
        <v>13</v>
      </c>
      <c r="E7369">
        <v>0.89753947851634197</v>
      </c>
      <c r="F7369">
        <v>0.92567923658307005</v>
      </c>
      <c r="G7369">
        <v>931.66885066032398</v>
      </c>
      <c r="H7369">
        <v>39</v>
      </c>
      <c r="I7369">
        <v>70</v>
      </c>
      <c r="J7369">
        <v>30</v>
      </c>
    </row>
    <row r="7370" spans="1:10" x14ac:dyDescent="0.25">
      <c r="A7370" t="s">
        <v>27</v>
      </c>
      <c r="B7370" t="s">
        <v>11</v>
      </c>
      <c r="C7370" t="s">
        <v>18</v>
      </c>
      <c r="D7370" t="s">
        <v>13</v>
      </c>
      <c r="E7370">
        <v>0.903415350716121</v>
      </c>
      <c r="F7370">
        <v>0.91783144703643105</v>
      </c>
      <c r="G7370">
        <v>933.13675093650795</v>
      </c>
      <c r="H7370">
        <v>84</v>
      </c>
      <c r="I7370">
        <v>144</v>
      </c>
      <c r="J7370">
        <v>30</v>
      </c>
    </row>
    <row r="7371" spans="1:10" x14ac:dyDescent="0.25">
      <c r="A7371" t="s">
        <v>27</v>
      </c>
      <c r="B7371" t="s">
        <v>11</v>
      </c>
      <c r="C7371" t="s">
        <v>18</v>
      </c>
      <c r="D7371" t="s">
        <v>13</v>
      </c>
      <c r="E7371">
        <v>0.87183253764230595</v>
      </c>
      <c r="F7371">
        <v>0.90616418806779298</v>
      </c>
      <c r="G7371">
        <v>934.42570734024002</v>
      </c>
      <c r="H7371">
        <v>23</v>
      </c>
      <c r="I7371">
        <v>43</v>
      </c>
      <c r="J7371">
        <v>30</v>
      </c>
    </row>
    <row r="7372" spans="1:10" x14ac:dyDescent="0.25">
      <c r="A7372" t="s">
        <v>27</v>
      </c>
      <c r="B7372" t="s">
        <v>11</v>
      </c>
      <c r="C7372" t="s">
        <v>18</v>
      </c>
      <c r="D7372" t="s">
        <v>13</v>
      </c>
      <c r="E7372">
        <v>0.89349981637899301</v>
      </c>
      <c r="F7372">
        <v>0.909009772108336</v>
      </c>
      <c r="G7372">
        <v>936.54346203804005</v>
      </c>
      <c r="H7372">
        <v>58</v>
      </c>
      <c r="I7372">
        <v>100</v>
      </c>
      <c r="J7372">
        <v>30</v>
      </c>
    </row>
    <row r="7373" spans="1:10" x14ac:dyDescent="0.25">
      <c r="A7373" t="s">
        <v>27</v>
      </c>
      <c r="B7373" t="s">
        <v>11</v>
      </c>
      <c r="C7373" t="s">
        <v>18</v>
      </c>
      <c r="D7373" t="s">
        <v>13</v>
      </c>
      <c r="E7373">
        <v>0.89239809034153506</v>
      </c>
      <c r="F7373">
        <v>0.92271068132159295</v>
      </c>
      <c r="G7373">
        <v>936.569739818573</v>
      </c>
      <c r="H7373">
        <v>24</v>
      </c>
      <c r="I7373">
        <v>46</v>
      </c>
      <c r="J7373">
        <v>30</v>
      </c>
    </row>
    <row r="7374" spans="1:10" x14ac:dyDescent="0.25">
      <c r="A7374" t="s">
        <v>27</v>
      </c>
      <c r="B7374" t="s">
        <v>11</v>
      </c>
      <c r="C7374" t="s">
        <v>18</v>
      </c>
      <c r="D7374" t="s">
        <v>13</v>
      </c>
      <c r="E7374">
        <v>0.90378259272860795</v>
      </c>
      <c r="F7374">
        <v>0.91792393874260003</v>
      </c>
      <c r="G7374">
        <v>946.07514595985401</v>
      </c>
      <c r="H7374">
        <v>62</v>
      </c>
      <c r="I7374">
        <v>105</v>
      </c>
      <c r="J7374">
        <v>30</v>
      </c>
    </row>
    <row r="7375" spans="1:10" x14ac:dyDescent="0.25">
      <c r="A7375" t="s">
        <v>27</v>
      </c>
      <c r="B7375" t="s">
        <v>11</v>
      </c>
      <c r="C7375" t="s">
        <v>18</v>
      </c>
      <c r="D7375" t="s">
        <v>13</v>
      </c>
      <c r="E7375">
        <v>0.87623944179214097</v>
      </c>
      <c r="F7375">
        <v>0.91432001548971698</v>
      </c>
      <c r="G7375">
        <v>946.25838589668194</v>
      </c>
      <c r="H7375">
        <v>33</v>
      </c>
      <c r="I7375">
        <v>51</v>
      </c>
      <c r="J7375">
        <v>30</v>
      </c>
    </row>
    <row r="7376" spans="1:10" x14ac:dyDescent="0.25">
      <c r="A7376" t="s">
        <v>27</v>
      </c>
      <c r="B7376" t="s">
        <v>11</v>
      </c>
      <c r="C7376" t="s">
        <v>18</v>
      </c>
      <c r="D7376" t="s">
        <v>13</v>
      </c>
      <c r="E7376">
        <v>0.90525156077855296</v>
      </c>
      <c r="F7376">
        <v>0.92028169996801201</v>
      </c>
      <c r="G7376">
        <v>949.35486674308697</v>
      </c>
      <c r="H7376">
        <v>78</v>
      </c>
      <c r="I7376">
        <v>131</v>
      </c>
      <c r="J7376">
        <v>30</v>
      </c>
    </row>
    <row r="7377" spans="1:10" x14ac:dyDescent="0.25">
      <c r="A7377" t="s">
        <v>27</v>
      </c>
      <c r="B7377" t="s">
        <v>11</v>
      </c>
      <c r="C7377" t="s">
        <v>18</v>
      </c>
      <c r="D7377" t="s">
        <v>13</v>
      </c>
      <c r="E7377">
        <v>0.90965846492838698</v>
      </c>
      <c r="F7377">
        <v>0.91971713858057202</v>
      </c>
      <c r="G7377">
        <v>957.91769838333096</v>
      </c>
      <c r="H7377">
        <v>46</v>
      </c>
      <c r="I7377">
        <v>68</v>
      </c>
      <c r="J7377">
        <v>30</v>
      </c>
    </row>
    <row r="7378" spans="1:10" x14ac:dyDescent="0.25">
      <c r="A7378" t="s">
        <v>27</v>
      </c>
      <c r="B7378" t="s">
        <v>11</v>
      </c>
      <c r="C7378" t="s">
        <v>18</v>
      </c>
      <c r="D7378" t="s">
        <v>13</v>
      </c>
      <c r="E7378">
        <v>0.90084465662871804</v>
      </c>
      <c r="F7378">
        <v>0.91471295856004398</v>
      </c>
      <c r="G7378">
        <v>959.39610457420304</v>
      </c>
      <c r="H7378">
        <v>53</v>
      </c>
      <c r="I7378">
        <v>85</v>
      </c>
      <c r="J7378">
        <v>30</v>
      </c>
    </row>
    <row r="7379" spans="1:10" x14ac:dyDescent="0.25">
      <c r="A7379" t="s">
        <v>27</v>
      </c>
      <c r="B7379" t="s">
        <v>11</v>
      </c>
      <c r="C7379" t="s">
        <v>18</v>
      </c>
      <c r="D7379" t="s">
        <v>13</v>
      </c>
      <c r="E7379">
        <v>0.88431876606683801</v>
      </c>
      <c r="F7379">
        <v>0.91325290425324801</v>
      </c>
      <c r="G7379">
        <v>964.55052232742298</v>
      </c>
      <c r="H7379">
        <v>29</v>
      </c>
      <c r="I7379">
        <v>55</v>
      </c>
      <c r="J7379">
        <v>30</v>
      </c>
    </row>
    <row r="7380" spans="1:10" x14ac:dyDescent="0.25">
      <c r="A7380" t="s">
        <v>27</v>
      </c>
      <c r="B7380" t="s">
        <v>11</v>
      </c>
      <c r="C7380" t="s">
        <v>18</v>
      </c>
      <c r="D7380" t="s">
        <v>13</v>
      </c>
      <c r="E7380">
        <v>0.88872567021667204</v>
      </c>
      <c r="F7380">
        <v>0.90460988194157199</v>
      </c>
      <c r="G7380">
        <v>969.16388106346096</v>
      </c>
      <c r="H7380">
        <v>40</v>
      </c>
      <c r="I7380">
        <v>57</v>
      </c>
      <c r="J7380">
        <v>30</v>
      </c>
    </row>
    <row r="7381" spans="1:10" x14ac:dyDescent="0.25">
      <c r="A7381" t="s">
        <v>27</v>
      </c>
      <c r="B7381" t="s">
        <v>11</v>
      </c>
      <c r="C7381" t="s">
        <v>18</v>
      </c>
      <c r="D7381" t="s">
        <v>13</v>
      </c>
      <c r="E7381">
        <v>0.89460154241645196</v>
      </c>
      <c r="F7381">
        <v>0.91931228021850897</v>
      </c>
      <c r="G7381">
        <v>970.80372452735901</v>
      </c>
      <c r="H7381">
        <v>40</v>
      </c>
      <c r="I7381">
        <v>72</v>
      </c>
      <c r="J7381">
        <v>30</v>
      </c>
    </row>
    <row r="7382" spans="1:10" x14ac:dyDescent="0.25">
      <c r="A7382" t="s">
        <v>27</v>
      </c>
      <c r="B7382" t="s">
        <v>11</v>
      </c>
      <c r="C7382" t="s">
        <v>18</v>
      </c>
      <c r="D7382" t="s">
        <v>14</v>
      </c>
      <c r="E7382">
        <v>9.2177745134043296E-2</v>
      </c>
      <c r="F7382">
        <v>0.77303871256173196</v>
      </c>
      <c r="G7382">
        <v>6.9553306102752597</v>
      </c>
      <c r="H7382">
        <v>1</v>
      </c>
      <c r="I7382">
        <v>1</v>
      </c>
      <c r="J7382">
        <v>30</v>
      </c>
    </row>
    <row r="7383" spans="1:10" x14ac:dyDescent="0.25">
      <c r="A7383" t="s">
        <v>27</v>
      </c>
      <c r="B7383" t="s">
        <v>11</v>
      </c>
      <c r="C7383" t="s">
        <v>18</v>
      </c>
      <c r="D7383" t="s">
        <v>14</v>
      </c>
      <c r="E7383">
        <v>0.113110539845758</v>
      </c>
      <c r="F7383">
        <v>0.77772945578406205</v>
      </c>
      <c r="G7383">
        <v>6.88140845298767</v>
      </c>
      <c r="H7383">
        <v>1</v>
      </c>
      <c r="I7383">
        <v>1</v>
      </c>
      <c r="J7383">
        <v>30</v>
      </c>
    </row>
    <row r="7384" spans="1:10" x14ac:dyDescent="0.25">
      <c r="A7384" t="s">
        <v>27</v>
      </c>
      <c r="B7384" t="s">
        <v>11</v>
      </c>
      <c r="C7384" t="s">
        <v>18</v>
      </c>
      <c r="D7384" t="s">
        <v>14</v>
      </c>
      <c r="E7384">
        <v>0.118986412045538</v>
      </c>
      <c r="F7384">
        <v>0.77839185037734104</v>
      </c>
      <c r="G7384">
        <v>7.3258812427520699</v>
      </c>
      <c r="H7384">
        <v>1</v>
      </c>
      <c r="I7384">
        <v>1</v>
      </c>
      <c r="J7384">
        <v>30</v>
      </c>
    </row>
    <row r="7385" spans="1:10" x14ac:dyDescent="0.25">
      <c r="A7385" t="s">
        <v>27</v>
      </c>
      <c r="B7385" t="s">
        <v>11</v>
      </c>
      <c r="C7385" t="s">
        <v>18</v>
      </c>
      <c r="D7385" t="s">
        <v>14</v>
      </c>
      <c r="E7385">
        <v>0.10025706940874</v>
      </c>
      <c r="F7385">
        <v>0.77451874081895</v>
      </c>
      <c r="G7385">
        <v>7.5144999027252197</v>
      </c>
      <c r="H7385">
        <v>1</v>
      </c>
      <c r="I7385">
        <v>1</v>
      </c>
      <c r="J7385">
        <v>30</v>
      </c>
    </row>
    <row r="7386" spans="1:10" x14ac:dyDescent="0.25">
      <c r="A7386" t="s">
        <v>27</v>
      </c>
      <c r="B7386" t="s">
        <v>11</v>
      </c>
      <c r="C7386" t="s">
        <v>18</v>
      </c>
      <c r="D7386" t="s">
        <v>14</v>
      </c>
      <c r="E7386">
        <v>0.117884686008079</v>
      </c>
      <c r="F7386">
        <v>0.77892232665431305</v>
      </c>
      <c r="G7386">
        <v>7.4576547145843497</v>
      </c>
      <c r="H7386">
        <v>1</v>
      </c>
      <c r="I7386">
        <v>1</v>
      </c>
      <c r="J7386">
        <v>30</v>
      </c>
    </row>
    <row r="7387" spans="1:10" x14ac:dyDescent="0.25">
      <c r="A7387" t="s">
        <v>27</v>
      </c>
      <c r="B7387" t="s">
        <v>11</v>
      </c>
      <c r="C7387" t="s">
        <v>18</v>
      </c>
      <c r="D7387" t="s">
        <v>14</v>
      </c>
      <c r="E7387">
        <v>0.120822622107969</v>
      </c>
      <c r="F7387">
        <v>0.77912066198046204</v>
      </c>
      <c r="G7387">
        <v>7.2410531044006303</v>
      </c>
      <c r="H7387">
        <v>1</v>
      </c>
      <c r="I7387">
        <v>1</v>
      </c>
      <c r="J7387">
        <v>30</v>
      </c>
    </row>
    <row r="7388" spans="1:10" x14ac:dyDescent="0.25">
      <c r="A7388" t="s">
        <v>27</v>
      </c>
      <c r="B7388" t="s">
        <v>11</v>
      </c>
      <c r="C7388" t="s">
        <v>18</v>
      </c>
      <c r="D7388" t="s">
        <v>14</v>
      </c>
      <c r="E7388">
        <v>0.12192434814542701</v>
      </c>
      <c r="F7388">
        <v>0.77833356913330998</v>
      </c>
      <c r="G7388">
        <v>7.6646883487701398</v>
      </c>
      <c r="H7388">
        <v>1</v>
      </c>
      <c r="I7388">
        <v>1</v>
      </c>
      <c r="J7388">
        <v>30</v>
      </c>
    </row>
    <row r="7389" spans="1:10" x14ac:dyDescent="0.25">
      <c r="A7389" t="s">
        <v>27</v>
      </c>
      <c r="B7389" t="s">
        <v>11</v>
      </c>
      <c r="C7389" t="s">
        <v>18</v>
      </c>
      <c r="D7389" t="s">
        <v>14</v>
      </c>
      <c r="E7389">
        <v>0.11127432978332701</v>
      </c>
      <c r="F7389">
        <v>0.77727065043775401</v>
      </c>
      <c r="G7389">
        <v>7.7212717533111501</v>
      </c>
      <c r="H7389">
        <v>1</v>
      </c>
      <c r="I7389">
        <v>1</v>
      </c>
      <c r="J7389">
        <v>30</v>
      </c>
    </row>
    <row r="7390" spans="1:10" x14ac:dyDescent="0.25">
      <c r="A7390" t="s">
        <v>27</v>
      </c>
      <c r="B7390" t="s">
        <v>11</v>
      </c>
      <c r="C7390" t="s">
        <v>18</v>
      </c>
      <c r="D7390" t="s">
        <v>14</v>
      </c>
      <c r="E7390">
        <v>0.121557106132941</v>
      </c>
      <c r="F7390">
        <v>0.77957272444362902</v>
      </c>
      <c r="G7390">
        <v>7.9070184230804399</v>
      </c>
      <c r="H7390">
        <v>1</v>
      </c>
      <c r="I7390">
        <v>1</v>
      </c>
      <c r="J7390">
        <v>30</v>
      </c>
    </row>
    <row r="7391" spans="1:10" x14ac:dyDescent="0.25">
      <c r="A7391" t="s">
        <v>27</v>
      </c>
      <c r="B7391" t="s">
        <v>11</v>
      </c>
      <c r="C7391" t="s">
        <v>18</v>
      </c>
      <c r="D7391" t="s">
        <v>14</v>
      </c>
      <c r="E7391">
        <v>0.123026074182886</v>
      </c>
      <c r="F7391">
        <v>0.78020691392831298</v>
      </c>
      <c r="G7391">
        <v>7.8715679645538303</v>
      </c>
      <c r="H7391">
        <v>1</v>
      </c>
      <c r="I7391">
        <v>1</v>
      </c>
      <c r="J7391">
        <v>30</v>
      </c>
    </row>
    <row r="7392" spans="1:10" x14ac:dyDescent="0.25">
      <c r="A7392" t="s">
        <v>27</v>
      </c>
      <c r="B7392" t="s">
        <v>11</v>
      </c>
      <c r="C7392" t="s">
        <v>18</v>
      </c>
      <c r="D7392" t="s">
        <v>14</v>
      </c>
      <c r="E7392">
        <v>9.8788101358795399E-2</v>
      </c>
      <c r="F7392">
        <v>0.77442182367682599</v>
      </c>
      <c r="G7392">
        <v>8.2858550548553396</v>
      </c>
      <c r="H7392">
        <v>1</v>
      </c>
      <c r="I7392">
        <v>1</v>
      </c>
      <c r="J7392">
        <v>30</v>
      </c>
    </row>
    <row r="7393" spans="1:10" x14ac:dyDescent="0.25">
      <c r="A7393" t="s">
        <v>27</v>
      </c>
      <c r="B7393" t="s">
        <v>11</v>
      </c>
      <c r="C7393" t="s">
        <v>18</v>
      </c>
      <c r="D7393" t="s">
        <v>14</v>
      </c>
      <c r="E7393">
        <v>9.8053617333822896E-2</v>
      </c>
      <c r="F7393">
        <v>0.77450402566184195</v>
      </c>
      <c r="G7393">
        <v>8.4251449108123708</v>
      </c>
      <c r="H7393">
        <v>1</v>
      </c>
      <c r="I7393">
        <v>1</v>
      </c>
      <c r="J7393">
        <v>30</v>
      </c>
    </row>
    <row r="7394" spans="1:10" x14ac:dyDescent="0.25">
      <c r="A7394" t="s">
        <v>27</v>
      </c>
      <c r="B7394" t="s">
        <v>11</v>
      </c>
      <c r="C7394" t="s">
        <v>18</v>
      </c>
      <c r="D7394" t="s">
        <v>14</v>
      </c>
      <c r="E7394">
        <v>9.1810503121557099E-2</v>
      </c>
      <c r="F7394">
        <v>0.77267784104238002</v>
      </c>
      <c r="G7394">
        <v>8.4156894683837802</v>
      </c>
      <c r="H7394">
        <v>1</v>
      </c>
      <c r="I7394">
        <v>1</v>
      </c>
      <c r="J7394">
        <v>30</v>
      </c>
    </row>
    <row r="7395" spans="1:10" x14ac:dyDescent="0.25">
      <c r="A7395" t="s">
        <v>27</v>
      </c>
      <c r="B7395" t="s">
        <v>11</v>
      </c>
      <c r="C7395" t="s">
        <v>18</v>
      </c>
      <c r="D7395" t="s">
        <v>14</v>
      </c>
      <c r="E7395">
        <v>0.109805361733382</v>
      </c>
      <c r="F7395">
        <v>0.77743505054439999</v>
      </c>
      <c r="G7395">
        <v>8.3175282478332502</v>
      </c>
      <c r="H7395">
        <v>1</v>
      </c>
      <c r="I7395">
        <v>1</v>
      </c>
      <c r="J7395">
        <v>30</v>
      </c>
    </row>
    <row r="7396" spans="1:10" x14ac:dyDescent="0.25">
      <c r="A7396" t="s">
        <v>27</v>
      </c>
      <c r="B7396" t="s">
        <v>11</v>
      </c>
      <c r="C7396" t="s">
        <v>18</v>
      </c>
      <c r="D7396" t="s">
        <v>14</v>
      </c>
      <c r="E7396">
        <v>0.107969151670951</v>
      </c>
      <c r="F7396">
        <v>0.77644479868732896</v>
      </c>
      <c r="G7396">
        <v>8.3776950836181605</v>
      </c>
      <c r="H7396">
        <v>1</v>
      </c>
      <c r="I7396">
        <v>1</v>
      </c>
      <c r="J7396">
        <v>30</v>
      </c>
    </row>
    <row r="7397" spans="1:10" x14ac:dyDescent="0.25">
      <c r="A7397" t="s">
        <v>27</v>
      </c>
      <c r="B7397" t="s">
        <v>11</v>
      </c>
      <c r="C7397" t="s">
        <v>18</v>
      </c>
      <c r="D7397" t="s">
        <v>14</v>
      </c>
      <c r="E7397">
        <v>0.12669849430774799</v>
      </c>
      <c r="F7397">
        <v>0.77979338160440803</v>
      </c>
      <c r="G7397">
        <v>8.4846343994140607</v>
      </c>
      <c r="H7397">
        <v>1</v>
      </c>
      <c r="I7397">
        <v>1</v>
      </c>
      <c r="J7397">
        <v>30</v>
      </c>
    </row>
    <row r="7398" spans="1:10" x14ac:dyDescent="0.25">
      <c r="A7398" t="s">
        <v>27</v>
      </c>
      <c r="B7398" t="s">
        <v>11</v>
      </c>
      <c r="C7398" t="s">
        <v>18</v>
      </c>
      <c r="D7398" t="s">
        <v>14</v>
      </c>
      <c r="E7398">
        <v>9.4013955196474402E-2</v>
      </c>
      <c r="F7398">
        <v>0.772958224338964</v>
      </c>
      <c r="G7398">
        <v>8.5060377120971609</v>
      </c>
      <c r="H7398">
        <v>1</v>
      </c>
      <c r="I7398">
        <v>1</v>
      </c>
      <c r="J7398">
        <v>30</v>
      </c>
    </row>
    <row r="7399" spans="1:10" x14ac:dyDescent="0.25">
      <c r="A7399" t="s">
        <v>27</v>
      </c>
      <c r="B7399" t="s">
        <v>11</v>
      </c>
      <c r="C7399" t="s">
        <v>18</v>
      </c>
      <c r="D7399" t="s">
        <v>14</v>
      </c>
      <c r="E7399">
        <v>0.104296731546088</v>
      </c>
      <c r="F7399">
        <v>0.77471996412647803</v>
      </c>
      <c r="G7399">
        <v>8.3945794105529696</v>
      </c>
      <c r="H7399">
        <v>1</v>
      </c>
      <c r="I7399">
        <v>1</v>
      </c>
      <c r="J7399">
        <v>30</v>
      </c>
    </row>
    <row r="7400" spans="1:10" x14ac:dyDescent="0.25">
      <c r="A7400" t="s">
        <v>27</v>
      </c>
      <c r="B7400" t="s">
        <v>11</v>
      </c>
      <c r="C7400" t="s">
        <v>18</v>
      </c>
      <c r="D7400" t="s">
        <v>14</v>
      </c>
      <c r="E7400">
        <v>0.11384502387073001</v>
      </c>
      <c r="F7400">
        <v>0.77817916645244301</v>
      </c>
      <c r="G7400">
        <v>8.5136291980743408</v>
      </c>
      <c r="H7400">
        <v>1</v>
      </c>
      <c r="I7400">
        <v>1</v>
      </c>
      <c r="J7400">
        <v>30</v>
      </c>
    </row>
    <row r="7401" spans="1:10" x14ac:dyDescent="0.25">
      <c r="A7401" t="s">
        <v>27</v>
      </c>
      <c r="B7401" t="s">
        <v>11</v>
      </c>
      <c r="C7401" t="s">
        <v>18</v>
      </c>
      <c r="D7401" t="s">
        <v>14</v>
      </c>
      <c r="E7401">
        <v>0.11127432978332701</v>
      </c>
      <c r="F7401">
        <v>0.77753694249930005</v>
      </c>
      <c r="G7401">
        <v>8.4309947490692103</v>
      </c>
      <c r="H7401">
        <v>1</v>
      </c>
      <c r="I7401">
        <v>1</v>
      </c>
      <c r="J7401">
        <v>30</v>
      </c>
    </row>
    <row r="7402" spans="1:10" x14ac:dyDescent="0.25">
      <c r="A7402" t="s">
        <v>27</v>
      </c>
      <c r="B7402" t="s">
        <v>11</v>
      </c>
      <c r="C7402" t="s">
        <v>18</v>
      </c>
      <c r="D7402" t="s">
        <v>14</v>
      </c>
      <c r="E7402">
        <v>0.108336393683437</v>
      </c>
      <c r="F7402">
        <v>0.77626888785978698</v>
      </c>
      <c r="G7402">
        <v>8.4873473644256592</v>
      </c>
      <c r="H7402">
        <v>1</v>
      </c>
      <c r="I7402">
        <v>1</v>
      </c>
      <c r="J7402">
        <v>30</v>
      </c>
    </row>
    <row r="7403" spans="1:10" x14ac:dyDescent="0.25">
      <c r="A7403" t="s">
        <v>27</v>
      </c>
      <c r="B7403" t="s">
        <v>11</v>
      </c>
      <c r="C7403" t="s">
        <v>18</v>
      </c>
      <c r="D7403" t="s">
        <v>14</v>
      </c>
      <c r="E7403">
        <v>0.113110539845758</v>
      </c>
      <c r="F7403">
        <v>0.77719376455380196</v>
      </c>
      <c r="G7403">
        <v>8.5295932292938197</v>
      </c>
      <c r="H7403">
        <v>1</v>
      </c>
      <c r="I7403">
        <v>1</v>
      </c>
      <c r="J7403">
        <v>30</v>
      </c>
    </row>
    <row r="7404" spans="1:10" x14ac:dyDescent="0.25">
      <c r="A7404" t="s">
        <v>27</v>
      </c>
      <c r="B7404" t="s">
        <v>11</v>
      </c>
      <c r="C7404" t="s">
        <v>18</v>
      </c>
      <c r="D7404" t="s">
        <v>14</v>
      </c>
      <c r="E7404">
        <v>0.118986412045538</v>
      </c>
      <c r="F7404">
        <v>0.77839306308101297</v>
      </c>
      <c r="G7404">
        <v>8.7490334510803205</v>
      </c>
      <c r="H7404">
        <v>1</v>
      </c>
      <c r="I7404">
        <v>1</v>
      </c>
      <c r="J7404">
        <v>30</v>
      </c>
    </row>
    <row r="7405" spans="1:10" x14ac:dyDescent="0.25">
      <c r="A7405" t="s">
        <v>27</v>
      </c>
      <c r="B7405" t="s">
        <v>11</v>
      </c>
      <c r="C7405" t="s">
        <v>18</v>
      </c>
      <c r="D7405" t="s">
        <v>14</v>
      </c>
      <c r="E7405">
        <v>9.8053617333822896E-2</v>
      </c>
      <c r="F7405">
        <v>0.77342522707073003</v>
      </c>
      <c r="G7405">
        <v>8.6765413284301705</v>
      </c>
      <c r="H7405">
        <v>1</v>
      </c>
      <c r="I7405">
        <v>1</v>
      </c>
      <c r="J7405">
        <v>30</v>
      </c>
    </row>
    <row r="7406" spans="1:10" x14ac:dyDescent="0.25">
      <c r="A7406" t="s">
        <v>27</v>
      </c>
      <c r="B7406" t="s">
        <v>11</v>
      </c>
      <c r="C7406" t="s">
        <v>18</v>
      </c>
      <c r="D7406" t="s">
        <v>14</v>
      </c>
      <c r="E7406">
        <v>0.123393316195372</v>
      </c>
      <c r="F7406">
        <v>0.77870065417172096</v>
      </c>
      <c r="G7406">
        <v>8.5495331287383998</v>
      </c>
      <c r="H7406">
        <v>1</v>
      </c>
      <c r="I7406">
        <v>1</v>
      </c>
      <c r="J7406">
        <v>30</v>
      </c>
    </row>
    <row r="7407" spans="1:10" x14ac:dyDescent="0.25">
      <c r="A7407" t="s">
        <v>27</v>
      </c>
      <c r="B7407" t="s">
        <v>11</v>
      </c>
      <c r="C7407" t="s">
        <v>18</v>
      </c>
      <c r="D7407" t="s">
        <v>14</v>
      </c>
      <c r="E7407">
        <v>0.113477781858244</v>
      </c>
      <c r="F7407">
        <v>0.77728594111079596</v>
      </c>
      <c r="G7407">
        <v>8.5893700122833199</v>
      </c>
      <c r="H7407">
        <v>1</v>
      </c>
      <c r="I7407">
        <v>1</v>
      </c>
      <c r="J7407">
        <v>30</v>
      </c>
    </row>
    <row r="7408" spans="1:10" x14ac:dyDescent="0.25">
      <c r="A7408" t="s">
        <v>27</v>
      </c>
      <c r="B7408" t="s">
        <v>11</v>
      </c>
      <c r="C7408" t="s">
        <v>18</v>
      </c>
      <c r="D7408" t="s">
        <v>14</v>
      </c>
      <c r="E7408">
        <v>0.113477781858244</v>
      </c>
      <c r="F7408">
        <v>0.77701622055291897</v>
      </c>
      <c r="G7408">
        <v>8.8148519992828298</v>
      </c>
      <c r="H7408">
        <v>1</v>
      </c>
      <c r="I7408">
        <v>1</v>
      </c>
      <c r="J7408">
        <v>30</v>
      </c>
    </row>
    <row r="7409" spans="1:10" x14ac:dyDescent="0.25">
      <c r="A7409" t="s">
        <v>27</v>
      </c>
      <c r="B7409" t="s">
        <v>11</v>
      </c>
      <c r="C7409" t="s">
        <v>18</v>
      </c>
      <c r="D7409" t="s">
        <v>14</v>
      </c>
      <c r="E7409">
        <v>0.121189864120455</v>
      </c>
      <c r="F7409">
        <v>0.779480951402865</v>
      </c>
      <c r="G7409">
        <v>8.6675455570220894</v>
      </c>
      <c r="H7409">
        <v>1</v>
      </c>
      <c r="I7409">
        <v>1</v>
      </c>
      <c r="J7409">
        <v>30</v>
      </c>
    </row>
    <row r="7410" spans="1:10" x14ac:dyDescent="0.25">
      <c r="A7410" t="s">
        <v>27</v>
      </c>
      <c r="B7410" t="s">
        <v>11</v>
      </c>
      <c r="C7410" t="s">
        <v>18</v>
      </c>
      <c r="D7410" t="s">
        <v>14</v>
      </c>
      <c r="E7410">
        <v>0.115313991920675</v>
      </c>
      <c r="F7410">
        <v>0.77747388851134602</v>
      </c>
      <c r="G7410">
        <v>8.9983472824096609</v>
      </c>
      <c r="H7410">
        <v>1</v>
      </c>
      <c r="I7410">
        <v>1</v>
      </c>
      <c r="J7410">
        <v>30</v>
      </c>
    </row>
    <row r="7411" spans="1:10" x14ac:dyDescent="0.25">
      <c r="A7411" t="s">
        <v>27</v>
      </c>
      <c r="B7411" t="s">
        <v>11</v>
      </c>
      <c r="C7411" t="s">
        <v>18</v>
      </c>
      <c r="D7411" t="s">
        <v>14</v>
      </c>
      <c r="E7411">
        <v>0.12743297833272099</v>
      </c>
      <c r="F7411">
        <v>0.779153782122182</v>
      </c>
      <c r="G7411">
        <v>8.9423365592956507</v>
      </c>
      <c r="H7411">
        <v>2</v>
      </c>
      <c r="I7411">
        <v>2</v>
      </c>
      <c r="J7411">
        <v>30</v>
      </c>
    </row>
    <row r="7412" spans="1:10" x14ac:dyDescent="0.25">
      <c r="A7412" t="s">
        <v>27</v>
      </c>
      <c r="B7412" t="s">
        <v>11</v>
      </c>
      <c r="C7412" t="s">
        <v>18</v>
      </c>
      <c r="D7412" t="s">
        <v>15</v>
      </c>
      <c r="E7412">
        <v>0</v>
      </c>
      <c r="F7412">
        <v>0.75</v>
      </c>
      <c r="G7412">
        <v>675.67918682098298</v>
      </c>
      <c r="H7412">
        <v>4</v>
      </c>
      <c r="I7412">
        <v>13</v>
      </c>
      <c r="J7412">
        <v>30</v>
      </c>
    </row>
    <row r="7413" spans="1:10" x14ac:dyDescent="0.25">
      <c r="A7413" t="s">
        <v>27</v>
      </c>
      <c r="B7413" t="s">
        <v>11</v>
      </c>
      <c r="C7413" t="s">
        <v>18</v>
      </c>
      <c r="D7413" t="s">
        <v>15</v>
      </c>
      <c r="E7413">
        <v>7.3448402497245605E-4</v>
      </c>
      <c r="F7413">
        <v>0.75003488799118601</v>
      </c>
      <c r="G7413">
        <v>1209.04387331008</v>
      </c>
      <c r="H7413">
        <v>3</v>
      </c>
      <c r="I7413">
        <v>10</v>
      </c>
      <c r="J7413">
        <v>30</v>
      </c>
    </row>
    <row r="7414" spans="1:10" x14ac:dyDescent="0.25">
      <c r="A7414" t="s">
        <v>27</v>
      </c>
      <c r="B7414" t="s">
        <v>11</v>
      </c>
      <c r="C7414" t="s">
        <v>18</v>
      </c>
      <c r="D7414" t="s">
        <v>15</v>
      </c>
      <c r="E7414">
        <v>0</v>
      </c>
      <c r="F7414">
        <v>0.75</v>
      </c>
      <c r="G7414">
        <v>1468.7059378623901</v>
      </c>
      <c r="H7414">
        <v>2</v>
      </c>
      <c r="I7414">
        <v>8</v>
      </c>
      <c r="J7414">
        <v>30</v>
      </c>
    </row>
    <row r="7415" spans="1:10" x14ac:dyDescent="0.25">
      <c r="A7415" t="s">
        <v>27</v>
      </c>
      <c r="B7415" t="s">
        <v>11</v>
      </c>
      <c r="C7415" t="s">
        <v>18</v>
      </c>
      <c r="D7415" t="s">
        <v>15</v>
      </c>
      <c r="E7415">
        <v>0</v>
      </c>
      <c r="F7415">
        <v>0.75</v>
      </c>
      <c r="G7415">
        <v>1779.50294947624</v>
      </c>
      <c r="H7415">
        <v>3</v>
      </c>
      <c r="I7415">
        <v>12</v>
      </c>
      <c r="J7415">
        <v>30</v>
      </c>
    </row>
    <row r="7416" spans="1:10" x14ac:dyDescent="0.25">
      <c r="A7416" t="s">
        <v>27</v>
      </c>
      <c r="B7416" t="s">
        <v>11</v>
      </c>
      <c r="C7416" t="s">
        <v>18</v>
      </c>
      <c r="D7416" t="s">
        <v>15</v>
      </c>
      <c r="E7416">
        <v>0</v>
      </c>
      <c r="F7416">
        <v>0.75</v>
      </c>
      <c r="G7416">
        <v>1823.9401583671499</v>
      </c>
      <c r="H7416">
        <v>5</v>
      </c>
      <c r="I7416">
        <v>15</v>
      </c>
      <c r="J7416">
        <v>30</v>
      </c>
    </row>
    <row r="7417" spans="1:10" x14ac:dyDescent="0.25">
      <c r="A7417" t="s">
        <v>27</v>
      </c>
      <c r="B7417" t="s">
        <v>11</v>
      </c>
      <c r="C7417" t="s">
        <v>18</v>
      </c>
      <c r="D7417" t="s">
        <v>15</v>
      </c>
      <c r="E7417">
        <v>1.10172603745868E-3</v>
      </c>
      <c r="F7417">
        <v>0.75005233198677901</v>
      </c>
      <c r="G7417">
        <v>2705.2814569473198</v>
      </c>
      <c r="H7417">
        <v>9</v>
      </c>
      <c r="I7417">
        <v>23</v>
      </c>
      <c r="J7417">
        <v>30</v>
      </c>
    </row>
    <row r="7418" spans="1:10" x14ac:dyDescent="0.25">
      <c r="A7418" t="s">
        <v>27</v>
      </c>
      <c r="B7418" t="s">
        <v>11</v>
      </c>
      <c r="C7418" t="s">
        <v>18</v>
      </c>
      <c r="D7418" t="s">
        <v>15</v>
      </c>
      <c r="E7418">
        <v>3.6724201248622803E-4</v>
      </c>
      <c r="F7418">
        <v>0.750017443995593</v>
      </c>
      <c r="G7418">
        <v>3886.8426656723</v>
      </c>
      <c r="H7418">
        <v>10</v>
      </c>
      <c r="I7418">
        <v>29</v>
      </c>
      <c r="J7418">
        <v>30</v>
      </c>
    </row>
    <row r="7419" spans="1:10" x14ac:dyDescent="0.25">
      <c r="A7419" t="s">
        <v>27</v>
      </c>
      <c r="B7419" t="s">
        <v>11</v>
      </c>
      <c r="C7419" t="s">
        <v>18</v>
      </c>
      <c r="D7419" t="s">
        <v>15</v>
      </c>
      <c r="E7419">
        <v>0</v>
      </c>
      <c r="F7419">
        <v>0.75</v>
      </c>
      <c r="G7419">
        <v>6817.5976479053497</v>
      </c>
      <c r="H7419">
        <v>9</v>
      </c>
      <c r="I7419">
        <v>30</v>
      </c>
      <c r="J7419">
        <v>30</v>
      </c>
    </row>
    <row r="7420" spans="1:10" x14ac:dyDescent="0.25">
      <c r="A7420" t="s">
        <v>27</v>
      </c>
      <c r="B7420" t="s">
        <v>11</v>
      </c>
      <c r="C7420" t="s">
        <v>18</v>
      </c>
      <c r="D7420" t="s">
        <v>15</v>
      </c>
      <c r="E7420">
        <v>2.9379360998898199E-3</v>
      </c>
      <c r="F7420">
        <v>0.75013677326885697</v>
      </c>
      <c r="G7420">
        <v>10869.636208534201</v>
      </c>
      <c r="H7420">
        <v>22</v>
      </c>
      <c r="I7420">
        <v>74</v>
      </c>
      <c r="J7420">
        <v>30</v>
      </c>
    </row>
    <row r="7421" spans="1:10" x14ac:dyDescent="0.25">
      <c r="A7421" t="s">
        <v>27</v>
      </c>
      <c r="B7421" t="s">
        <v>11</v>
      </c>
      <c r="C7421" t="s">
        <v>18</v>
      </c>
      <c r="D7421" t="s">
        <v>15</v>
      </c>
      <c r="E7421">
        <v>1.10172603745868E-3</v>
      </c>
      <c r="F7421">
        <v>0.75005233198677901</v>
      </c>
      <c r="G7421">
        <v>15628.2943217754</v>
      </c>
      <c r="H7421">
        <v>31</v>
      </c>
      <c r="I7421">
        <v>91</v>
      </c>
      <c r="J7421">
        <v>30</v>
      </c>
    </row>
    <row r="7422" spans="1:10" x14ac:dyDescent="0.25">
      <c r="A7422" t="s">
        <v>27</v>
      </c>
      <c r="B7422" t="s">
        <v>11</v>
      </c>
      <c r="C7422" t="s">
        <v>18</v>
      </c>
      <c r="D7422" t="s">
        <v>15</v>
      </c>
      <c r="E7422">
        <v>2.2034520749173699E-3</v>
      </c>
      <c r="F7422">
        <v>0.75010466397355802</v>
      </c>
      <c r="G7422">
        <v>15878.1652812957</v>
      </c>
      <c r="H7422">
        <v>34</v>
      </c>
      <c r="I7422">
        <v>115</v>
      </c>
      <c r="J7422">
        <v>30</v>
      </c>
    </row>
    <row r="7423" spans="1:10" x14ac:dyDescent="0.25">
      <c r="A7423" t="s">
        <v>27</v>
      </c>
      <c r="B7423" t="s">
        <v>11</v>
      </c>
      <c r="C7423" t="s">
        <v>18</v>
      </c>
      <c r="D7423" t="s">
        <v>15</v>
      </c>
      <c r="E7423">
        <v>1.10172603745868E-3</v>
      </c>
      <c r="F7423">
        <v>0.75005233198677901</v>
      </c>
      <c r="G7423">
        <v>16032.865968227299</v>
      </c>
      <c r="H7423">
        <v>33</v>
      </c>
      <c r="I7423">
        <v>113</v>
      </c>
      <c r="J7423">
        <v>30</v>
      </c>
    </row>
    <row r="7424" spans="1:10" x14ac:dyDescent="0.25">
      <c r="A7424" t="s">
        <v>27</v>
      </c>
      <c r="B7424" t="s">
        <v>11</v>
      </c>
      <c r="C7424" t="s">
        <v>18</v>
      </c>
      <c r="D7424" t="s">
        <v>15</v>
      </c>
      <c r="E7424">
        <v>2.5706940874035901E-3</v>
      </c>
      <c r="F7424">
        <v>0.75010282776349602</v>
      </c>
      <c r="G7424">
        <v>17909.580224752401</v>
      </c>
      <c r="H7424">
        <v>38</v>
      </c>
      <c r="I7424">
        <v>101</v>
      </c>
      <c r="J7424">
        <v>30</v>
      </c>
    </row>
    <row r="7425" spans="1:10" x14ac:dyDescent="0.25">
      <c r="A7425" t="s">
        <v>27</v>
      </c>
      <c r="B7425" t="s">
        <v>11</v>
      </c>
      <c r="C7425" t="s">
        <v>18</v>
      </c>
      <c r="D7425" t="s">
        <v>15</v>
      </c>
      <c r="E7425">
        <v>1.4689680499449099E-3</v>
      </c>
      <c r="F7425">
        <v>0.75006977598237201</v>
      </c>
      <c r="G7425">
        <v>18057.0320050716</v>
      </c>
      <c r="H7425">
        <v>32</v>
      </c>
      <c r="I7425">
        <v>101</v>
      </c>
      <c r="J7425">
        <v>30</v>
      </c>
    </row>
    <row r="7426" spans="1:10" x14ac:dyDescent="0.25">
      <c r="A7426" t="s">
        <v>27</v>
      </c>
      <c r="B7426" t="s">
        <v>11</v>
      </c>
      <c r="C7426" t="s">
        <v>18</v>
      </c>
      <c r="D7426" t="s">
        <v>15</v>
      </c>
      <c r="E7426">
        <v>1.8362100624311399E-3</v>
      </c>
      <c r="F7426">
        <v>0.75008721997796501</v>
      </c>
      <c r="G7426">
        <v>19951.980426788301</v>
      </c>
      <c r="H7426">
        <v>47</v>
      </c>
      <c r="I7426">
        <v>133</v>
      </c>
      <c r="J7426">
        <v>30</v>
      </c>
    </row>
    <row r="7427" spans="1:10" x14ac:dyDescent="0.25">
      <c r="A7427" t="s">
        <v>27</v>
      </c>
      <c r="B7427" t="s">
        <v>11</v>
      </c>
      <c r="C7427" t="s">
        <v>18</v>
      </c>
      <c r="D7427" t="s">
        <v>15</v>
      </c>
      <c r="E7427">
        <v>3.6724201248622798E-3</v>
      </c>
      <c r="F7427">
        <v>0.75015515975027502</v>
      </c>
      <c r="G7427">
        <v>20433.0531804561</v>
      </c>
      <c r="H7427">
        <v>51</v>
      </c>
      <c r="I7427">
        <v>139</v>
      </c>
      <c r="J7427">
        <v>30</v>
      </c>
    </row>
    <row r="7428" spans="1:10" x14ac:dyDescent="0.25">
      <c r="A7428" t="s">
        <v>27</v>
      </c>
      <c r="B7428" t="s">
        <v>11</v>
      </c>
      <c r="C7428" t="s">
        <v>18</v>
      </c>
      <c r="D7428" t="s">
        <v>15</v>
      </c>
      <c r="E7428">
        <v>2.9379360998898199E-3</v>
      </c>
      <c r="F7428">
        <v>0.75012027175908902</v>
      </c>
      <c r="G7428">
        <v>23268.404627084699</v>
      </c>
      <c r="H7428">
        <v>59</v>
      </c>
      <c r="I7428">
        <v>158</v>
      </c>
      <c r="J7428">
        <v>30</v>
      </c>
    </row>
    <row r="7429" spans="1:10" x14ac:dyDescent="0.25">
      <c r="A7429" t="s">
        <v>27</v>
      </c>
      <c r="B7429" t="s">
        <v>11</v>
      </c>
      <c r="C7429" t="s">
        <v>18</v>
      </c>
      <c r="D7429" t="s">
        <v>15</v>
      </c>
      <c r="E7429">
        <v>3.3051781123760501E-3</v>
      </c>
      <c r="F7429">
        <v>0.75013493705879497</v>
      </c>
      <c r="G7429">
        <v>25133.0718238353</v>
      </c>
      <c r="H7429">
        <v>54</v>
      </c>
      <c r="I7429">
        <v>154</v>
      </c>
      <c r="J7429">
        <v>30</v>
      </c>
    </row>
    <row r="7430" spans="1:10" x14ac:dyDescent="0.25">
      <c r="A7430" t="s">
        <v>27</v>
      </c>
      <c r="B7430" t="s">
        <v>11</v>
      </c>
      <c r="C7430" t="s">
        <v>18</v>
      </c>
      <c r="D7430" t="s">
        <v>15</v>
      </c>
      <c r="E7430">
        <v>2.2034520749173699E-3</v>
      </c>
      <c r="F7430">
        <v>0.75008872332394405</v>
      </c>
      <c r="G7430">
        <v>25942.7513909339</v>
      </c>
      <c r="H7430">
        <v>62</v>
      </c>
      <c r="I7430">
        <v>183</v>
      </c>
      <c r="J7430">
        <v>30</v>
      </c>
    </row>
    <row r="7431" spans="1:10" x14ac:dyDescent="0.25">
      <c r="A7431" t="s">
        <v>27</v>
      </c>
      <c r="B7431" t="s">
        <v>11</v>
      </c>
      <c r="C7431" t="s">
        <v>18</v>
      </c>
      <c r="D7431" t="s">
        <v>15</v>
      </c>
      <c r="E7431">
        <v>4.7741461623209596E-3</v>
      </c>
      <c r="F7431">
        <v>0.75022677194271004</v>
      </c>
      <c r="G7431">
        <v>26519.1355099678</v>
      </c>
      <c r="H7431">
        <v>70</v>
      </c>
      <c r="I7431">
        <v>218</v>
      </c>
      <c r="J7431">
        <v>30</v>
      </c>
    </row>
    <row r="7432" spans="1:10" x14ac:dyDescent="0.25">
      <c r="A7432" t="s">
        <v>27</v>
      </c>
      <c r="B7432" t="s">
        <v>11</v>
      </c>
      <c r="C7432" t="s">
        <v>18</v>
      </c>
      <c r="D7432" t="s">
        <v>15</v>
      </c>
      <c r="E7432">
        <v>2.9379360998898199E-3</v>
      </c>
      <c r="F7432">
        <v>0.75012027175908902</v>
      </c>
      <c r="G7432">
        <v>28561.511629819801</v>
      </c>
      <c r="H7432">
        <v>70</v>
      </c>
      <c r="I7432">
        <v>195</v>
      </c>
      <c r="J7432">
        <v>30</v>
      </c>
    </row>
    <row r="7433" spans="1:10" x14ac:dyDescent="0.25">
      <c r="A7433" t="s">
        <v>27</v>
      </c>
      <c r="B7433" t="s">
        <v>11</v>
      </c>
      <c r="C7433" t="s">
        <v>18</v>
      </c>
      <c r="D7433" t="s">
        <v>15</v>
      </c>
      <c r="E7433">
        <v>3.6724201248622798E-3</v>
      </c>
      <c r="F7433">
        <v>0.75015515975027502</v>
      </c>
      <c r="G7433">
        <v>31138.607862710898</v>
      </c>
      <c r="H7433">
        <v>66</v>
      </c>
      <c r="I7433">
        <v>194</v>
      </c>
      <c r="J7433">
        <v>30</v>
      </c>
    </row>
    <row r="7434" spans="1:10" x14ac:dyDescent="0.25">
      <c r="A7434" t="s">
        <v>27</v>
      </c>
      <c r="B7434" t="s">
        <v>11</v>
      </c>
      <c r="C7434" t="s">
        <v>18</v>
      </c>
      <c r="D7434" t="s">
        <v>15</v>
      </c>
      <c r="E7434">
        <v>6.6103562247521097E-3</v>
      </c>
      <c r="F7434">
        <v>0.75029527257517403</v>
      </c>
      <c r="G7434">
        <v>31503.622378349301</v>
      </c>
      <c r="H7434">
        <v>90</v>
      </c>
      <c r="I7434">
        <v>245</v>
      </c>
      <c r="J7434">
        <v>30</v>
      </c>
    </row>
    <row r="7435" spans="1:10" x14ac:dyDescent="0.25">
      <c r="A7435" t="s">
        <v>27</v>
      </c>
      <c r="B7435" t="s">
        <v>11</v>
      </c>
      <c r="C7435" t="s">
        <v>18</v>
      </c>
      <c r="D7435" t="s">
        <v>15</v>
      </c>
      <c r="E7435">
        <v>5.50863018729342E-3</v>
      </c>
      <c r="F7435">
        <v>0.75024237972824004</v>
      </c>
      <c r="G7435">
        <v>32876.529416561098</v>
      </c>
      <c r="H7435">
        <v>83</v>
      </c>
      <c r="I7435">
        <v>242</v>
      </c>
      <c r="J7435">
        <v>30</v>
      </c>
    </row>
    <row r="7436" spans="1:10" x14ac:dyDescent="0.25">
      <c r="A7436" t="s">
        <v>27</v>
      </c>
      <c r="B7436" t="s">
        <v>11</v>
      </c>
      <c r="C7436" t="s">
        <v>18</v>
      </c>
      <c r="D7436" t="s">
        <v>15</v>
      </c>
      <c r="E7436">
        <v>5.1413881748071898E-3</v>
      </c>
      <c r="F7436">
        <v>0.75022493573264704</v>
      </c>
      <c r="G7436">
        <v>34890.463610410603</v>
      </c>
      <c r="H7436">
        <v>116</v>
      </c>
      <c r="I7436">
        <v>336</v>
      </c>
      <c r="J7436">
        <v>30</v>
      </c>
    </row>
    <row r="7437" spans="1:10" x14ac:dyDescent="0.25">
      <c r="A7437" t="s">
        <v>27</v>
      </c>
      <c r="B7437" t="s">
        <v>11</v>
      </c>
      <c r="C7437" t="s">
        <v>18</v>
      </c>
      <c r="D7437" t="s">
        <v>15</v>
      </c>
      <c r="E7437">
        <v>9.1810503121557106E-3</v>
      </c>
      <c r="F7437">
        <v>0.75043332119394002</v>
      </c>
      <c r="G7437">
        <v>36791.994991302403</v>
      </c>
      <c r="H7437">
        <v>138</v>
      </c>
      <c r="I7437">
        <v>381</v>
      </c>
      <c r="J7437">
        <v>30</v>
      </c>
    </row>
    <row r="7438" spans="1:10" x14ac:dyDescent="0.25">
      <c r="A7438" t="s">
        <v>27</v>
      </c>
      <c r="B7438" t="s">
        <v>11</v>
      </c>
      <c r="C7438" t="s">
        <v>18</v>
      </c>
      <c r="D7438" t="s">
        <v>15</v>
      </c>
      <c r="E7438">
        <v>8.4465662871832502E-3</v>
      </c>
      <c r="F7438">
        <v>0.75035153670378196</v>
      </c>
      <c r="G7438">
        <v>38155.209763288498</v>
      </c>
      <c r="H7438">
        <v>153</v>
      </c>
      <c r="I7438">
        <v>438</v>
      </c>
      <c r="J7438">
        <v>30</v>
      </c>
    </row>
    <row r="7439" spans="1:10" x14ac:dyDescent="0.25">
      <c r="A7439" t="s">
        <v>27</v>
      </c>
      <c r="B7439" t="s">
        <v>11</v>
      </c>
      <c r="C7439" t="s">
        <v>18</v>
      </c>
      <c r="D7439" t="s">
        <v>15</v>
      </c>
      <c r="E7439">
        <v>9.9155343371281606E-3</v>
      </c>
      <c r="F7439">
        <v>0.75043696751946398</v>
      </c>
      <c r="G7439">
        <v>38870.352660894299</v>
      </c>
      <c r="H7439">
        <v>140</v>
      </c>
      <c r="I7439">
        <v>381</v>
      </c>
      <c r="J7439">
        <v>30</v>
      </c>
    </row>
    <row r="7440" spans="1:10" x14ac:dyDescent="0.25">
      <c r="A7440" t="s">
        <v>27</v>
      </c>
      <c r="B7440" t="s">
        <v>11</v>
      </c>
      <c r="C7440" t="s">
        <v>18</v>
      </c>
      <c r="D7440" t="s">
        <v>15</v>
      </c>
      <c r="E7440">
        <v>1.06500183621006E-2</v>
      </c>
      <c r="F7440">
        <v>0.75048659566654397</v>
      </c>
      <c r="G7440">
        <v>39902.279791355097</v>
      </c>
      <c r="H7440">
        <v>157</v>
      </c>
      <c r="I7440">
        <v>460</v>
      </c>
      <c r="J7440">
        <v>30</v>
      </c>
    </row>
    <row r="7441" spans="1:10" x14ac:dyDescent="0.25">
      <c r="A7441" t="s">
        <v>27</v>
      </c>
      <c r="B7441" t="s">
        <v>11</v>
      </c>
      <c r="C7441" t="s">
        <v>18</v>
      </c>
      <c r="D7441" t="s">
        <v>15</v>
      </c>
      <c r="E7441">
        <v>9.5482923246419295E-3</v>
      </c>
      <c r="F7441">
        <v>0.75040894081281595</v>
      </c>
      <c r="G7441">
        <v>40527.3561811447</v>
      </c>
      <c r="H7441">
        <v>198</v>
      </c>
      <c r="I7441">
        <v>572</v>
      </c>
      <c r="J7441">
        <v>30</v>
      </c>
    </row>
    <row r="7442" spans="1:10" x14ac:dyDescent="0.25">
      <c r="A7442" t="s">
        <v>27</v>
      </c>
      <c r="B7442" t="s">
        <v>11</v>
      </c>
      <c r="C7442" t="s">
        <v>18</v>
      </c>
      <c r="D7442" t="s">
        <v>16</v>
      </c>
      <c r="E7442">
        <v>0</v>
      </c>
      <c r="F7442">
        <v>0.75</v>
      </c>
      <c r="G7442">
        <v>19.902532577514599</v>
      </c>
      <c r="H7442">
        <v>0</v>
      </c>
      <c r="I7442">
        <v>0</v>
      </c>
      <c r="J7442">
        <v>30</v>
      </c>
    </row>
    <row r="7443" spans="1:10" x14ac:dyDescent="0.25">
      <c r="A7443" t="s">
        <v>27</v>
      </c>
      <c r="B7443" t="s">
        <v>11</v>
      </c>
      <c r="C7443" t="s">
        <v>18</v>
      </c>
      <c r="D7443" t="s">
        <v>16</v>
      </c>
      <c r="E7443">
        <v>0</v>
      </c>
      <c r="F7443">
        <v>0.75</v>
      </c>
      <c r="G7443">
        <v>20.013046264648398</v>
      </c>
      <c r="H7443">
        <v>0</v>
      </c>
      <c r="I7443">
        <v>0</v>
      </c>
      <c r="J7443">
        <v>30</v>
      </c>
    </row>
    <row r="7444" spans="1:10" x14ac:dyDescent="0.25">
      <c r="A7444" t="s">
        <v>27</v>
      </c>
      <c r="B7444" t="s">
        <v>11</v>
      </c>
      <c r="C7444" t="s">
        <v>18</v>
      </c>
      <c r="D7444" t="s">
        <v>16</v>
      </c>
      <c r="E7444">
        <v>0</v>
      </c>
      <c r="F7444">
        <v>0.75</v>
      </c>
      <c r="G7444">
        <v>20.206887722015299</v>
      </c>
      <c r="H7444">
        <v>0</v>
      </c>
      <c r="I7444">
        <v>0</v>
      </c>
      <c r="J7444">
        <v>30</v>
      </c>
    </row>
    <row r="7445" spans="1:10" x14ac:dyDescent="0.25">
      <c r="A7445" t="s">
        <v>27</v>
      </c>
      <c r="B7445" t="s">
        <v>11</v>
      </c>
      <c r="C7445" t="s">
        <v>18</v>
      </c>
      <c r="D7445" t="s">
        <v>16</v>
      </c>
      <c r="E7445">
        <v>0</v>
      </c>
      <c r="F7445">
        <v>0.75</v>
      </c>
      <c r="G7445">
        <v>20.477106809616</v>
      </c>
      <c r="H7445">
        <v>0</v>
      </c>
      <c r="I7445">
        <v>0</v>
      </c>
      <c r="J7445">
        <v>30</v>
      </c>
    </row>
    <row r="7446" spans="1:10" x14ac:dyDescent="0.25">
      <c r="A7446" t="s">
        <v>27</v>
      </c>
      <c r="B7446" t="s">
        <v>11</v>
      </c>
      <c r="C7446" t="s">
        <v>18</v>
      </c>
      <c r="D7446" t="s">
        <v>16</v>
      </c>
      <c r="E7446">
        <v>0</v>
      </c>
      <c r="F7446">
        <v>0.75</v>
      </c>
      <c r="G7446">
        <v>20.616791486740102</v>
      </c>
      <c r="H7446">
        <v>0</v>
      </c>
      <c r="I7446">
        <v>0</v>
      </c>
      <c r="J7446">
        <v>30</v>
      </c>
    </row>
    <row r="7447" spans="1:10" x14ac:dyDescent="0.25">
      <c r="A7447" t="s">
        <v>27</v>
      </c>
      <c r="B7447" t="s">
        <v>11</v>
      </c>
      <c r="C7447" t="s">
        <v>18</v>
      </c>
      <c r="D7447" t="s">
        <v>16</v>
      </c>
      <c r="E7447">
        <v>0</v>
      </c>
      <c r="F7447">
        <v>0.75</v>
      </c>
      <c r="G7447">
        <v>20.610256195068299</v>
      </c>
      <c r="H7447">
        <v>0</v>
      </c>
      <c r="I7447">
        <v>0</v>
      </c>
      <c r="J7447">
        <v>30</v>
      </c>
    </row>
    <row r="7448" spans="1:10" x14ac:dyDescent="0.25">
      <c r="A7448" t="s">
        <v>27</v>
      </c>
      <c r="B7448" t="s">
        <v>11</v>
      </c>
      <c r="C7448" t="s">
        <v>18</v>
      </c>
      <c r="D7448" t="s">
        <v>16</v>
      </c>
      <c r="E7448">
        <v>0</v>
      </c>
      <c r="F7448">
        <v>0.75</v>
      </c>
      <c r="G7448">
        <v>20.765312910079899</v>
      </c>
      <c r="H7448">
        <v>0</v>
      </c>
      <c r="I7448">
        <v>0</v>
      </c>
      <c r="J7448">
        <v>30</v>
      </c>
    </row>
    <row r="7449" spans="1:10" x14ac:dyDescent="0.25">
      <c r="A7449" t="s">
        <v>27</v>
      </c>
      <c r="B7449" t="s">
        <v>11</v>
      </c>
      <c r="C7449" t="s">
        <v>18</v>
      </c>
      <c r="D7449" t="s">
        <v>16</v>
      </c>
      <c r="E7449">
        <v>0</v>
      </c>
      <c r="F7449">
        <v>0.75</v>
      </c>
      <c r="G7449">
        <v>21.1619665622711</v>
      </c>
      <c r="H7449">
        <v>0</v>
      </c>
      <c r="I7449">
        <v>0</v>
      </c>
      <c r="J7449">
        <v>30</v>
      </c>
    </row>
    <row r="7450" spans="1:10" x14ac:dyDescent="0.25">
      <c r="A7450" t="s">
        <v>27</v>
      </c>
      <c r="B7450" t="s">
        <v>11</v>
      </c>
      <c r="C7450" t="s">
        <v>18</v>
      </c>
      <c r="D7450" t="s">
        <v>16</v>
      </c>
      <c r="E7450">
        <v>0</v>
      </c>
      <c r="F7450">
        <v>0.75</v>
      </c>
      <c r="G7450">
        <v>20.826149702072101</v>
      </c>
      <c r="H7450">
        <v>0</v>
      </c>
      <c r="I7450">
        <v>0</v>
      </c>
      <c r="J7450">
        <v>30</v>
      </c>
    </row>
    <row r="7451" spans="1:10" x14ac:dyDescent="0.25">
      <c r="A7451" t="s">
        <v>27</v>
      </c>
      <c r="B7451" t="s">
        <v>11</v>
      </c>
      <c r="C7451" t="s">
        <v>18</v>
      </c>
      <c r="D7451" t="s">
        <v>16</v>
      </c>
      <c r="E7451">
        <v>0</v>
      </c>
      <c r="F7451">
        <v>0.75</v>
      </c>
      <c r="G7451">
        <v>21.009067296981801</v>
      </c>
      <c r="H7451">
        <v>0</v>
      </c>
      <c r="I7451">
        <v>0</v>
      </c>
      <c r="J7451">
        <v>30</v>
      </c>
    </row>
    <row r="7452" spans="1:10" x14ac:dyDescent="0.25">
      <c r="A7452" t="s">
        <v>27</v>
      </c>
      <c r="B7452" t="s">
        <v>11</v>
      </c>
      <c r="C7452" t="s">
        <v>18</v>
      </c>
      <c r="D7452" t="s">
        <v>16</v>
      </c>
      <c r="E7452">
        <v>0</v>
      </c>
      <c r="F7452">
        <v>0.75</v>
      </c>
      <c r="G7452">
        <v>21.020862340927099</v>
      </c>
      <c r="H7452">
        <v>0</v>
      </c>
      <c r="I7452">
        <v>0</v>
      </c>
      <c r="J7452">
        <v>30</v>
      </c>
    </row>
    <row r="7453" spans="1:10" x14ac:dyDescent="0.25">
      <c r="A7453" t="s">
        <v>27</v>
      </c>
      <c r="B7453" t="s">
        <v>11</v>
      </c>
      <c r="C7453" t="s">
        <v>18</v>
      </c>
      <c r="D7453" t="s">
        <v>16</v>
      </c>
      <c r="E7453">
        <v>0</v>
      </c>
      <c r="F7453">
        <v>0.75</v>
      </c>
      <c r="G7453">
        <v>20.996510267257602</v>
      </c>
      <c r="H7453">
        <v>0</v>
      </c>
      <c r="I7453">
        <v>0</v>
      </c>
      <c r="J7453">
        <v>30</v>
      </c>
    </row>
    <row r="7454" spans="1:10" x14ac:dyDescent="0.25">
      <c r="A7454" t="s">
        <v>27</v>
      </c>
      <c r="B7454" t="s">
        <v>11</v>
      </c>
      <c r="C7454" t="s">
        <v>18</v>
      </c>
      <c r="D7454" t="s">
        <v>16</v>
      </c>
      <c r="E7454">
        <v>0</v>
      </c>
      <c r="F7454">
        <v>0.75</v>
      </c>
      <c r="G7454">
        <v>20.928768157958899</v>
      </c>
      <c r="H7454">
        <v>0</v>
      </c>
      <c r="I7454">
        <v>0</v>
      </c>
      <c r="J7454">
        <v>30</v>
      </c>
    </row>
    <row r="7455" spans="1:10" x14ac:dyDescent="0.25">
      <c r="A7455" t="s">
        <v>27</v>
      </c>
      <c r="B7455" t="s">
        <v>11</v>
      </c>
      <c r="C7455" t="s">
        <v>18</v>
      </c>
      <c r="D7455" t="s">
        <v>16</v>
      </c>
      <c r="E7455">
        <v>0</v>
      </c>
      <c r="F7455">
        <v>0.75</v>
      </c>
      <c r="G7455">
        <v>21.092808246612499</v>
      </c>
      <c r="H7455">
        <v>0</v>
      </c>
      <c r="I7455">
        <v>0</v>
      </c>
      <c r="J7455">
        <v>30</v>
      </c>
    </row>
    <row r="7456" spans="1:10" x14ac:dyDescent="0.25">
      <c r="A7456" t="s">
        <v>27</v>
      </c>
      <c r="B7456" t="s">
        <v>11</v>
      </c>
      <c r="C7456" t="s">
        <v>18</v>
      </c>
      <c r="D7456" t="s">
        <v>16</v>
      </c>
      <c r="E7456">
        <v>0</v>
      </c>
      <c r="F7456">
        <v>0.75</v>
      </c>
      <c r="G7456">
        <v>21.183838129043501</v>
      </c>
      <c r="H7456">
        <v>0</v>
      </c>
      <c r="I7456">
        <v>0</v>
      </c>
      <c r="J7456">
        <v>30</v>
      </c>
    </row>
    <row r="7457" spans="1:10" x14ac:dyDescent="0.25">
      <c r="A7457" t="s">
        <v>27</v>
      </c>
      <c r="B7457" t="s">
        <v>11</v>
      </c>
      <c r="C7457" t="s">
        <v>18</v>
      </c>
      <c r="D7457" t="s">
        <v>16</v>
      </c>
      <c r="E7457">
        <v>0</v>
      </c>
      <c r="F7457">
        <v>0.75</v>
      </c>
      <c r="G7457">
        <v>21.2432761192321</v>
      </c>
      <c r="H7457">
        <v>0</v>
      </c>
      <c r="I7457">
        <v>0</v>
      </c>
      <c r="J7457">
        <v>30</v>
      </c>
    </row>
    <row r="7458" spans="1:10" x14ac:dyDescent="0.25">
      <c r="A7458" t="s">
        <v>27</v>
      </c>
      <c r="B7458" t="s">
        <v>11</v>
      </c>
      <c r="C7458" t="s">
        <v>18</v>
      </c>
      <c r="D7458" t="s">
        <v>16</v>
      </c>
      <c r="E7458">
        <v>0</v>
      </c>
      <c r="F7458">
        <v>0.75</v>
      </c>
      <c r="G7458">
        <v>21.155201673507602</v>
      </c>
      <c r="H7458">
        <v>0</v>
      </c>
      <c r="I7458">
        <v>0</v>
      </c>
      <c r="J7458">
        <v>30</v>
      </c>
    </row>
    <row r="7459" spans="1:10" x14ac:dyDescent="0.25">
      <c r="A7459" t="s">
        <v>27</v>
      </c>
      <c r="B7459" t="s">
        <v>11</v>
      </c>
      <c r="C7459" t="s">
        <v>18</v>
      </c>
      <c r="D7459" t="s">
        <v>16</v>
      </c>
      <c r="E7459">
        <v>0</v>
      </c>
      <c r="F7459">
        <v>0.75</v>
      </c>
      <c r="G7459">
        <v>23.170016765594401</v>
      </c>
      <c r="H7459">
        <v>0</v>
      </c>
      <c r="I7459">
        <v>0</v>
      </c>
      <c r="J7459">
        <v>30</v>
      </c>
    </row>
    <row r="7460" spans="1:10" x14ac:dyDescent="0.25">
      <c r="A7460" t="s">
        <v>27</v>
      </c>
      <c r="B7460" t="s">
        <v>11</v>
      </c>
      <c r="C7460" t="s">
        <v>18</v>
      </c>
      <c r="D7460" t="s">
        <v>16</v>
      </c>
      <c r="E7460">
        <v>0</v>
      </c>
      <c r="F7460">
        <v>0.75</v>
      </c>
      <c r="G7460">
        <v>21.2942907810211</v>
      </c>
      <c r="H7460">
        <v>0</v>
      </c>
      <c r="I7460">
        <v>0</v>
      </c>
      <c r="J7460">
        <v>30</v>
      </c>
    </row>
    <row r="7461" spans="1:10" x14ac:dyDescent="0.25">
      <c r="A7461" t="s">
        <v>27</v>
      </c>
      <c r="B7461" t="s">
        <v>11</v>
      </c>
      <c r="C7461" t="s">
        <v>18</v>
      </c>
      <c r="D7461" t="s">
        <v>16</v>
      </c>
      <c r="E7461">
        <v>0</v>
      </c>
      <c r="F7461">
        <v>0.75</v>
      </c>
      <c r="G7461">
        <v>21.4948277473449</v>
      </c>
      <c r="H7461">
        <v>0</v>
      </c>
      <c r="I7461">
        <v>0</v>
      </c>
      <c r="J7461">
        <v>30</v>
      </c>
    </row>
    <row r="7462" spans="1:10" x14ac:dyDescent="0.25">
      <c r="A7462" t="s">
        <v>27</v>
      </c>
      <c r="B7462" t="s">
        <v>11</v>
      </c>
      <c r="C7462" t="s">
        <v>18</v>
      </c>
      <c r="D7462" t="s">
        <v>16</v>
      </c>
      <c r="E7462">
        <v>0</v>
      </c>
      <c r="F7462">
        <v>0.75</v>
      </c>
      <c r="G7462">
        <v>21.841993093490601</v>
      </c>
      <c r="H7462">
        <v>0</v>
      </c>
      <c r="I7462">
        <v>0</v>
      </c>
      <c r="J7462">
        <v>30</v>
      </c>
    </row>
    <row r="7463" spans="1:10" x14ac:dyDescent="0.25">
      <c r="A7463" t="s">
        <v>27</v>
      </c>
      <c r="B7463" t="s">
        <v>11</v>
      </c>
      <c r="C7463" t="s">
        <v>18</v>
      </c>
      <c r="D7463" t="s">
        <v>16</v>
      </c>
      <c r="E7463">
        <v>0</v>
      </c>
      <c r="F7463">
        <v>0.75</v>
      </c>
      <c r="G7463">
        <v>21.738576889038001</v>
      </c>
      <c r="H7463">
        <v>0</v>
      </c>
      <c r="I7463">
        <v>0</v>
      </c>
      <c r="J7463">
        <v>30</v>
      </c>
    </row>
    <row r="7464" spans="1:10" x14ac:dyDescent="0.25">
      <c r="A7464" t="s">
        <v>27</v>
      </c>
      <c r="B7464" t="s">
        <v>11</v>
      </c>
      <c r="C7464" t="s">
        <v>18</v>
      </c>
      <c r="D7464" t="s">
        <v>16</v>
      </c>
      <c r="E7464">
        <v>0</v>
      </c>
      <c r="F7464">
        <v>0.75</v>
      </c>
      <c r="G7464">
        <v>21.701403379440301</v>
      </c>
      <c r="H7464">
        <v>0</v>
      </c>
      <c r="I7464">
        <v>0</v>
      </c>
      <c r="J7464">
        <v>30</v>
      </c>
    </row>
    <row r="7465" spans="1:10" x14ac:dyDescent="0.25">
      <c r="A7465" t="s">
        <v>27</v>
      </c>
      <c r="B7465" t="s">
        <v>11</v>
      </c>
      <c r="C7465" t="s">
        <v>18</v>
      </c>
      <c r="D7465" t="s">
        <v>16</v>
      </c>
      <c r="E7465">
        <v>0</v>
      </c>
      <c r="F7465">
        <v>0.75</v>
      </c>
      <c r="G7465">
        <v>21.666911363601599</v>
      </c>
      <c r="H7465">
        <v>0</v>
      </c>
      <c r="I7465">
        <v>0</v>
      </c>
      <c r="J7465">
        <v>30</v>
      </c>
    </row>
    <row r="7466" spans="1:10" x14ac:dyDescent="0.25">
      <c r="A7466" t="s">
        <v>27</v>
      </c>
      <c r="B7466" t="s">
        <v>11</v>
      </c>
      <c r="C7466" t="s">
        <v>18</v>
      </c>
      <c r="D7466" t="s">
        <v>16</v>
      </c>
      <c r="E7466">
        <v>0</v>
      </c>
      <c r="F7466">
        <v>0.75</v>
      </c>
      <c r="G7466">
        <v>21.8066005706787</v>
      </c>
      <c r="H7466">
        <v>0</v>
      </c>
      <c r="I7466">
        <v>0</v>
      </c>
      <c r="J7466">
        <v>30</v>
      </c>
    </row>
    <row r="7467" spans="1:10" x14ac:dyDescent="0.25">
      <c r="A7467" t="s">
        <v>27</v>
      </c>
      <c r="B7467" t="s">
        <v>11</v>
      </c>
      <c r="C7467" t="s">
        <v>18</v>
      </c>
      <c r="D7467" t="s">
        <v>16</v>
      </c>
      <c r="E7467">
        <v>0</v>
      </c>
      <c r="F7467">
        <v>0.75</v>
      </c>
      <c r="G7467">
        <v>21.931368350982599</v>
      </c>
      <c r="H7467">
        <v>0</v>
      </c>
      <c r="I7467">
        <v>0</v>
      </c>
      <c r="J7467">
        <v>30</v>
      </c>
    </row>
    <row r="7468" spans="1:10" x14ac:dyDescent="0.25">
      <c r="A7468" t="s">
        <v>27</v>
      </c>
      <c r="B7468" t="s">
        <v>11</v>
      </c>
      <c r="C7468" t="s">
        <v>18</v>
      </c>
      <c r="D7468" t="s">
        <v>16</v>
      </c>
      <c r="E7468">
        <v>0</v>
      </c>
      <c r="F7468">
        <v>0.75</v>
      </c>
      <c r="G7468">
        <v>21.7827146053314</v>
      </c>
      <c r="H7468">
        <v>0</v>
      </c>
      <c r="I7468">
        <v>0</v>
      </c>
      <c r="J7468">
        <v>30</v>
      </c>
    </row>
    <row r="7469" spans="1:10" x14ac:dyDescent="0.25">
      <c r="A7469" t="s">
        <v>27</v>
      </c>
      <c r="B7469" t="s">
        <v>11</v>
      </c>
      <c r="C7469" t="s">
        <v>18</v>
      </c>
      <c r="D7469" t="s">
        <v>16</v>
      </c>
      <c r="E7469">
        <v>0</v>
      </c>
      <c r="F7469">
        <v>0.75</v>
      </c>
      <c r="G7469">
        <v>21.842705488204899</v>
      </c>
      <c r="H7469">
        <v>0</v>
      </c>
      <c r="I7469">
        <v>0</v>
      </c>
      <c r="J7469">
        <v>30</v>
      </c>
    </row>
    <row r="7470" spans="1:10" x14ac:dyDescent="0.25">
      <c r="A7470" t="s">
        <v>27</v>
      </c>
      <c r="B7470" t="s">
        <v>11</v>
      </c>
      <c r="C7470" t="s">
        <v>18</v>
      </c>
      <c r="D7470" t="s">
        <v>16</v>
      </c>
      <c r="E7470">
        <v>0</v>
      </c>
      <c r="F7470">
        <v>0.75</v>
      </c>
      <c r="G7470">
        <v>21.8958740234375</v>
      </c>
      <c r="H7470">
        <v>0</v>
      </c>
      <c r="I7470">
        <v>0</v>
      </c>
      <c r="J7470">
        <v>30</v>
      </c>
    </row>
    <row r="7471" spans="1:10" x14ac:dyDescent="0.25">
      <c r="A7471" t="s">
        <v>27</v>
      </c>
      <c r="B7471" t="s">
        <v>11</v>
      </c>
      <c r="C7471" t="s">
        <v>18</v>
      </c>
      <c r="D7471" t="s">
        <v>16</v>
      </c>
      <c r="E7471">
        <v>0</v>
      </c>
      <c r="F7471">
        <v>0.75</v>
      </c>
      <c r="G7471">
        <v>21.998593568801802</v>
      </c>
      <c r="H7471">
        <v>0</v>
      </c>
      <c r="I7471">
        <v>0</v>
      </c>
      <c r="J7471">
        <v>30</v>
      </c>
    </row>
    <row r="7472" spans="1:10" x14ac:dyDescent="0.25">
      <c r="A7472" t="s">
        <v>27</v>
      </c>
      <c r="B7472" t="s">
        <v>11</v>
      </c>
      <c r="C7472" t="s">
        <v>18</v>
      </c>
      <c r="D7472" t="s">
        <v>17</v>
      </c>
      <c r="E7472">
        <v>0.20528828497980101</v>
      </c>
      <c r="F7472">
        <v>0.79479449041935302</v>
      </c>
      <c r="G7472">
        <v>6473.0646681785502</v>
      </c>
      <c r="H7472">
        <v>92</v>
      </c>
      <c r="I7472">
        <v>124</v>
      </c>
      <c r="J7472">
        <v>30</v>
      </c>
    </row>
    <row r="7473" spans="1:10" x14ac:dyDescent="0.25">
      <c r="A7473" t="s">
        <v>27</v>
      </c>
      <c r="B7473" t="s">
        <v>11</v>
      </c>
      <c r="C7473" t="s">
        <v>18</v>
      </c>
      <c r="D7473" t="s">
        <v>17</v>
      </c>
      <c r="E7473">
        <v>0.23356591994124101</v>
      </c>
      <c r="F7473">
        <v>0.79743795226195302</v>
      </c>
      <c r="G7473">
        <v>9558.1356840133594</v>
      </c>
      <c r="H7473">
        <v>154</v>
      </c>
      <c r="I7473">
        <v>198</v>
      </c>
      <c r="J7473">
        <v>30</v>
      </c>
    </row>
    <row r="7474" spans="1:10" x14ac:dyDescent="0.25">
      <c r="A7474" t="s">
        <v>27</v>
      </c>
      <c r="B7474" t="s">
        <v>11</v>
      </c>
      <c r="C7474" t="s">
        <v>18</v>
      </c>
      <c r="D7474" t="s">
        <v>17</v>
      </c>
      <c r="E7474">
        <v>0.365773044436283</v>
      </c>
      <c r="F7474">
        <v>0.82878783765816899</v>
      </c>
      <c r="G7474">
        <v>9662.5812172889691</v>
      </c>
      <c r="H7474">
        <v>157</v>
      </c>
      <c r="I7474">
        <v>201</v>
      </c>
      <c r="J7474">
        <v>30</v>
      </c>
    </row>
    <row r="7475" spans="1:10" x14ac:dyDescent="0.25">
      <c r="A7475" t="s">
        <v>27</v>
      </c>
      <c r="B7475" t="s">
        <v>11</v>
      </c>
      <c r="C7475" t="s">
        <v>18</v>
      </c>
      <c r="D7475" t="s">
        <v>17</v>
      </c>
      <c r="E7475">
        <v>0.24421593830334101</v>
      </c>
      <c r="F7475">
        <v>0.80032125528714504</v>
      </c>
      <c r="G7475">
        <v>9763.8461985588001</v>
      </c>
      <c r="H7475">
        <v>170</v>
      </c>
      <c r="I7475">
        <v>202</v>
      </c>
      <c r="J7475">
        <v>30</v>
      </c>
    </row>
    <row r="7476" spans="1:10" x14ac:dyDescent="0.25">
      <c r="A7476" t="s">
        <v>27</v>
      </c>
      <c r="B7476" t="s">
        <v>11</v>
      </c>
      <c r="C7476" t="s">
        <v>18</v>
      </c>
      <c r="D7476" t="s">
        <v>17</v>
      </c>
      <c r="E7476">
        <v>0.193903782592728</v>
      </c>
      <c r="F7476">
        <v>0.79061852875806105</v>
      </c>
      <c r="G7476">
        <v>10403.419568777001</v>
      </c>
      <c r="H7476">
        <v>195</v>
      </c>
      <c r="I7476">
        <v>212</v>
      </c>
      <c r="J7476">
        <v>30</v>
      </c>
    </row>
    <row r="7477" spans="1:10" x14ac:dyDescent="0.25">
      <c r="A7477" t="s">
        <v>27</v>
      </c>
      <c r="B7477" t="s">
        <v>11</v>
      </c>
      <c r="C7477" t="s">
        <v>18</v>
      </c>
      <c r="D7477" t="s">
        <v>17</v>
      </c>
      <c r="E7477">
        <v>0.28167462357693701</v>
      </c>
      <c r="F7477">
        <v>0.80958043439893401</v>
      </c>
      <c r="G7477">
        <v>11084.972702503201</v>
      </c>
      <c r="H7477">
        <v>192</v>
      </c>
      <c r="I7477">
        <v>247</v>
      </c>
      <c r="J7477">
        <v>30</v>
      </c>
    </row>
    <row r="7478" spans="1:10" x14ac:dyDescent="0.25">
      <c r="A7478" t="s">
        <v>27</v>
      </c>
      <c r="B7478" t="s">
        <v>11</v>
      </c>
      <c r="C7478" t="s">
        <v>18</v>
      </c>
      <c r="D7478" t="s">
        <v>17</v>
      </c>
      <c r="E7478">
        <v>0.21116415717958101</v>
      </c>
      <c r="F7478">
        <v>0.78952810275516006</v>
      </c>
      <c r="G7478">
        <v>11240.982115745501</v>
      </c>
      <c r="H7478">
        <v>218</v>
      </c>
      <c r="I7478">
        <v>273</v>
      </c>
      <c r="J7478">
        <v>30</v>
      </c>
    </row>
    <row r="7479" spans="1:10" x14ac:dyDescent="0.25">
      <c r="A7479" t="s">
        <v>27</v>
      </c>
      <c r="B7479" t="s">
        <v>11</v>
      </c>
      <c r="C7479" t="s">
        <v>18</v>
      </c>
      <c r="D7479" t="s">
        <v>17</v>
      </c>
      <c r="E7479">
        <v>0.28351083363936802</v>
      </c>
      <c r="F7479">
        <v>0.81082398206342099</v>
      </c>
      <c r="G7479">
        <v>11734.6874957084</v>
      </c>
      <c r="H7479">
        <v>188</v>
      </c>
      <c r="I7479">
        <v>267</v>
      </c>
      <c r="J7479">
        <v>30</v>
      </c>
    </row>
    <row r="7480" spans="1:10" x14ac:dyDescent="0.25">
      <c r="A7480" t="s">
        <v>27</v>
      </c>
      <c r="B7480" t="s">
        <v>11</v>
      </c>
      <c r="C7480" t="s">
        <v>18</v>
      </c>
      <c r="D7480" t="s">
        <v>17</v>
      </c>
      <c r="E7480">
        <v>0.31289019463826601</v>
      </c>
      <c r="F7480">
        <v>0.81593381491953698</v>
      </c>
      <c r="G7480">
        <v>11807.944385766899</v>
      </c>
      <c r="H7480">
        <v>232</v>
      </c>
      <c r="I7480">
        <v>282</v>
      </c>
      <c r="J7480">
        <v>30</v>
      </c>
    </row>
    <row r="7481" spans="1:10" x14ac:dyDescent="0.25">
      <c r="A7481" t="s">
        <v>27</v>
      </c>
      <c r="B7481" t="s">
        <v>11</v>
      </c>
      <c r="C7481" t="s">
        <v>18</v>
      </c>
      <c r="D7481" t="s">
        <v>17</v>
      </c>
      <c r="E7481">
        <v>0.28387807565185402</v>
      </c>
      <c r="F7481">
        <v>0.80919167162173999</v>
      </c>
      <c r="G7481">
        <v>12049.007518291401</v>
      </c>
      <c r="H7481">
        <v>217</v>
      </c>
      <c r="I7481">
        <v>264</v>
      </c>
      <c r="J7481">
        <v>30</v>
      </c>
    </row>
    <row r="7482" spans="1:10" x14ac:dyDescent="0.25">
      <c r="A7482" t="s">
        <v>27</v>
      </c>
      <c r="B7482" t="s">
        <v>11</v>
      </c>
      <c r="C7482" t="s">
        <v>18</v>
      </c>
      <c r="D7482" t="s">
        <v>17</v>
      </c>
      <c r="E7482">
        <v>0.215938303341902</v>
      </c>
      <c r="F7482">
        <v>0.79390144839566701</v>
      </c>
      <c r="G7482">
        <v>12219.003009796101</v>
      </c>
      <c r="H7482">
        <v>223</v>
      </c>
      <c r="I7482">
        <v>278</v>
      </c>
      <c r="J7482">
        <v>30</v>
      </c>
    </row>
    <row r="7483" spans="1:10" x14ac:dyDescent="0.25">
      <c r="A7483" t="s">
        <v>27</v>
      </c>
      <c r="B7483" t="s">
        <v>11</v>
      </c>
      <c r="C7483" t="s">
        <v>18</v>
      </c>
      <c r="D7483" t="s">
        <v>17</v>
      </c>
      <c r="E7483">
        <v>0.39368343738523598</v>
      </c>
      <c r="F7483">
        <v>0.82730848861208295</v>
      </c>
      <c r="G7483">
        <v>12635.516327381099</v>
      </c>
      <c r="H7483">
        <v>275</v>
      </c>
      <c r="I7483">
        <v>369</v>
      </c>
      <c r="J7483">
        <v>30</v>
      </c>
    </row>
    <row r="7484" spans="1:10" x14ac:dyDescent="0.25">
      <c r="A7484" t="s">
        <v>27</v>
      </c>
      <c r="B7484" t="s">
        <v>11</v>
      </c>
      <c r="C7484" t="s">
        <v>18</v>
      </c>
      <c r="D7484" t="s">
        <v>17</v>
      </c>
      <c r="E7484">
        <v>0.300036724201248</v>
      </c>
      <c r="F7484">
        <v>0.80815305386970104</v>
      </c>
      <c r="G7484">
        <v>13049.5456452369</v>
      </c>
      <c r="H7484">
        <v>281</v>
      </c>
      <c r="I7484">
        <v>274</v>
      </c>
      <c r="J7484">
        <v>30</v>
      </c>
    </row>
    <row r="7485" spans="1:10" x14ac:dyDescent="0.25">
      <c r="A7485" t="s">
        <v>27</v>
      </c>
      <c r="B7485" t="s">
        <v>11</v>
      </c>
      <c r="C7485" t="s">
        <v>18</v>
      </c>
      <c r="D7485" t="s">
        <v>17</v>
      </c>
      <c r="E7485">
        <v>0.38486962908556699</v>
      </c>
      <c r="F7485">
        <v>0.82781214627076605</v>
      </c>
      <c r="G7485">
        <v>13358.1628654003</v>
      </c>
      <c r="H7485">
        <v>279</v>
      </c>
      <c r="I7485">
        <v>352</v>
      </c>
      <c r="J7485">
        <v>30</v>
      </c>
    </row>
    <row r="7486" spans="1:10" x14ac:dyDescent="0.25">
      <c r="A7486" t="s">
        <v>27</v>
      </c>
      <c r="B7486" t="s">
        <v>11</v>
      </c>
      <c r="C7486" t="s">
        <v>18</v>
      </c>
      <c r="D7486" t="s">
        <v>17</v>
      </c>
      <c r="E7486">
        <v>0.35916268821153102</v>
      </c>
      <c r="F7486">
        <v>0.82233356657322898</v>
      </c>
      <c r="G7486">
        <v>13588.0142447948</v>
      </c>
      <c r="H7486">
        <v>276</v>
      </c>
      <c r="I7486">
        <v>374</v>
      </c>
      <c r="J7486">
        <v>30</v>
      </c>
    </row>
    <row r="7487" spans="1:10" x14ac:dyDescent="0.25">
      <c r="A7487" t="s">
        <v>27</v>
      </c>
      <c r="B7487" t="s">
        <v>11</v>
      </c>
      <c r="C7487" t="s">
        <v>18</v>
      </c>
      <c r="D7487" t="s">
        <v>17</v>
      </c>
      <c r="E7487">
        <v>0.280205655526992</v>
      </c>
      <c r="F7487">
        <v>0.80549120921116302</v>
      </c>
      <c r="G7487">
        <v>13598.018818140001</v>
      </c>
      <c r="H7487">
        <v>295</v>
      </c>
      <c r="I7487">
        <v>310</v>
      </c>
      <c r="J7487">
        <v>30</v>
      </c>
    </row>
    <row r="7488" spans="1:10" x14ac:dyDescent="0.25">
      <c r="A7488" t="s">
        <v>27</v>
      </c>
      <c r="B7488" t="s">
        <v>11</v>
      </c>
      <c r="C7488" t="s">
        <v>18</v>
      </c>
      <c r="D7488" t="s">
        <v>17</v>
      </c>
      <c r="E7488">
        <v>0.386338597135512</v>
      </c>
      <c r="F7488">
        <v>0.82683150748927803</v>
      </c>
      <c r="G7488">
        <v>13831.433044195101</v>
      </c>
      <c r="H7488">
        <v>310</v>
      </c>
      <c r="I7488">
        <v>386</v>
      </c>
      <c r="J7488">
        <v>30</v>
      </c>
    </row>
    <row r="7489" spans="1:10" x14ac:dyDescent="0.25">
      <c r="A7489" t="s">
        <v>27</v>
      </c>
      <c r="B7489" t="s">
        <v>11</v>
      </c>
      <c r="C7489" t="s">
        <v>18</v>
      </c>
      <c r="D7489" t="s">
        <v>17</v>
      </c>
      <c r="E7489">
        <v>0.32721263312522902</v>
      </c>
      <c r="F7489">
        <v>0.81772126047304405</v>
      </c>
      <c r="G7489">
        <v>14158.997829914</v>
      </c>
      <c r="H7489">
        <v>261</v>
      </c>
      <c r="I7489">
        <v>338</v>
      </c>
      <c r="J7489">
        <v>30</v>
      </c>
    </row>
    <row r="7490" spans="1:10" x14ac:dyDescent="0.25">
      <c r="A7490" t="s">
        <v>27</v>
      </c>
      <c r="B7490" t="s">
        <v>11</v>
      </c>
      <c r="C7490" t="s">
        <v>18</v>
      </c>
      <c r="D7490" t="s">
        <v>17</v>
      </c>
      <c r="E7490">
        <v>0.36320235034887899</v>
      </c>
      <c r="F7490">
        <v>0.82144471395644503</v>
      </c>
      <c r="G7490">
        <v>14320.7321281433</v>
      </c>
      <c r="H7490">
        <v>295</v>
      </c>
      <c r="I7490">
        <v>403</v>
      </c>
      <c r="J7490">
        <v>30</v>
      </c>
    </row>
    <row r="7491" spans="1:10" x14ac:dyDescent="0.25">
      <c r="A7491" t="s">
        <v>27</v>
      </c>
      <c r="B7491" t="s">
        <v>11</v>
      </c>
      <c r="C7491" t="s">
        <v>18</v>
      </c>
      <c r="D7491" t="s">
        <v>17</v>
      </c>
      <c r="E7491">
        <v>0.43114212265883201</v>
      </c>
      <c r="F7491">
        <v>0.83580369945317501</v>
      </c>
      <c r="G7491">
        <v>14554.3264994621</v>
      </c>
      <c r="H7491">
        <v>328</v>
      </c>
      <c r="I7491">
        <v>445</v>
      </c>
      <c r="J7491">
        <v>30</v>
      </c>
    </row>
    <row r="7492" spans="1:10" x14ac:dyDescent="0.25">
      <c r="A7492" t="s">
        <v>27</v>
      </c>
      <c r="B7492" t="s">
        <v>11</v>
      </c>
      <c r="C7492" t="s">
        <v>18</v>
      </c>
      <c r="D7492" t="s">
        <v>17</v>
      </c>
      <c r="E7492">
        <v>0.35328681601175099</v>
      </c>
      <c r="F7492">
        <v>0.82119716379544605</v>
      </c>
      <c r="G7492">
        <v>14951.3893809318</v>
      </c>
      <c r="H7492">
        <v>343</v>
      </c>
      <c r="I7492">
        <v>404</v>
      </c>
      <c r="J7492">
        <v>30</v>
      </c>
    </row>
    <row r="7493" spans="1:10" x14ac:dyDescent="0.25">
      <c r="A7493" t="s">
        <v>27</v>
      </c>
      <c r="B7493" t="s">
        <v>11</v>
      </c>
      <c r="C7493" t="s">
        <v>18</v>
      </c>
      <c r="D7493" t="s">
        <v>17</v>
      </c>
      <c r="E7493">
        <v>0.36430407638633799</v>
      </c>
      <c r="F7493">
        <v>0.82041706998519903</v>
      </c>
      <c r="G7493">
        <v>15001.185300827001</v>
      </c>
      <c r="H7493">
        <v>313</v>
      </c>
      <c r="I7493">
        <v>456</v>
      </c>
      <c r="J7493">
        <v>30</v>
      </c>
    </row>
    <row r="7494" spans="1:10" x14ac:dyDescent="0.25">
      <c r="A7494" t="s">
        <v>27</v>
      </c>
      <c r="B7494" t="s">
        <v>11</v>
      </c>
      <c r="C7494" t="s">
        <v>18</v>
      </c>
      <c r="D7494" t="s">
        <v>17</v>
      </c>
      <c r="E7494">
        <v>0.398090341535071</v>
      </c>
      <c r="F7494">
        <v>0.82570970786569997</v>
      </c>
      <c r="G7494">
        <v>15567.531240939999</v>
      </c>
      <c r="H7494">
        <v>384</v>
      </c>
      <c r="I7494">
        <v>514</v>
      </c>
      <c r="J7494">
        <v>30</v>
      </c>
    </row>
    <row r="7495" spans="1:10" x14ac:dyDescent="0.25">
      <c r="A7495" t="s">
        <v>27</v>
      </c>
      <c r="B7495" t="s">
        <v>11</v>
      </c>
      <c r="C7495" t="s">
        <v>18</v>
      </c>
      <c r="D7495" t="s">
        <v>17</v>
      </c>
      <c r="E7495">
        <v>0.37421961072346599</v>
      </c>
      <c r="F7495">
        <v>0.81869200689559296</v>
      </c>
      <c r="G7495">
        <v>15589.1031062603</v>
      </c>
      <c r="H7495">
        <v>351</v>
      </c>
      <c r="I7495">
        <v>490</v>
      </c>
      <c r="J7495">
        <v>30</v>
      </c>
    </row>
    <row r="7496" spans="1:10" x14ac:dyDescent="0.25">
      <c r="A7496" t="s">
        <v>27</v>
      </c>
      <c r="B7496" t="s">
        <v>11</v>
      </c>
      <c r="C7496" t="s">
        <v>18</v>
      </c>
      <c r="D7496" t="s">
        <v>17</v>
      </c>
      <c r="E7496">
        <v>0.35255233198677899</v>
      </c>
      <c r="F7496">
        <v>0.81898232059739096</v>
      </c>
      <c r="G7496">
        <v>15637.411866664799</v>
      </c>
      <c r="H7496">
        <v>431</v>
      </c>
      <c r="I7496">
        <v>501</v>
      </c>
      <c r="J7496">
        <v>30</v>
      </c>
    </row>
    <row r="7497" spans="1:10" x14ac:dyDescent="0.25">
      <c r="A7497" t="s">
        <v>27</v>
      </c>
      <c r="B7497" t="s">
        <v>11</v>
      </c>
      <c r="C7497" t="s">
        <v>18</v>
      </c>
      <c r="D7497" t="s">
        <v>17</v>
      </c>
      <c r="E7497">
        <v>0.37128167462357597</v>
      </c>
      <c r="F7497">
        <v>0.82339813675420304</v>
      </c>
      <c r="G7497">
        <v>15669.6511697769</v>
      </c>
      <c r="H7497">
        <v>440</v>
      </c>
      <c r="I7497">
        <v>544</v>
      </c>
      <c r="J7497">
        <v>30</v>
      </c>
    </row>
    <row r="7498" spans="1:10" x14ac:dyDescent="0.25">
      <c r="A7498" t="s">
        <v>27</v>
      </c>
      <c r="B7498" t="s">
        <v>11</v>
      </c>
      <c r="C7498" t="s">
        <v>18</v>
      </c>
      <c r="D7498" t="s">
        <v>17</v>
      </c>
      <c r="E7498">
        <v>0.37972824091076002</v>
      </c>
      <c r="F7498">
        <v>0.81993193007473297</v>
      </c>
      <c r="G7498">
        <v>15724.882096529</v>
      </c>
      <c r="H7498">
        <v>419</v>
      </c>
      <c r="I7498">
        <v>523</v>
      </c>
      <c r="J7498">
        <v>30</v>
      </c>
    </row>
    <row r="7499" spans="1:10" x14ac:dyDescent="0.25">
      <c r="A7499" t="s">
        <v>27</v>
      </c>
      <c r="B7499" t="s">
        <v>11</v>
      </c>
      <c r="C7499" t="s">
        <v>18</v>
      </c>
      <c r="D7499" t="s">
        <v>17</v>
      </c>
      <c r="E7499">
        <v>0.37936099889827302</v>
      </c>
      <c r="F7499">
        <v>0.82169841747142902</v>
      </c>
      <c r="G7499">
        <v>15809.576928377101</v>
      </c>
      <c r="H7499">
        <v>404</v>
      </c>
      <c r="I7499">
        <v>563</v>
      </c>
      <c r="J7499">
        <v>30</v>
      </c>
    </row>
    <row r="7500" spans="1:10" x14ac:dyDescent="0.25">
      <c r="A7500" t="s">
        <v>27</v>
      </c>
      <c r="B7500" t="s">
        <v>11</v>
      </c>
      <c r="C7500" t="s">
        <v>18</v>
      </c>
      <c r="D7500" t="s">
        <v>17</v>
      </c>
      <c r="E7500">
        <v>0.38119720896070503</v>
      </c>
      <c r="F7500">
        <v>0.81885971857230999</v>
      </c>
      <c r="G7500">
        <v>15811.251204013801</v>
      </c>
      <c r="H7500">
        <v>462</v>
      </c>
      <c r="I7500">
        <v>556</v>
      </c>
      <c r="J7500">
        <v>30</v>
      </c>
    </row>
    <row r="7501" spans="1:10" x14ac:dyDescent="0.25">
      <c r="A7501" t="s">
        <v>27</v>
      </c>
      <c r="B7501" t="s">
        <v>11</v>
      </c>
      <c r="C7501" t="s">
        <v>18</v>
      </c>
      <c r="D7501" t="s">
        <v>17</v>
      </c>
      <c r="E7501">
        <v>0.48218876239441699</v>
      </c>
      <c r="F7501">
        <v>0.835539175136357</v>
      </c>
      <c r="G7501">
        <v>16045.40472579</v>
      </c>
      <c r="H7501">
        <v>675</v>
      </c>
      <c r="I7501">
        <v>905</v>
      </c>
      <c r="J7501">
        <v>30</v>
      </c>
    </row>
    <row r="7502" spans="1:10" x14ac:dyDescent="0.25">
      <c r="A7502" t="s">
        <v>27</v>
      </c>
      <c r="B7502" t="s">
        <v>19</v>
      </c>
      <c r="C7502" t="s">
        <v>12</v>
      </c>
      <c r="D7502" t="s">
        <v>13</v>
      </c>
      <c r="E7502">
        <v>0.91516709511568095</v>
      </c>
      <c r="F7502">
        <v>0.92587827922610799</v>
      </c>
      <c r="G7502">
        <v>1017.38807702064</v>
      </c>
      <c r="H7502">
        <v>127</v>
      </c>
      <c r="I7502">
        <v>216</v>
      </c>
      <c r="J7502">
        <v>30</v>
      </c>
    </row>
    <row r="7503" spans="1:10" x14ac:dyDescent="0.25">
      <c r="A7503" t="s">
        <v>27</v>
      </c>
      <c r="B7503" t="s">
        <v>19</v>
      </c>
      <c r="C7503" t="s">
        <v>12</v>
      </c>
      <c r="D7503" t="s">
        <v>13</v>
      </c>
      <c r="E7503">
        <v>0.91259640102827699</v>
      </c>
      <c r="F7503">
        <v>0.92312259865475499</v>
      </c>
      <c r="G7503">
        <v>1040.9321546554499</v>
      </c>
      <c r="H7503">
        <v>141</v>
      </c>
      <c r="I7503">
        <v>252</v>
      </c>
      <c r="J7503">
        <v>30</v>
      </c>
    </row>
    <row r="7504" spans="1:10" x14ac:dyDescent="0.25">
      <c r="A7504" t="s">
        <v>27</v>
      </c>
      <c r="B7504" t="s">
        <v>19</v>
      </c>
      <c r="C7504" t="s">
        <v>12</v>
      </c>
      <c r="D7504" t="s">
        <v>13</v>
      </c>
      <c r="E7504">
        <v>0.90965846492838698</v>
      </c>
      <c r="F7504">
        <v>0.92708998993209601</v>
      </c>
      <c r="G7504">
        <v>1046.26722884178</v>
      </c>
      <c r="H7504">
        <v>107</v>
      </c>
      <c r="I7504">
        <v>193</v>
      </c>
      <c r="J7504">
        <v>30</v>
      </c>
    </row>
    <row r="7505" spans="1:10" x14ac:dyDescent="0.25">
      <c r="A7505" t="s">
        <v>27</v>
      </c>
      <c r="B7505" t="s">
        <v>19</v>
      </c>
      <c r="C7505" t="s">
        <v>12</v>
      </c>
      <c r="D7505" t="s">
        <v>13</v>
      </c>
      <c r="E7505">
        <v>0.903415350716121</v>
      </c>
      <c r="F7505">
        <v>0.91489503391953697</v>
      </c>
      <c r="G7505">
        <v>1065.83442640304</v>
      </c>
      <c r="H7505">
        <v>158</v>
      </c>
      <c r="I7505">
        <v>274</v>
      </c>
      <c r="J7505">
        <v>30</v>
      </c>
    </row>
    <row r="7506" spans="1:10" x14ac:dyDescent="0.25">
      <c r="A7506" t="s">
        <v>27</v>
      </c>
      <c r="B7506" t="s">
        <v>19</v>
      </c>
      <c r="C7506" t="s">
        <v>12</v>
      </c>
      <c r="D7506" t="s">
        <v>13</v>
      </c>
      <c r="E7506">
        <v>0.91516709511568095</v>
      </c>
      <c r="F7506">
        <v>0.92454937162978401</v>
      </c>
      <c r="G7506">
        <v>1073.1248197555501</v>
      </c>
      <c r="H7506">
        <v>148</v>
      </c>
      <c r="I7506">
        <v>270</v>
      </c>
      <c r="J7506">
        <v>30</v>
      </c>
    </row>
    <row r="7507" spans="1:10" x14ac:dyDescent="0.25">
      <c r="A7507" t="s">
        <v>27</v>
      </c>
      <c r="B7507" t="s">
        <v>19</v>
      </c>
      <c r="C7507" t="s">
        <v>12</v>
      </c>
      <c r="D7507" t="s">
        <v>13</v>
      </c>
      <c r="E7507">
        <v>0.91626882115313901</v>
      </c>
      <c r="F7507">
        <v>0.92588076829298305</v>
      </c>
      <c r="G7507">
        <v>1079.3633358478501</v>
      </c>
      <c r="H7507">
        <v>159</v>
      </c>
      <c r="I7507">
        <v>265</v>
      </c>
      <c r="J7507">
        <v>30</v>
      </c>
    </row>
    <row r="7508" spans="1:10" x14ac:dyDescent="0.25">
      <c r="A7508" t="s">
        <v>27</v>
      </c>
      <c r="B7508" t="s">
        <v>19</v>
      </c>
      <c r="C7508" t="s">
        <v>12</v>
      </c>
      <c r="D7508" t="s">
        <v>13</v>
      </c>
      <c r="E7508">
        <v>0.91590157914065295</v>
      </c>
      <c r="F7508">
        <v>0.92580375221362299</v>
      </c>
      <c r="G7508">
        <v>1091.6524522304501</v>
      </c>
      <c r="H7508">
        <v>157</v>
      </c>
      <c r="I7508">
        <v>277</v>
      </c>
      <c r="J7508">
        <v>30</v>
      </c>
    </row>
    <row r="7509" spans="1:10" x14ac:dyDescent="0.25">
      <c r="A7509" t="s">
        <v>27</v>
      </c>
      <c r="B7509" t="s">
        <v>19</v>
      </c>
      <c r="C7509" t="s">
        <v>12</v>
      </c>
      <c r="D7509" t="s">
        <v>13</v>
      </c>
      <c r="E7509">
        <v>0.90488431876606601</v>
      </c>
      <c r="F7509">
        <v>0.91906345963767899</v>
      </c>
      <c r="G7509">
        <v>1097.75502681732</v>
      </c>
      <c r="H7509">
        <v>138</v>
      </c>
      <c r="I7509">
        <v>245</v>
      </c>
      <c r="J7509">
        <v>30</v>
      </c>
    </row>
    <row r="7510" spans="1:10" x14ac:dyDescent="0.25">
      <c r="A7510" t="s">
        <v>27</v>
      </c>
      <c r="B7510" t="s">
        <v>19</v>
      </c>
      <c r="C7510" t="s">
        <v>12</v>
      </c>
      <c r="D7510" t="s">
        <v>13</v>
      </c>
      <c r="E7510">
        <v>0.91443261109070795</v>
      </c>
      <c r="F7510">
        <v>0.92496400006610302</v>
      </c>
      <c r="G7510">
        <v>1116.34436416625</v>
      </c>
      <c r="H7510">
        <v>156</v>
      </c>
      <c r="I7510">
        <v>252</v>
      </c>
      <c r="J7510">
        <v>30</v>
      </c>
    </row>
    <row r="7511" spans="1:10" x14ac:dyDescent="0.25">
      <c r="A7511" t="s">
        <v>27</v>
      </c>
      <c r="B7511" t="s">
        <v>19</v>
      </c>
      <c r="C7511" t="s">
        <v>12</v>
      </c>
      <c r="D7511" t="s">
        <v>13</v>
      </c>
      <c r="E7511">
        <v>0.90525156077855296</v>
      </c>
      <c r="F7511">
        <v>0.91776593267686302</v>
      </c>
      <c r="G7511">
        <v>1118.37436771392</v>
      </c>
      <c r="H7511">
        <v>158</v>
      </c>
      <c r="I7511">
        <v>264</v>
      </c>
      <c r="J7511">
        <v>30</v>
      </c>
    </row>
    <row r="7512" spans="1:10" x14ac:dyDescent="0.25">
      <c r="A7512" t="s">
        <v>27</v>
      </c>
      <c r="B7512" t="s">
        <v>19</v>
      </c>
      <c r="C7512" t="s">
        <v>12</v>
      </c>
      <c r="D7512" t="s">
        <v>13</v>
      </c>
      <c r="E7512">
        <v>0.90414983474109401</v>
      </c>
      <c r="F7512">
        <v>0.91474124406202595</v>
      </c>
      <c r="G7512">
        <v>1124.02562713623</v>
      </c>
      <c r="H7512">
        <v>135</v>
      </c>
      <c r="I7512">
        <v>252</v>
      </c>
      <c r="J7512">
        <v>30</v>
      </c>
    </row>
    <row r="7513" spans="1:10" x14ac:dyDescent="0.25">
      <c r="A7513" t="s">
        <v>27</v>
      </c>
      <c r="B7513" t="s">
        <v>19</v>
      </c>
      <c r="C7513" t="s">
        <v>12</v>
      </c>
      <c r="D7513" t="s">
        <v>13</v>
      </c>
      <c r="E7513">
        <v>0.90672052882849796</v>
      </c>
      <c r="F7513">
        <v>0.91840493225570796</v>
      </c>
      <c r="G7513">
        <v>1124.27379822731</v>
      </c>
      <c r="H7513">
        <v>149</v>
      </c>
      <c r="I7513">
        <v>264</v>
      </c>
      <c r="J7513">
        <v>30</v>
      </c>
    </row>
    <row r="7514" spans="1:10" x14ac:dyDescent="0.25">
      <c r="A7514" t="s">
        <v>27</v>
      </c>
      <c r="B7514" t="s">
        <v>19</v>
      </c>
      <c r="C7514" t="s">
        <v>12</v>
      </c>
      <c r="D7514" t="s">
        <v>13</v>
      </c>
      <c r="E7514">
        <v>0.91002570694087404</v>
      </c>
      <c r="F7514">
        <v>0.91925458149658501</v>
      </c>
      <c r="G7514">
        <v>1126.4444015025999</v>
      </c>
      <c r="H7514">
        <v>152</v>
      </c>
      <c r="I7514">
        <v>283</v>
      </c>
      <c r="J7514">
        <v>30</v>
      </c>
    </row>
    <row r="7515" spans="1:10" x14ac:dyDescent="0.25">
      <c r="A7515" t="s">
        <v>27</v>
      </c>
      <c r="B7515" t="s">
        <v>19</v>
      </c>
      <c r="C7515" t="s">
        <v>12</v>
      </c>
      <c r="D7515" t="s">
        <v>13</v>
      </c>
      <c r="E7515">
        <v>0.91039294895335998</v>
      </c>
      <c r="F7515">
        <v>0.92140085950650097</v>
      </c>
      <c r="G7515">
        <v>1133.4172530174201</v>
      </c>
      <c r="H7515">
        <v>159</v>
      </c>
      <c r="I7515">
        <v>283</v>
      </c>
      <c r="J7515">
        <v>30</v>
      </c>
    </row>
    <row r="7516" spans="1:10" x14ac:dyDescent="0.25">
      <c r="A7516" t="s">
        <v>27</v>
      </c>
      <c r="B7516" t="s">
        <v>19</v>
      </c>
      <c r="C7516" t="s">
        <v>12</v>
      </c>
      <c r="D7516" t="s">
        <v>13</v>
      </c>
      <c r="E7516">
        <v>0.90378259272860795</v>
      </c>
      <c r="F7516">
        <v>0.91655056442780003</v>
      </c>
      <c r="G7516">
        <v>1134.6559009552</v>
      </c>
      <c r="H7516">
        <v>159</v>
      </c>
      <c r="I7516">
        <v>273</v>
      </c>
      <c r="J7516">
        <v>30</v>
      </c>
    </row>
    <row r="7517" spans="1:10" x14ac:dyDescent="0.25">
      <c r="A7517" t="s">
        <v>27</v>
      </c>
      <c r="B7517" t="s">
        <v>19</v>
      </c>
      <c r="C7517" t="s">
        <v>12</v>
      </c>
      <c r="D7517" t="s">
        <v>13</v>
      </c>
      <c r="E7517">
        <v>0.91369812706573605</v>
      </c>
      <c r="F7517">
        <v>0.92378469918435602</v>
      </c>
      <c r="G7517">
        <v>1141.6211965084001</v>
      </c>
      <c r="H7517">
        <v>147</v>
      </c>
      <c r="I7517">
        <v>260</v>
      </c>
      <c r="J7517">
        <v>30</v>
      </c>
    </row>
    <row r="7518" spans="1:10" x14ac:dyDescent="0.25">
      <c r="A7518" t="s">
        <v>27</v>
      </c>
      <c r="B7518" t="s">
        <v>19</v>
      </c>
      <c r="C7518" t="s">
        <v>12</v>
      </c>
      <c r="D7518" t="s">
        <v>13</v>
      </c>
      <c r="E7518">
        <v>0.92508262945280895</v>
      </c>
      <c r="F7518">
        <v>0.93265652841314695</v>
      </c>
      <c r="G7518">
        <v>1145.45859551429</v>
      </c>
      <c r="H7518">
        <v>161</v>
      </c>
      <c r="I7518">
        <v>288</v>
      </c>
      <c r="J7518">
        <v>30</v>
      </c>
    </row>
    <row r="7519" spans="1:10" x14ac:dyDescent="0.25">
      <c r="A7519" t="s">
        <v>27</v>
      </c>
      <c r="B7519" t="s">
        <v>19</v>
      </c>
      <c r="C7519" t="s">
        <v>12</v>
      </c>
      <c r="D7519" t="s">
        <v>13</v>
      </c>
      <c r="E7519">
        <v>0.914065369078222</v>
      </c>
      <c r="F7519">
        <v>0.92380791471138501</v>
      </c>
      <c r="G7519">
        <v>1150.1243691444299</v>
      </c>
      <c r="H7519">
        <v>142</v>
      </c>
      <c r="I7519">
        <v>261</v>
      </c>
      <c r="J7519">
        <v>30</v>
      </c>
    </row>
    <row r="7520" spans="1:10" x14ac:dyDescent="0.25">
      <c r="A7520" t="s">
        <v>27</v>
      </c>
      <c r="B7520" t="s">
        <v>19</v>
      </c>
      <c r="C7520" t="s">
        <v>12</v>
      </c>
      <c r="D7520" t="s">
        <v>13</v>
      </c>
      <c r="E7520">
        <v>0.91002570694087404</v>
      </c>
      <c r="F7520">
        <v>0.92209107038773497</v>
      </c>
      <c r="G7520">
        <v>1152.1576046943601</v>
      </c>
      <c r="H7520">
        <v>176</v>
      </c>
      <c r="I7520">
        <v>312</v>
      </c>
      <c r="J7520">
        <v>30</v>
      </c>
    </row>
    <row r="7521" spans="1:10" x14ac:dyDescent="0.25">
      <c r="A7521" t="s">
        <v>27</v>
      </c>
      <c r="B7521" t="s">
        <v>19</v>
      </c>
      <c r="C7521" t="s">
        <v>12</v>
      </c>
      <c r="D7521" t="s">
        <v>13</v>
      </c>
      <c r="E7521">
        <v>0.91553433712816701</v>
      </c>
      <c r="F7521">
        <v>0.92441633803910905</v>
      </c>
      <c r="G7521">
        <v>1158.6573491096401</v>
      </c>
      <c r="H7521">
        <v>176</v>
      </c>
      <c r="I7521">
        <v>323</v>
      </c>
      <c r="J7521">
        <v>30</v>
      </c>
    </row>
    <row r="7522" spans="1:10" x14ac:dyDescent="0.25">
      <c r="A7522" t="s">
        <v>27</v>
      </c>
      <c r="B7522" t="s">
        <v>19</v>
      </c>
      <c r="C7522" t="s">
        <v>12</v>
      </c>
      <c r="D7522" t="s">
        <v>13</v>
      </c>
      <c r="E7522">
        <v>0.91039294895335998</v>
      </c>
      <c r="F7522">
        <v>0.92102815766738799</v>
      </c>
      <c r="G7522">
        <v>1159.81974649429</v>
      </c>
      <c r="H7522">
        <v>178</v>
      </c>
      <c r="I7522">
        <v>310</v>
      </c>
      <c r="J7522">
        <v>30</v>
      </c>
    </row>
    <row r="7523" spans="1:10" x14ac:dyDescent="0.25">
      <c r="A7523" t="s">
        <v>27</v>
      </c>
      <c r="B7523" t="s">
        <v>19</v>
      </c>
      <c r="C7523" t="s">
        <v>12</v>
      </c>
      <c r="D7523" t="s">
        <v>13</v>
      </c>
      <c r="E7523">
        <v>0.90525156077855296</v>
      </c>
      <c r="F7523">
        <v>0.91780078818285105</v>
      </c>
      <c r="G7523">
        <v>1162.8673992156901</v>
      </c>
      <c r="H7523">
        <v>152</v>
      </c>
      <c r="I7523">
        <v>278</v>
      </c>
      <c r="J7523">
        <v>30</v>
      </c>
    </row>
    <row r="7524" spans="1:10" x14ac:dyDescent="0.25">
      <c r="A7524" t="s">
        <v>27</v>
      </c>
      <c r="B7524" t="s">
        <v>19</v>
      </c>
      <c r="C7524" t="s">
        <v>12</v>
      </c>
      <c r="D7524" t="s">
        <v>13</v>
      </c>
      <c r="E7524">
        <v>0.91149467499081804</v>
      </c>
      <c r="F7524">
        <v>0.92339573111252304</v>
      </c>
      <c r="G7524">
        <v>1181.7472865581501</v>
      </c>
      <c r="H7524">
        <v>145</v>
      </c>
      <c r="I7524">
        <v>264</v>
      </c>
      <c r="J7524">
        <v>30</v>
      </c>
    </row>
    <row r="7525" spans="1:10" x14ac:dyDescent="0.25">
      <c r="A7525" t="s">
        <v>27</v>
      </c>
      <c r="B7525" t="s">
        <v>19</v>
      </c>
      <c r="C7525" t="s">
        <v>12</v>
      </c>
      <c r="D7525" t="s">
        <v>13</v>
      </c>
      <c r="E7525">
        <v>0.89827396254131398</v>
      </c>
      <c r="F7525">
        <v>0.90863215608446501</v>
      </c>
      <c r="G7525">
        <v>1185.08618068695</v>
      </c>
      <c r="H7525">
        <v>165</v>
      </c>
      <c r="I7525">
        <v>321</v>
      </c>
      <c r="J7525">
        <v>30</v>
      </c>
    </row>
    <row r="7526" spans="1:10" x14ac:dyDescent="0.25">
      <c r="A7526" t="s">
        <v>27</v>
      </c>
      <c r="B7526" t="s">
        <v>19</v>
      </c>
      <c r="C7526" t="s">
        <v>12</v>
      </c>
      <c r="D7526" t="s">
        <v>13</v>
      </c>
      <c r="E7526">
        <v>0.91369812706573605</v>
      </c>
      <c r="F7526">
        <v>0.92410385260609496</v>
      </c>
      <c r="G7526">
        <v>1188.78266835212</v>
      </c>
      <c r="H7526">
        <v>143</v>
      </c>
      <c r="I7526">
        <v>280</v>
      </c>
      <c r="J7526">
        <v>30</v>
      </c>
    </row>
    <row r="7527" spans="1:10" x14ac:dyDescent="0.25">
      <c r="A7527" t="s">
        <v>27</v>
      </c>
      <c r="B7527" t="s">
        <v>19</v>
      </c>
      <c r="C7527" t="s">
        <v>12</v>
      </c>
      <c r="D7527" t="s">
        <v>13</v>
      </c>
      <c r="E7527">
        <v>0.90157914065369005</v>
      </c>
      <c r="F7527">
        <v>0.91485206165512301</v>
      </c>
      <c r="G7527">
        <v>1189.45028805732</v>
      </c>
      <c r="H7527">
        <v>159</v>
      </c>
      <c r="I7527">
        <v>285</v>
      </c>
      <c r="J7527">
        <v>30</v>
      </c>
    </row>
    <row r="7528" spans="1:10" x14ac:dyDescent="0.25">
      <c r="A7528" t="s">
        <v>27</v>
      </c>
      <c r="B7528" t="s">
        <v>19</v>
      </c>
      <c r="C7528" t="s">
        <v>12</v>
      </c>
      <c r="D7528" t="s">
        <v>13</v>
      </c>
      <c r="E7528">
        <v>0.90782225486595602</v>
      </c>
      <c r="F7528">
        <v>0.921409826599486</v>
      </c>
      <c r="G7528">
        <v>1190.0155963897701</v>
      </c>
      <c r="H7528">
        <v>184</v>
      </c>
      <c r="I7528">
        <v>321</v>
      </c>
      <c r="J7528">
        <v>30</v>
      </c>
    </row>
    <row r="7529" spans="1:10" x14ac:dyDescent="0.25">
      <c r="A7529" t="s">
        <v>27</v>
      </c>
      <c r="B7529" t="s">
        <v>19</v>
      </c>
      <c r="C7529" t="s">
        <v>12</v>
      </c>
      <c r="D7529" t="s">
        <v>13</v>
      </c>
      <c r="E7529">
        <v>0.89974293059125898</v>
      </c>
      <c r="F7529">
        <v>0.92291955543003901</v>
      </c>
      <c r="G7529">
        <v>1190.7874100208201</v>
      </c>
      <c r="H7529">
        <v>143</v>
      </c>
      <c r="I7529">
        <v>286</v>
      </c>
      <c r="J7529">
        <v>30</v>
      </c>
    </row>
    <row r="7530" spans="1:10" x14ac:dyDescent="0.25">
      <c r="A7530" t="s">
        <v>27</v>
      </c>
      <c r="B7530" t="s">
        <v>19</v>
      </c>
      <c r="C7530" t="s">
        <v>12</v>
      </c>
      <c r="D7530" t="s">
        <v>13</v>
      </c>
      <c r="E7530">
        <v>0.90745501285346997</v>
      </c>
      <c r="F7530">
        <v>0.92281755790925502</v>
      </c>
      <c r="G7530">
        <v>1195.20904946327</v>
      </c>
      <c r="H7530">
        <v>153</v>
      </c>
      <c r="I7530">
        <v>290</v>
      </c>
      <c r="J7530">
        <v>30</v>
      </c>
    </row>
    <row r="7531" spans="1:10" x14ac:dyDescent="0.25">
      <c r="A7531" t="s">
        <v>27</v>
      </c>
      <c r="B7531" t="s">
        <v>19</v>
      </c>
      <c r="C7531" t="s">
        <v>12</v>
      </c>
      <c r="D7531" t="s">
        <v>13</v>
      </c>
      <c r="E7531">
        <v>0.90378259272860795</v>
      </c>
      <c r="F7531">
        <v>0.91525819384271101</v>
      </c>
      <c r="G7531">
        <v>1198.8020801544101</v>
      </c>
      <c r="H7531">
        <v>186</v>
      </c>
      <c r="I7531">
        <v>336</v>
      </c>
      <c r="J7531">
        <v>30</v>
      </c>
    </row>
    <row r="7532" spans="1:10" x14ac:dyDescent="0.25">
      <c r="A7532" t="s">
        <v>27</v>
      </c>
      <c r="B7532" t="s">
        <v>19</v>
      </c>
      <c r="C7532" t="s">
        <v>12</v>
      </c>
      <c r="D7532" t="s">
        <v>14</v>
      </c>
      <c r="E7532">
        <v>0.220712449504223</v>
      </c>
      <c r="F7532">
        <v>0.80374830651476303</v>
      </c>
      <c r="G7532">
        <v>12.4309818744659</v>
      </c>
      <c r="H7532">
        <v>8</v>
      </c>
      <c r="I7532">
        <v>8</v>
      </c>
      <c r="J7532">
        <v>30</v>
      </c>
    </row>
    <row r="7533" spans="1:10" x14ac:dyDescent="0.25">
      <c r="A7533" t="s">
        <v>27</v>
      </c>
      <c r="B7533" t="s">
        <v>19</v>
      </c>
      <c r="C7533" t="s">
        <v>12</v>
      </c>
      <c r="D7533" t="s">
        <v>14</v>
      </c>
      <c r="E7533">
        <v>0.21777451340433299</v>
      </c>
      <c r="F7533">
        <v>0.803568152114432</v>
      </c>
      <c r="G7533">
        <v>12.7419445514678</v>
      </c>
      <c r="H7533">
        <v>9</v>
      </c>
      <c r="I7533">
        <v>9</v>
      </c>
      <c r="J7533">
        <v>30</v>
      </c>
    </row>
    <row r="7534" spans="1:10" x14ac:dyDescent="0.25">
      <c r="A7534" t="s">
        <v>27</v>
      </c>
      <c r="B7534" t="s">
        <v>19</v>
      </c>
      <c r="C7534" t="s">
        <v>12</v>
      </c>
      <c r="D7534" t="s">
        <v>14</v>
      </c>
      <c r="E7534">
        <v>0.21630554535438801</v>
      </c>
      <c r="F7534">
        <v>0.80291804019379198</v>
      </c>
      <c r="G7534">
        <v>12.923923015594401</v>
      </c>
      <c r="H7534">
        <v>7</v>
      </c>
      <c r="I7534">
        <v>7</v>
      </c>
      <c r="J7534">
        <v>30</v>
      </c>
    </row>
    <row r="7535" spans="1:10" x14ac:dyDescent="0.25">
      <c r="A7535" t="s">
        <v>27</v>
      </c>
      <c r="B7535" t="s">
        <v>19</v>
      </c>
      <c r="C7535" t="s">
        <v>12</v>
      </c>
      <c r="D7535" t="s">
        <v>14</v>
      </c>
      <c r="E7535">
        <v>0.24348145427836901</v>
      </c>
      <c r="F7535">
        <v>0.80755040429452496</v>
      </c>
      <c r="G7535">
        <v>12.9098908901214</v>
      </c>
      <c r="H7535">
        <v>9</v>
      </c>
      <c r="I7535">
        <v>9</v>
      </c>
      <c r="J7535">
        <v>30</v>
      </c>
    </row>
    <row r="7536" spans="1:10" x14ac:dyDescent="0.25">
      <c r="A7536" t="s">
        <v>27</v>
      </c>
      <c r="B7536" t="s">
        <v>19</v>
      </c>
      <c r="C7536" t="s">
        <v>12</v>
      </c>
      <c r="D7536" t="s">
        <v>14</v>
      </c>
      <c r="E7536">
        <v>0.23466764597869899</v>
      </c>
      <c r="F7536">
        <v>0.80684481777752404</v>
      </c>
      <c r="G7536">
        <v>13.040768623351999</v>
      </c>
      <c r="H7536">
        <v>9</v>
      </c>
      <c r="I7536">
        <v>9</v>
      </c>
      <c r="J7536">
        <v>30</v>
      </c>
    </row>
    <row r="7537" spans="1:10" x14ac:dyDescent="0.25">
      <c r="A7537" t="s">
        <v>27</v>
      </c>
      <c r="B7537" t="s">
        <v>19</v>
      </c>
      <c r="C7537" t="s">
        <v>12</v>
      </c>
      <c r="D7537" t="s">
        <v>14</v>
      </c>
      <c r="E7537">
        <v>0.23834006610356201</v>
      </c>
      <c r="F7537">
        <v>0.80726150215581804</v>
      </c>
      <c r="G7537">
        <v>12.8298408985137</v>
      </c>
      <c r="H7537">
        <v>7</v>
      </c>
      <c r="I7537">
        <v>7</v>
      </c>
      <c r="J7537">
        <v>30</v>
      </c>
    </row>
    <row r="7538" spans="1:10" x14ac:dyDescent="0.25">
      <c r="A7538" t="s">
        <v>27</v>
      </c>
      <c r="B7538" t="s">
        <v>19</v>
      </c>
      <c r="C7538" t="s">
        <v>12</v>
      </c>
      <c r="D7538" t="s">
        <v>14</v>
      </c>
      <c r="E7538">
        <v>0.236871098053617</v>
      </c>
      <c r="F7538">
        <v>0.80718242350165104</v>
      </c>
      <c r="G7538">
        <v>12.9051065444946</v>
      </c>
      <c r="H7538">
        <v>9</v>
      </c>
      <c r="I7538">
        <v>9</v>
      </c>
      <c r="J7538">
        <v>30</v>
      </c>
    </row>
    <row r="7539" spans="1:10" x14ac:dyDescent="0.25">
      <c r="A7539" t="s">
        <v>27</v>
      </c>
      <c r="B7539" t="s">
        <v>19</v>
      </c>
      <c r="C7539" t="s">
        <v>12</v>
      </c>
      <c r="D7539" t="s">
        <v>14</v>
      </c>
      <c r="E7539">
        <v>0.236503856041131</v>
      </c>
      <c r="F7539">
        <v>0.80798870168123405</v>
      </c>
      <c r="G7539">
        <v>12.8982439041137</v>
      </c>
      <c r="H7539">
        <v>10</v>
      </c>
      <c r="I7539">
        <v>10</v>
      </c>
      <c r="J7539">
        <v>30</v>
      </c>
    </row>
    <row r="7540" spans="1:10" x14ac:dyDescent="0.25">
      <c r="A7540" t="s">
        <v>27</v>
      </c>
      <c r="B7540" t="s">
        <v>19</v>
      </c>
      <c r="C7540" t="s">
        <v>12</v>
      </c>
      <c r="D7540" t="s">
        <v>14</v>
      </c>
      <c r="E7540">
        <v>0.230627983841351</v>
      </c>
      <c r="F7540">
        <v>0.80664682603573301</v>
      </c>
      <c r="G7540">
        <v>13.0912907123565</v>
      </c>
      <c r="H7540">
        <v>10</v>
      </c>
      <c r="I7540">
        <v>10</v>
      </c>
      <c r="J7540">
        <v>30</v>
      </c>
    </row>
    <row r="7541" spans="1:10" x14ac:dyDescent="0.25">
      <c r="A7541" t="s">
        <v>27</v>
      </c>
      <c r="B7541" t="s">
        <v>19</v>
      </c>
      <c r="C7541" t="s">
        <v>12</v>
      </c>
      <c r="D7541" t="s">
        <v>14</v>
      </c>
      <c r="E7541">
        <v>0.24054351817847899</v>
      </c>
      <c r="F7541">
        <v>0.80840497948585999</v>
      </c>
      <c r="G7541">
        <v>13.1033115386962</v>
      </c>
      <c r="H7541">
        <v>8</v>
      </c>
      <c r="I7541">
        <v>8</v>
      </c>
      <c r="J7541">
        <v>30</v>
      </c>
    </row>
    <row r="7542" spans="1:10" x14ac:dyDescent="0.25">
      <c r="A7542" t="s">
        <v>27</v>
      </c>
      <c r="B7542" t="s">
        <v>19</v>
      </c>
      <c r="C7542" t="s">
        <v>12</v>
      </c>
      <c r="D7542" t="s">
        <v>14</v>
      </c>
      <c r="E7542">
        <v>0.241645244215938</v>
      </c>
      <c r="F7542">
        <v>0.80904147995200304</v>
      </c>
      <c r="G7542">
        <v>12.9867739677429</v>
      </c>
      <c r="H7542">
        <v>10</v>
      </c>
      <c r="I7542">
        <v>10</v>
      </c>
      <c r="J7542">
        <v>30</v>
      </c>
    </row>
    <row r="7543" spans="1:10" x14ac:dyDescent="0.25">
      <c r="A7543" t="s">
        <v>27</v>
      </c>
      <c r="B7543" t="s">
        <v>19</v>
      </c>
      <c r="C7543" t="s">
        <v>12</v>
      </c>
      <c r="D7543" t="s">
        <v>14</v>
      </c>
      <c r="E7543">
        <v>0.242012486228424</v>
      </c>
      <c r="F7543">
        <v>0.80819249111329305</v>
      </c>
      <c r="G7543">
        <v>12.9753077030181</v>
      </c>
      <c r="H7543">
        <v>8</v>
      </c>
      <c r="I7543">
        <v>8</v>
      </c>
      <c r="J7543">
        <v>30</v>
      </c>
    </row>
    <row r="7544" spans="1:10" x14ac:dyDescent="0.25">
      <c r="A7544" t="s">
        <v>27</v>
      </c>
      <c r="B7544" t="s">
        <v>19</v>
      </c>
      <c r="C7544" t="s">
        <v>12</v>
      </c>
      <c r="D7544" t="s">
        <v>14</v>
      </c>
      <c r="E7544">
        <v>0.25449871465295598</v>
      </c>
      <c r="F7544">
        <v>0.81145452550712405</v>
      </c>
      <c r="G7544">
        <v>13.2189683914184</v>
      </c>
      <c r="H7544">
        <v>9</v>
      </c>
      <c r="I7544">
        <v>9</v>
      </c>
      <c r="J7544">
        <v>30</v>
      </c>
    </row>
    <row r="7545" spans="1:10" x14ac:dyDescent="0.25">
      <c r="A7545" t="s">
        <v>27</v>
      </c>
      <c r="B7545" t="s">
        <v>19</v>
      </c>
      <c r="C7545" t="s">
        <v>12</v>
      </c>
      <c r="D7545" t="s">
        <v>14</v>
      </c>
      <c r="E7545">
        <v>0.23393316195372699</v>
      </c>
      <c r="F7545">
        <v>0.80656503684065295</v>
      </c>
      <c r="G7545">
        <v>13.0406856536865</v>
      </c>
      <c r="H7545">
        <v>9</v>
      </c>
      <c r="I7545">
        <v>9</v>
      </c>
      <c r="J7545">
        <v>30</v>
      </c>
    </row>
    <row r="7546" spans="1:10" x14ac:dyDescent="0.25">
      <c r="A7546" t="s">
        <v>27</v>
      </c>
      <c r="B7546" t="s">
        <v>19</v>
      </c>
      <c r="C7546" t="s">
        <v>12</v>
      </c>
      <c r="D7546" t="s">
        <v>14</v>
      </c>
      <c r="E7546">
        <v>0.23797282409107601</v>
      </c>
      <c r="F7546">
        <v>0.80760937023033297</v>
      </c>
      <c r="G7546">
        <v>13.4071028232574</v>
      </c>
      <c r="H7546">
        <v>9</v>
      </c>
      <c r="I7546">
        <v>9</v>
      </c>
      <c r="J7546">
        <v>30</v>
      </c>
    </row>
    <row r="7547" spans="1:10" x14ac:dyDescent="0.25">
      <c r="A7547" t="s">
        <v>27</v>
      </c>
      <c r="B7547" t="s">
        <v>19</v>
      </c>
      <c r="C7547" t="s">
        <v>12</v>
      </c>
      <c r="D7547" t="s">
        <v>14</v>
      </c>
      <c r="E7547">
        <v>0.247888358428204</v>
      </c>
      <c r="F7547">
        <v>0.80870862528218901</v>
      </c>
      <c r="G7547">
        <v>13.2636301517486</v>
      </c>
      <c r="H7547">
        <v>9</v>
      </c>
      <c r="I7547">
        <v>9</v>
      </c>
      <c r="J7547">
        <v>30</v>
      </c>
    </row>
    <row r="7548" spans="1:10" x14ac:dyDescent="0.25">
      <c r="A7548" t="s">
        <v>27</v>
      </c>
      <c r="B7548" t="s">
        <v>19</v>
      </c>
      <c r="C7548" t="s">
        <v>12</v>
      </c>
      <c r="D7548" t="s">
        <v>14</v>
      </c>
      <c r="E7548">
        <v>0.23172970987881</v>
      </c>
      <c r="F7548">
        <v>0.80594904820429503</v>
      </c>
      <c r="G7548">
        <v>13.4849152565002</v>
      </c>
      <c r="H7548">
        <v>11</v>
      </c>
      <c r="I7548">
        <v>11</v>
      </c>
      <c r="J7548">
        <v>30</v>
      </c>
    </row>
    <row r="7549" spans="1:10" x14ac:dyDescent="0.25">
      <c r="A7549" t="s">
        <v>27</v>
      </c>
      <c r="B7549" t="s">
        <v>19</v>
      </c>
      <c r="C7549" t="s">
        <v>12</v>
      </c>
      <c r="D7549" t="s">
        <v>14</v>
      </c>
      <c r="E7549">
        <v>0.241645244215938</v>
      </c>
      <c r="F7549">
        <v>0.80867518681564299</v>
      </c>
      <c r="G7549">
        <v>13.552407503128</v>
      </c>
      <c r="H7549">
        <v>9</v>
      </c>
      <c r="I7549">
        <v>9</v>
      </c>
      <c r="J7549">
        <v>30</v>
      </c>
    </row>
    <row r="7550" spans="1:10" x14ac:dyDescent="0.25">
      <c r="A7550" t="s">
        <v>27</v>
      </c>
      <c r="B7550" t="s">
        <v>19</v>
      </c>
      <c r="C7550" t="s">
        <v>12</v>
      </c>
      <c r="D7550" t="s">
        <v>14</v>
      </c>
      <c r="E7550">
        <v>0.26514873301505598</v>
      </c>
      <c r="F7550">
        <v>0.81398165822533797</v>
      </c>
      <c r="G7550">
        <v>13.5564439296722</v>
      </c>
      <c r="H7550">
        <v>10</v>
      </c>
      <c r="I7550">
        <v>10</v>
      </c>
      <c r="J7550">
        <v>30</v>
      </c>
    </row>
    <row r="7551" spans="1:10" x14ac:dyDescent="0.25">
      <c r="A7551" t="s">
        <v>27</v>
      </c>
      <c r="B7551" t="s">
        <v>19</v>
      </c>
      <c r="C7551" t="s">
        <v>12</v>
      </c>
      <c r="D7551" t="s">
        <v>14</v>
      </c>
      <c r="E7551">
        <v>0.24458318031582801</v>
      </c>
      <c r="F7551">
        <v>0.81024024141975703</v>
      </c>
      <c r="G7551">
        <v>13.6798093318939</v>
      </c>
      <c r="H7551">
        <v>9</v>
      </c>
      <c r="I7551">
        <v>9</v>
      </c>
      <c r="J7551">
        <v>30</v>
      </c>
    </row>
    <row r="7552" spans="1:10" x14ac:dyDescent="0.25">
      <c r="A7552" t="s">
        <v>27</v>
      </c>
      <c r="B7552" t="s">
        <v>19</v>
      </c>
      <c r="C7552" t="s">
        <v>12</v>
      </c>
      <c r="D7552" t="s">
        <v>14</v>
      </c>
      <c r="E7552">
        <v>0.22328314359162599</v>
      </c>
      <c r="F7552">
        <v>0.80419405485112005</v>
      </c>
      <c r="G7552">
        <v>13.714117527008</v>
      </c>
      <c r="H7552">
        <v>8</v>
      </c>
      <c r="I7552">
        <v>8</v>
      </c>
      <c r="J7552">
        <v>30</v>
      </c>
    </row>
    <row r="7553" spans="1:10" x14ac:dyDescent="0.25">
      <c r="A7553" t="s">
        <v>27</v>
      </c>
      <c r="B7553" t="s">
        <v>19</v>
      </c>
      <c r="C7553" t="s">
        <v>12</v>
      </c>
      <c r="D7553" t="s">
        <v>14</v>
      </c>
      <c r="E7553">
        <v>0.21630554535438801</v>
      </c>
      <c r="F7553">
        <v>0.80288699196974</v>
      </c>
      <c r="G7553">
        <v>13.7164993286132</v>
      </c>
      <c r="H7553">
        <v>8</v>
      </c>
      <c r="I7553">
        <v>8</v>
      </c>
      <c r="J7553">
        <v>30</v>
      </c>
    </row>
    <row r="7554" spans="1:10" x14ac:dyDescent="0.25">
      <c r="A7554" t="s">
        <v>27</v>
      </c>
      <c r="B7554" t="s">
        <v>19</v>
      </c>
      <c r="C7554" t="s">
        <v>12</v>
      </c>
      <c r="D7554" t="s">
        <v>14</v>
      </c>
      <c r="E7554">
        <v>0.25045905251560702</v>
      </c>
      <c r="F7554">
        <v>0.80965642443088603</v>
      </c>
      <c r="G7554">
        <v>13.707499980926499</v>
      </c>
      <c r="H7554">
        <v>9</v>
      </c>
      <c r="I7554">
        <v>9</v>
      </c>
      <c r="J7554">
        <v>30</v>
      </c>
    </row>
    <row r="7555" spans="1:10" x14ac:dyDescent="0.25">
      <c r="A7555" t="s">
        <v>27</v>
      </c>
      <c r="B7555" t="s">
        <v>19</v>
      </c>
      <c r="C7555" t="s">
        <v>12</v>
      </c>
      <c r="D7555" t="s">
        <v>14</v>
      </c>
      <c r="E7555">
        <v>0.22438486962908499</v>
      </c>
      <c r="F7555">
        <v>0.80440234199841998</v>
      </c>
      <c r="G7555">
        <v>13.928696632385201</v>
      </c>
      <c r="H7555">
        <v>10</v>
      </c>
      <c r="I7555">
        <v>10</v>
      </c>
      <c r="J7555">
        <v>30</v>
      </c>
    </row>
    <row r="7556" spans="1:10" x14ac:dyDescent="0.25">
      <c r="A7556" t="s">
        <v>27</v>
      </c>
      <c r="B7556" t="s">
        <v>19</v>
      </c>
      <c r="C7556" t="s">
        <v>12</v>
      </c>
      <c r="D7556" t="s">
        <v>14</v>
      </c>
      <c r="E7556">
        <v>0.24348145427836901</v>
      </c>
      <c r="F7556">
        <v>0.80944267692497096</v>
      </c>
      <c r="G7556">
        <v>13.7528903484344</v>
      </c>
      <c r="H7556">
        <v>8</v>
      </c>
      <c r="I7556">
        <v>8</v>
      </c>
      <c r="J7556">
        <v>30</v>
      </c>
    </row>
    <row r="7557" spans="1:10" x14ac:dyDescent="0.25">
      <c r="A7557" t="s">
        <v>27</v>
      </c>
      <c r="B7557" t="s">
        <v>19</v>
      </c>
      <c r="C7557" t="s">
        <v>12</v>
      </c>
      <c r="D7557" t="s">
        <v>14</v>
      </c>
      <c r="E7557">
        <v>0.214836577304443</v>
      </c>
      <c r="F7557">
        <v>0.80230116631432302</v>
      </c>
      <c r="G7557">
        <v>13.882916450500399</v>
      </c>
      <c r="H7557">
        <v>8</v>
      </c>
      <c r="I7557">
        <v>8</v>
      </c>
      <c r="J7557">
        <v>30</v>
      </c>
    </row>
    <row r="7558" spans="1:10" x14ac:dyDescent="0.25">
      <c r="A7558" t="s">
        <v>27</v>
      </c>
      <c r="B7558" t="s">
        <v>19</v>
      </c>
      <c r="C7558" t="s">
        <v>12</v>
      </c>
      <c r="D7558" t="s">
        <v>14</v>
      </c>
      <c r="E7558">
        <v>0.23393316195372699</v>
      </c>
      <c r="F7558">
        <v>0.80594224876243004</v>
      </c>
      <c r="G7558">
        <v>13.808646917343101</v>
      </c>
      <c r="H7558">
        <v>9</v>
      </c>
      <c r="I7558">
        <v>9</v>
      </c>
      <c r="J7558">
        <v>30</v>
      </c>
    </row>
    <row r="7559" spans="1:10" x14ac:dyDescent="0.25">
      <c r="A7559" t="s">
        <v>27</v>
      </c>
      <c r="B7559" t="s">
        <v>19</v>
      </c>
      <c r="C7559" t="s">
        <v>12</v>
      </c>
      <c r="D7559" t="s">
        <v>14</v>
      </c>
      <c r="E7559">
        <v>0.25486595666544198</v>
      </c>
      <c r="F7559">
        <v>0.81219360698479603</v>
      </c>
      <c r="G7559">
        <v>13.7892513275146</v>
      </c>
      <c r="H7559">
        <v>10</v>
      </c>
      <c r="I7559">
        <v>10</v>
      </c>
      <c r="J7559">
        <v>30</v>
      </c>
    </row>
    <row r="7560" spans="1:10" x14ac:dyDescent="0.25">
      <c r="A7560" t="s">
        <v>27</v>
      </c>
      <c r="B7560" t="s">
        <v>19</v>
      </c>
      <c r="C7560" t="s">
        <v>12</v>
      </c>
      <c r="D7560" t="s">
        <v>14</v>
      </c>
      <c r="E7560">
        <v>0.23944179214101999</v>
      </c>
      <c r="F7560">
        <v>0.80701712452107899</v>
      </c>
      <c r="G7560">
        <v>13.9768242835998</v>
      </c>
      <c r="H7560">
        <v>9</v>
      </c>
      <c r="I7560">
        <v>9</v>
      </c>
      <c r="J7560">
        <v>30</v>
      </c>
    </row>
    <row r="7561" spans="1:10" x14ac:dyDescent="0.25">
      <c r="A7561" t="s">
        <v>27</v>
      </c>
      <c r="B7561" t="s">
        <v>19</v>
      </c>
      <c r="C7561" t="s">
        <v>12</v>
      </c>
      <c r="D7561" t="s">
        <v>14</v>
      </c>
      <c r="E7561">
        <v>0.25266250459052497</v>
      </c>
      <c r="F7561">
        <v>0.81122524329831003</v>
      </c>
      <c r="G7561">
        <v>13.9093241691589</v>
      </c>
      <c r="H7561">
        <v>9</v>
      </c>
      <c r="I7561">
        <v>9</v>
      </c>
      <c r="J7561">
        <v>30</v>
      </c>
    </row>
    <row r="7562" spans="1:10" x14ac:dyDescent="0.25">
      <c r="A7562" t="s">
        <v>27</v>
      </c>
      <c r="B7562" t="s">
        <v>19</v>
      </c>
      <c r="C7562" t="s">
        <v>12</v>
      </c>
      <c r="D7562" t="s">
        <v>15</v>
      </c>
      <c r="E7562">
        <v>0</v>
      </c>
      <c r="F7562">
        <v>0.75</v>
      </c>
      <c r="G7562">
        <v>188.13014149665801</v>
      </c>
      <c r="H7562">
        <v>0</v>
      </c>
      <c r="I7562">
        <v>0</v>
      </c>
      <c r="J7562">
        <v>30</v>
      </c>
    </row>
    <row r="7563" spans="1:10" x14ac:dyDescent="0.25">
      <c r="A7563" t="s">
        <v>27</v>
      </c>
      <c r="B7563" t="s">
        <v>19</v>
      </c>
      <c r="C7563" t="s">
        <v>12</v>
      </c>
      <c r="D7563" t="s">
        <v>15</v>
      </c>
      <c r="E7563">
        <v>0</v>
      </c>
      <c r="F7563">
        <v>0.75</v>
      </c>
      <c r="G7563">
        <v>189.940518379211</v>
      </c>
      <c r="H7563">
        <v>0</v>
      </c>
      <c r="I7563">
        <v>0</v>
      </c>
      <c r="J7563">
        <v>30</v>
      </c>
    </row>
    <row r="7564" spans="1:10" x14ac:dyDescent="0.25">
      <c r="A7564" t="s">
        <v>27</v>
      </c>
      <c r="B7564" t="s">
        <v>19</v>
      </c>
      <c r="C7564" t="s">
        <v>12</v>
      </c>
      <c r="D7564" t="s">
        <v>15</v>
      </c>
      <c r="E7564">
        <v>0</v>
      </c>
      <c r="F7564">
        <v>0.75</v>
      </c>
      <c r="G7564">
        <v>357.93188881873999</v>
      </c>
      <c r="H7564">
        <v>0</v>
      </c>
      <c r="I7564">
        <v>0</v>
      </c>
      <c r="J7564">
        <v>30</v>
      </c>
    </row>
    <row r="7565" spans="1:10" x14ac:dyDescent="0.25">
      <c r="A7565" t="s">
        <v>27</v>
      </c>
      <c r="B7565" t="s">
        <v>19</v>
      </c>
      <c r="C7565" t="s">
        <v>12</v>
      </c>
      <c r="D7565" t="s">
        <v>15</v>
      </c>
      <c r="E7565">
        <v>0</v>
      </c>
      <c r="F7565">
        <v>0.75</v>
      </c>
      <c r="G7565">
        <v>359.69228553771899</v>
      </c>
      <c r="H7565">
        <v>0</v>
      </c>
      <c r="I7565">
        <v>0</v>
      </c>
      <c r="J7565">
        <v>30</v>
      </c>
    </row>
    <row r="7566" spans="1:10" x14ac:dyDescent="0.25">
      <c r="A7566" t="s">
        <v>27</v>
      </c>
      <c r="B7566" t="s">
        <v>19</v>
      </c>
      <c r="C7566" t="s">
        <v>12</v>
      </c>
      <c r="D7566" t="s">
        <v>15</v>
      </c>
      <c r="E7566">
        <v>0</v>
      </c>
      <c r="F7566">
        <v>0.75</v>
      </c>
      <c r="G7566">
        <v>361.31615948677</v>
      </c>
      <c r="H7566">
        <v>0</v>
      </c>
      <c r="I7566">
        <v>0</v>
      </c>
      <c r="J7566">
        <v>30</v>
      </c>
    </row>
    <row r="7567" spans="1:10" x14ac:dyDescent="0.25">
      <c r="A7567" t="s">
        <v>27</v>
      </c>
      <c r="B7567" t="s">
        <v>19</v>
      </c>
      <c r="C7567" t="s">
        <v>12</v>
      </c>
      <c r="D7567" t="s">
        <v>15</v>
      </c>
      <c r="E7567">
        <v>0</v>
      </c>
      <c r="F7567">
        <v>0.75</v>
      </c>
      <c r="G7567">
        <v>361.46192359924299</v>
      </c>
      <c r="H7567">
        <v>0</v>
      </c>
      <c r="I7567">
        <v>0</v>
      </c>
      <c r="J7567">
        <v>30</v>
      </c>
    </row>
    <row r="7568" spans="1:10" x14ac:dyDescent="0.25">
      <c r="A7568" t="s">
        <v>27</v>
      </c>
      <c r="B7568" t="s">
        <v>19</v>
      </c>
      <c r="C7568" t="s">
        <v>12</v>
      </c>
      <c r="D7568" t="s">
        <v>15</v>
      </c>
      <c r="E7568">
        <v>0</v>
      </c>
      <c r="F7568">
        <v>0.75</v>
      </c>
      <c r="G7568">
        <v>499.26948523521401</v>
      </c>
      <c r="H7568">
        <v>0</v>
      </c>
      <c r="I7568">
        <v>0</v>
      </c>
      <c r="J7568">
        <v>30</v>
      </c>
    </row>
    <row r="7569" spans="1:10" x14ac:dyDescent="0.25">
      <c r="A7569" t="s">
        <v>27</v>
      </c>
      <c r="B7569" t="s">
        <v>19</v>
      </c>
      <c r="C7569" t="s">
        <v>12</v>
      </c>
      <c r="D7569" t="s">
        <v>15</v>
      </c>
      <c r="E7569">
        <v>0</v>
      </c>
      <c r="F7569">
        <v>0.75</v>
      </c>
      <c r="G7569">
        <v>501.88071918487498</v>
      </c>
      <c r="H7569">
        <v>0</v>
      </c>
      <c r="I7569">
        <v>0</v>
      </c>
      <c r="J7569">
        <v>30</v>
      </c>
    </row>
    <row r="7570" spans="1:10" x14ac:dyDescent="0.25">
      <c r="A7570" t="s">
        <v>27</v>
      </c>
      <c r="B7570" t="s">
        <v>19</v>
      </c>
      <c r="C7570" t="s">
        <v>12</v>
      </c>
      <c r="D7570" t="s">
        <v>15</v>
      </c>
      <c r="E7570">
        <v>0</v>
      </c>
      <c r="F7570">
        <v>0.75</v>
      </c>
      <c r="G7570">
        <v>512.94947195053101</v>
      </c>
      <c r="H7570">
        <v>0</v>
      </c>
      <c r="I7570">
        <v>0</v>
      </c>
      <c r="J7570">
        <v>30</v>
      </c>
    </row>
    <row r="7571" spans="1:10" x14ac:dyDescent="0.25">
      <c r="A7571" t="s">
        <v>27</v>
      </c>
      <c r="B7571" t="s">
        <v>19</v>
      </c>
      <c r="C7571" t="s">
        <v>12</v>
      </c>
      <c r="D7571" t="s">
        <v>15</v>
      </c>
      <c r="E7571">
        <v>0</v>
      </c>
      <c r="F7571">
        <v>0.75</v>
      </c>
      <c r="G7571">
        <v>513.09648394584599</v>
      </c>
      <c r="H7571">
        <v>0</v>
      </c>
      <c r="I7571">
        <v>0</v>
      </c>
      <c r="J7571">
        <v>30</v>
      </c>
    </row>
    <row r="7572" spans="1:10" x14ac:dyDescent="0.25">
      <c r="A7572" t="s">
        <v>27</v>
      </c>
      <c r="B7572" t="s">
        <v>19</v>
      </c>
      <c r="C7572" t="s">
        <v>12</v>
      </c>
      <c r="D7572" t="s">
        <v>15</v>
      </c>
      <c r="E7572">
        <v>0</v>
      </c>
      <c r="F7572">
        <v>0.75</v>
      </c>
      <c r="G7572">
        <v>516.94844198226895</v>
      </c>
      <c r="H7572">
        <v>0</v>
      </c>
      <c r="I7572">
        <v>0</v>
      </c>
      <c r="J7572">
        <v>30</v>
      </c>
    </row>
    <row r="7573" spans="1:10" x14ac:dyDescent="0.25">
      <c r="A7573" t="s">
        <v>27</v>
      </c>
      <c r="B7573" t="s">
        <v>19</v>
      </c>
      <c r="C7573" t="s">
        <v>12</v>
      </c>
      <c r="D7573" t="s">
        <v>15</v>
      </c>
      <c r="E7573">
        <v>0</v>
      </c>
      <c r="F7573">
        <v>0.75</v>
      </c>
      <c r="G7573">
        <v>516.91890025138798</v>
      </c>
      <c r="H7573">
        <v>0</v>
      </c>
      <c r="I7573">
        <v>0</v>
      </c>
      <c r="J7573">
        <v>30</v>
      </c>
    </row>
    <row r="7574" spans="1:10" x14ac:dyDescent="0.25">
      <c r="A7574" t="s">
        <v>27</v>
      </c>
      <c r="B7574" t="s">
        <v>19</v>
      </c>
      <c r="C7574" t="s">
        <v>12</v>
      </c>
      <c r="D7574" t="s">
        <v>15</v>
      </c>
      <c r="E7574">
        <v>0</v>
      </c>
      <c r="F7574">
        <v>0.75</v>
      </c>
      <c r="G7574">
        <v>517.90930676460198</v>
      </c>
      <c r="H7574">
        <v>0</v>
      </c>
      <c r="I7574">
        <v>0</v>
      </c>
      <c r="J7574">
        <v>30</v>
      </c>
    </row>
    <row r="7575" spans="1:10" x14ac:dyDescent="0.25">
      <c r="A7575" t="s">
        <v>27</v>
      </c>
      <c r="B7575" t="s">
        <v>19</v>
      </c>
      <c r="C7575" t="s">
        <v>12</v>
      </c>
      <c r="D7575" t="s">
        <v>15</v>
      </c>
      <c r="E7575">
        <v>0</v>
      </c>
      <c r="F7575">
        <v>0.75</v>
      </c>
      <c r="G7575">
        <v>613.02653551101605</v>
      </c>
      <c r="H7575">
        <v>0</v>
      </c>
      <c r="I7575">
        <v>0</v>
      </c>
      <c r="J7575">
        <v>30</v>
      </c>
    </row>
    <row r="7576" spans="1:10" x14ac:dyDescent="0.25">
      <c r="A7576" t="s">
        <v>27</v>
      </c>
      <c r="B7576" t="s">
        <v>19</v>
      </c>
      <c r="C7576" t="s">
        <v>12</v>
      </c>
      <c r="D7576" t="s">
        <v>15</v>
      </c>
      <c r="E7576">
        <v>0</v>
      </c>
      <c r="F7576">
        <v>0.75</v>
      </c>
      <c r="G7576">
        <v>613.95451092719998</v>
      </c>
      <c r="H7576">
        <v>0</v>
      </c>
      <c r="I7576">
        <v>0</v>
      </c>
      <c r="J7576">
        <v>30</v>
      </c>
    </row>
    <row r="7577" spans="1:10" x14ac:dyDescent="0.25">
      <c r="A7577" t="s">
        <v>27</v>
      </c>
      <c r="B7577" t="s">
        <v>19</v>
      </c>
      <c r="C7577" t="s">
        <v>12</v>
      </c>
      <c r="D7577" t="s">
        <v>15</v>
      </c>
      <c r="E7577">
        <v>0</v>
      </c>
      <c r="F7577">
        <v>0.75</v>
      </c>
      <c r="G7577">
        <v>617.41397953033402</v>
      </c>
      <c r="H7577">
        <v>0</v>
      </c>
      <c r="I7577">
        <v>0</v>
      </c>
      <c r="J7577">
        <v>30</v>
      </c>
    </row>
    <row r="7578" spans="1:10" x14ac:dyDescent="0.25">
      <c r="A7578" t="s">
        <v>27</v>
      </c>
      <c r="B7578" t="s">
        <v>19</v>
      </c>
      <c r="C7578" t="s">
        <v>12</v>
      </c>
      <c r="D7578" t="s">
        <v>15</v>
      </c>
      <c r="E7578">
        <v>0</v>
      </c>
      <c r="F7578">
        <v>0.75</v>
      </c>
      <c r="G7578">
        <v>619.35174655914295</v>
      </c>
      <c r="H7578">
        <v>0</v>
      </c>
      <c r="I7578">
        <v>0</v>
      </c>
      <c r="J7578">
        <v>30</v>
      </c>
    </row>
    <row r="7579" spans="1:10" x14ac:dyDescent="0.25">
      <c r="A7579" t="s">
        <v>27</v>
      </c>
      <c r="B7579" t="s">
        <v>19</v>
      </c>
      <c r="C7579" t="s">
        <v>12</v>
      </c>
      <c r="D7579" t="s">
        <v>15</v>
      </c>
      <c r="E7579">
        <v>0</v>
      </c>
      <c r="F7579">
        <v>0.75</v>
      </c>
      <c r="G7579">
        <v>624.06636667251496</v>
      </c>
      <c r="H7579">
        <v>0</v>
      </c>
      <c r="I7579">
        <v>0</v>
      </c>
      <c r="J7579">
        <v>30</v>
      </c>
    </row>
    <row r="7580" spans="1:10" x14ac:dyDescent="0.25">
      <c r="A7580" t="s">
        <v>27</v>
      </c>
      <c r="B7580" t="s">
        <v>19</v>
      </c>
      <c r="C7580" t="s">
        <v>12</v>
      </c>
      <c r="D7580" t="s">
        <v>15</v>
      </c>
      <c r="E7580">
        <v>0</v>
      </c>
      <c r="F7580">
        <v>0.75</v>
      </c>
      <c r="G7580">
        <v>625.782483100891</v>
      </c>
      <c r="H7580">
        <v>0</v>
      </c>
      <c r="I7580">
        <v>0</v>
      </c>
      <c r="J7580">
        <v>30</v>
      </c>
    </row>
    <row r="7581" spans="1:10" x14ac:dyDescent="0.25">
      <c r="A7581" t="s">
        <v>27</v>
      </c>
      <c r="B7581" t="s">
        <v>19</v>
      </c>
      <c r="C7581" t="s">
        <v>12</v>
      </c>
      <c r="D7581" t="s">
        <v>15</v>
      </c>
      <c r="E7581">
        <v>0</v>
      </c>
      <c r="F7581">
        <v>0.75</v>
      </c>
      <c r="G7581">
        <v>677.36223340034405</v>
      </c>
      <c r="H7581">
        <v>0</v>
      </c>
      <c r="I7581">
        <v>0</v>
      </c>
      <c r="J7581">
        <v>30</v>
      </c>
    </row>
    <row r="7582" spans="1:10" x14ac:dyDescent="0.25">
      <c r="A7582" t="s">
        <v>27</v>
      </c>
      <c r="B7582" t="s">
        <v>19</v>
      </c>
      <c r="C7582" t="s">
        <v>12</v>
      </c>
      <c r="D7582" t="s">
        <v>15</v>
      </c>
      <c r="E7582">
        <v>0</v>
      </c>
      <c r="F7582">
        <v>0.75</v>
      </c>
      <c r="G7582">
        <v>693.79204130172695</v>
      </c>
      <c r="H7582">
        <v>0</v>
      </c>
      <c r="I7582">
        <v>0</v>
      </c>
      <c r="J7582">
        <v>30</v>
      </c>
    </row>
    <row r="7583" spans="1:10" x14ac:dyDescent="0.25">
      <c r="A7583" t="s">
        <v>27</v>
      </c>
      <c r="B7583" t="s">
        <v>19</v>
      </c>
      <c r="C7583" t="s">
        <v>12</v>
      </c>
      <c r="D7583" t="s">
        <v>15</v>
      </c>
      <c r="E7583">
        <v>0</v>
      </c>
      <c r="F7583">
        <v>0.75</v>
      </c>
      <c r="G7583">
        <v>727.27840065956104</v>
      </c>
      <c r="H7583">
        <v>0</v>
      </c>
      <c r="I7583">
        <v>0</v>
      </c>
      <c r="J7583">
        <v>30</v>
      </c>
    </row>
    <row r="7584" spans="1:10" x14ac:dyDescent="0.25">
      <c r="A7584" t="s">
        <v>27</v>
      </c>
      <c r="B7584" t="s">
        <v>19</v>
      </c>
      <c r="C7584" t="s">
        <v>12</v>
      </c>
      <c r="D7584" t="s">
        <v>15</v>
      </c>
      <c r="E7584">
        <v>0</v>
      </c>
      <c r="F7584">
        <v>0.75</v>
      </c>
      <c r="G7584">
        <v>729.608906984329</v>
      </c>
      <c r="H7584">
        <v>0</v>
      </c>
      <c r="I7584">
        <v>0</v>
      </c>
      <c r="J7584">
        <v>30</v>
      </c>
    </row>
    <row r="7585" spans="1:10" x14ac:dyDescent="0.25">
      <c r="A7585" t="s">
        <v>27</v>
      </c>
      <c r="B7585" t="s">
        <v>19</v>
      </c>
      <c r="C7585" t="s">
        <v>12</v>
      </c>
      <c r="D7585" t="s">
        <v>15</v>
      </c>
      <c r="E7585">
        <v>0</v>
      </c>
      <c r="F7585">
        <v>0.75</v>
      </c>
      <c r="G7585">
        <v>734.97850513458195</v>
      </c>
      <c r="H7585">
        <v>0</v>
      </c>
      <c r="I7585">
        <v>0</v>
      </c>
      <c r="J7585">
        <v>30</v>
      </c>
    </row>
    <row r="7586" spans="1:10" x14ac:dyDescent="0.25">
      <c r="A7586" t="s">
        <v>27</v>
      </c>
      <c r="B7586" t="s">
        <v>19</v>
      </c>
      <c r="C7586" t="s">
        <v>12</v>
      </c>
      <c r="D7586" t="s">
        <v>15</v>
      </c>
      <c r="E7586">
        <v>0</v>
      </c>
      <c r="F7586">
        <v>0.75</v>
      </c>
      <c r="G7586">
        <v>747.32465338706902</v>
      </c>
      <c r="H7586">
        <v>0</v>
      </c>
      <c r="I7586">
        <v>0</v>
      </c>
      <c r="J7586">
        <v>30</v>
      </c>
    </row>
    <row r="7587" spans="1:10" x14ac:dyDescent="0.25">
      <c r="A7587" t="s">
        <v>27</v>
      </c>
      <c r="B7587" t="s">
        <v>19</v>
      </c>
      <c r="C7587" t="s">
        <v>12</v>
      </c>
      <c r="D7587" t="s">
        <v>15</v>
      </c>
      <c r="E7587">
        <v>0</v>
      </c>
      <c r="F7587">
        <v>0.75</v>
      </c>
      <c r="G7587">
        <v>764.71160340309098</v>
      </c>
      <c r="H7587">
        <v>0</v>
      </c>
      <c r="I7587">
        <v>0</v>
      </c>
      <c r="J7587">
        <v>30</v>
      </c>
    </row>
    <row r="7588" spans="1:10" x14ac:dyDescent="0.25">
      <c r="A7588" t="s">
        <v>27</v>
      </c>
      <c r="B7588" t="s">
        <v>19</v>
      </c>
      <c r="C7588" t="s">
        <v>12</v>
      </c>
      <c r="D7588" t="s">
        <v>15</v>
      </c>
      <c r="E7588">
        <v>3.6724201248622803E-4</v>
      </c>
      <c r="F7588">
        <v>0.75003035085269898</v>
      </c>
      <c r="G7588">
        <v>768.87538933753899</v>
      </c>
      <c r="H7588">
        <v>2</v>
      </c>
      <c r="I7588">
        <v>5</v>
      </c>
      <c r="J7588">
        <v>30</v>
      </c>
    </row>
    <row r="7589" spans="1:10" x14ac:dyDescent="0.25">
      <c r="A7589" t="s">
        <v>27</v>
      </c>
      <c r="B7589" t="s">
        <v>19</v>
      </c>
      <c r="C7589" t="s">
        <v>12</v>
      </c>
      <c r="D7589" t="s">
        <v>15</v>
      </c>
      <c r="E7589">
        <v>0</v>
      </c>
      <c r="F7589">
        <v>0.75</v>
      </c>
      <c r="G7589">
        <v>772.67131066322304</v>
      </c>
      <c r="H7589">
        <v>0</v>
      </c>
      <c r="I7589">
        <v>0</v>
      </c>
      <c r="J7589">
        <v>30</v>
      </c>
    </row>
    <row r="7590" spans="1:10" x14ac:dyDescent="0.25">
      <c r="A7590" t="s">
        <v>27</v>
      </c>
      <c r="B7590" t="s">
        <v>19</v>
      </c>
      <c r="C7590" t="s">
        <v>12</v>
      </c>
      <c r="D7590" t="s">
        <v>15</v>
      </c>
      <c r="E7590">
        <v>0</v>
      </c>
      <c r="F7590">
        <v>0.75</v>
      </c>
      <c r="G7590">
        <v>789.52157759666397</v>
      </c>
      <c r="H7590">
        <v>0</v>
      </c>
      <c r="I7590">
        <v>0</v>
      </c>
      <c r="J7590">
        <v>30</v>
      </c>
    </row>
    <row r="7591" spans="1:10" x14ac:dyDescent="0.25">
      <c r="A7591" t="s">
        <v>27</v>
      </c>
      <c r="B7591" t="s">
        <v>19</v>
      </c>
      <c r="C7591" t="s">
        <v>12</v>
      </c>
      <c r="D7591" t="s">
        <v>15</v>
      </c>
      <c r="E7591">
        <v>0</v>
      </c>
      <c r="F7591">
        <v>0.75</v>
      </c>
      <c r="G7591">
        <v>791.49762105941704</v>
      </c>
      <c r="H7591">
        <v>0</v>
      </c>
      <c r="I7591">
        <v>0</v>
      </c>
      <c r="J7591">
        <v>30</v>
      </c>
    </row>
    <row r="7592" spans="1:10" x14ac:dyDescent="0.25">
      <c r="A7592" t="s">
        <v>27</v>
      </c>
      <c r="B7592" t="s">
        <v>19</v>
      </c>
      <c r="C7592" t="s">
        <v>12</v>
      </c>
      <c r="D7592" t="s">
        <v>16</v>
      </c>
      <c r="E7592">
        <v>0</v>
      </c>
      <c r="F7592">
        <v>0.75</v>
      </c>
      <c r="G7592">
        <v>4.80596446990966</v>
      </c>
      <c r="H7592">
        <v>0</v>
      </c>
      <c r="I7592">
        <v>0</v>
      </c>
      <c r="J7592">
        <v>30</v>
      </c>
    </row>
    <row r="7593" spans="1:10" x14ac:dyDescent="0.25">
      <c r="A7593" t="s">
        <v>27</v>
      </c>
      <c r="B7593" t="s">
        <v>19</v>
      </c>
      <c r="C7593" t="s">
        <v>12</v>
      </c>
      <c r="D7593" t="s">
        <v>16</v>
      </c>
      <c r="E7593">
        <v>0</v>
      </c>
      <c r="F7593">
        <v>0.75</v>
      </c>
      <c r="G7593">
        <v>5.6249549388885498</v>
      </c>
      <c r="H7593">
        <v>0</v>
      </c>
      <c r="I7593">
        <v>0</v>
      </c>
      <c r="J7593">
        <v>30</v>
      </c>
    </row>
    <row r="7594" spans="1:10" x14ac:dyDescent="0.25">
      <c r="A7594" t="s">
        <v>27</v>
      </c>
      <c r="B7594" t="s">
        <v>19</v>
      </c>
      <c r="C7594" t="s">
        <v>12</v>
      </c>
      <c r="D7594" t="s">
        <v>16</v>
      </c>
      <c r="E7594">
        <v>0</v>
      </c>
      <c r="F7594">
        <v>0.75</v>
      </c>
      <c r="G7594">
        <v>6.7963292598724303</v>
      </c>
      <c r="H7594">
        <v>0</v>
      </c>
      <c r="I7594">
        <v>0</v>
      </c>
      <c r="J7594">
        <v>30</v>
      </c>
    </row>
    <row r="7595" spans="1:10" x14ac:dyDescent="0.25">
      <c r="A7595" t="s">
        <v>27</v>
      </c>
      <c r="B7595" t="s">
        <v>19</v>
      </c>
      <c r="C7595" t="s">
        <v>12</v>
      </c>
      <c r="D7595" t="s">
        <v>16</v>
      </c>
      <c r="E7595">
        <v>0</v>
      </c>
      <c r="F7595">
        <v>0.75</v>
      </c>
      <c r="G7595">
        <v>6.0899105072021396</v>
      </c>
      <c r="H7595">
        <v>0</v>
      </c>
      <c r="I7595">
        <v>0</v>
      </c>
      <c r="J7595">
        <v>30</v>
      </c>
    </row>
    <row r="7596" spans="1:10" x14ac:dyDescent="0.25">
      <c r="A7596" t="s">
        <v>27</v>
      </c>
      <c r="B7596" t="s">
        <v>19</v>
      </c>
      <c r="C7596" t="s">
        <v>12</v>
      </c>
      <c r="D7596" t="s">
        <v>16</v>
      </c>
      <c r="E7596">
        <v>0</v>
      </c>
      <c r="F7596">
        <v>0.75</v>
      </c>
      <c r="G7596">
        <v>6.4375922679901096</v>
      </c>
      <c r="H7596">
        <v>0</v>
      </c>
      <c r="I7596">
        <v>0</v>
      </c>
      <c r="J7596">
        <v>30</v>
      </c>
    </row>
    <row r="7597" spans="1:10" x14ac:dyDescent="0.25">
      <c r="A7597" t="s">
        <v>27</v>
      </c>
      <c r="B7597" t="s">
        <v>19</v>
      </c>
      <c r="C7597" t="s">
        <v>12</v>
      </c>
      <c r="D7597" t="s">
        <v>16</v>
      </c>
      <c r="E7597">
        <v>0</v>
      </c>
      <c r="F7597">
        <v>0.75</v>
      </c>
      <c r="G7597">
        <v>6.4867250919341997</v>
      </c>
      <c r="H7597">
        <v>0</v>
      </c>
      <c r="I7597">
        <v>0</v>
      </c>
      <c r="J7597">
        <v>30</v>
      </c>
    </row>
    <row r="7598" spans="1:10" x14ac:dyDescent="0.25">
      <c r="A7598" t="s">
        <v>27</v>
      </c>
      <c r="B7598" t="s">
        <v>19</v>
      </c>
      <c r="C7598" t="s">
        <v>12</v>
      </c>
      <c r="D7598" t="s">
        <v>16</v>
      </c>
      <c r="E7598">
        <v>0</v>
      </c>
      <c r="F7598">
        <v>0.75</v>
      </c>
      <c r="G7598">
        <v>7.7087709903716997</v>
      </c>
      <c r="H7598">
        <v>0</v>
      </c>
      <c r="I7598">
        <v>0</v>
      </c>
      <c r="J7598">
        <v>30</v>
      </c>
    </row>
    <row r="7599" spans="1:10" x14ac:dyDescent="0.25">
      <c r="A7599" t="s">
        <v>27</v>
      </c>
      <c r="B7599" t="s">
        <v>19</v>
      </c>
      <c r="C7599" t="s">
        <v>12</v>
      </c>
      <c r="D7599" t="s">
        <v>16</v>
      </c>
      <c r="E7599">
        <v>0</v>
      </c>
      <c r="F7599">
        <v>0.75</v>
      </c>
      <c r="G7599">
        <v>6.7026691436767498</v>
      </c>
      <c r="H7599">
        <v>0</v>
      </c>
      <c r="I7599">
        <v>0</v>
      </c>
      <c r="J7599">
        <v>30</v>
      </c>
    </row>
    <row r="7600" spans="1:10" x14ac:dyDescent="0.25">
      <c r="A7600" t="s">
        <v>27</v>
      </c>
      <c r="B7600" t="s">
        <v>19</v>
      </c>
      <c r="C7600" t="s">
        <v>12</v>
      </c>
      <c r="D7600" t="s">
        <v>16</v>
      </c>
      <c r="E7600">
        <v>0</v>
      </c>
      <c r="F7600">
        <v>0.75</v>
      </c>
      <c r="G7600">
        <v>8.0880546569824201</v>
      </c>
      <c r="H7600">
        <v>0</v>
      </c>
      <c r="I7600">
        <v>0</v>
      </c>
      <c r="J7600">
        <v>30</v>
      </c>
    </row>
    <row r="7601" spans="1:10" x14ac:dyDescent="0.25">
      <c r="A7601" t="s">
        <v>27</v>
      </c>
      <c r="B7601" t="s">
        <v>19</v>
      </c>
      <c r="C7601" t="s">
        <v>12</v>
      </c>
      <c r="D7601" t="s">
        <v>16</v>
      </c>
      <c r="E7601">
        <v>0</v>
      </c>
      <c r="F7601">
        <v>0.75</v>
      </c>
      <c r="G7601">
        <v>7.0905945301055899</v>
      </c>
      <c r="H7601">
        <v>0</v>
      </c>
      <c r="I7601">
        <v>0</v>
      </c>
      <c r="J7601">
        <v>30</v>
      </c>
    </row>
    <row r="7602" spans="1:10" x14ac:dyDescent="0.25">
      <c r="A7602" t="s">
        <v>27</v>
      </c>
      <c r="B7602" t="s">
        <v>19</v>
      </c>
      <c r="C7602" t="s">
        <v>12</v>
      </c>
      <c r="D7602" t="s">
        <v>16</v>
      </c>
      <c r="E7602">
        <v>0</v>
      </c>
      <c r="F7602">
        <v>0.75</v>
      </c>
      <c r="G7602">
        <v>8.4432044029235804</v>
      </c>
      <c r="H7602">
        <v>0</v>
      </c>
      <c r="I7602">
        <v>0</v>
      </c>
      <c r="J7602">
        <v>30</v>
      </c>
    </row>
    <row r="7603" spans="1:10" x14ac:dyDescent="0.25">
      <c r="A7603" t="s">
        <v>27</v>
      </c>
      <c r="B7603" t="s">
        <v>19</v>
      </c>
      <c r="C7603" t="s">
        <v>12</v>
      </c>
      <c r="D7603" t="s">
        <v>16</v>
      </c>
      <c r="E7603">
        <v>0</v>
      </c>
      <c r="F7603">
        <v>0.75</v>
      </c>
      <c r="G7603">
        <v>8.3535475730895996</v>
      </c>
      <c r="H7603">
        <v>0</v>
      </c>
      <c r="I7603">
        <v>0</v>
      </c>
      <c r="J7603">
        <v>30</v>
      </c>
    </row>
    <row r="7604" spans="1:10" x14ac:dyDescent="0.25">
      <c r="A7604" t="s">
        <v>27</v>
      </c>
      <c r="B7604" t="s">
        <v>19</v>
      </c>
      <c r="C7604" t="s">
        <v>12</v>
      </c>
      <c r="D7604" t="s">
        <v>16</v>
      </c>
      <c r="E7604">
        <v>0</v>
      </c>
      <c r="F7604">
        <v>0.75</v>
      </c>
      <c r="G7604">
        <v>8.5701153278350795</v>
      </c>
      <c r="H7604">
        <v>0</v>
      </c>
      <c r="I7604">
        <v>0</v>
      </c>
      <c r="J7604">
        <v>30</v>
      </c>
    </row>
    <row r="7605" spans="1:10" x14ac:dyDescent="0.25">
      <c r="A7605" t="s">
        <v>27</v>
      </c>
      <c r="B7605" t="s">
        <v>19</v>
      </c>
      <c r="C7605" t="s">
        <v>12</v>
      </c>
      <c r="D7605" t="s">
        <v>16</v>
      </c>
      <c r="E7605">
        <v>0</v>
      </c>
      <c r="F7605">
        <v>0.75</v>
      </c>
      <c r="G7605">
        <v>8.3443844318389893</v>
      </c>
      <c r="H7605">
        <v>0</v>
      </c>
      <c r="I7605">
        <v>0</v>
      </c>
      <c r="J7605">
        <v>30</v>
      </c>
    </row>
    <row r="7606" spans="1:10" x14ac:dyDescent="0.25">
      <c r="A7606" t="s">
        <v>27</v>
      </c>
      <c r="B7606" t="s">
        <v>19</v>
      </c>
      <c r="C7606" t="s">
        <v>12</v>
      </c>
      <c r="D7606" t="s">
        <v>16</v>
      </c>
      <c r="E7606">
        <v>0</v>
      </c>
      <c r="F7606">
        <v>0.75</v>
      </c>
      <c r="G7606">
        <v>8.7675659656524605</v>
      </c>
      <c r="H7606">
        <v>0</v>
      </c>
      <c r="I7606">
        <v>0</v>
      </c>
      <c r="J7606">
        <v>30</v>
      </c>
    </row>
    <row r="7607" spans="1:10" x14ac:dyDescent="0.25">
      <c r="A7607" t="s">
        <v>27</v>
      </c>
      <c r="B7607" t="s">
        <v>19</v>
      </c>
      <c r="C7607" t="s">
        <v>12</v>
      </c>
      <c r="D7607" t="s">
        <v>16</v>
      </c>
      <c r="E7607">
        <v>0</v>
      </c>
      <c r="F7607">
        <v>0.75</v>
      </c>
      <c r="G7607">
        <v>9.0087294578552193</v>
      </c>
      <c r="H7607">
        <v>0</v>
      </c>
      <c r="I7607">
        <v>0</v>
      </c>
      <c r="J7607">
        <v>30</v>
      </c>
    </row>
    <row r="7608" spans="1:10" x14ac:dyDescent="0.25">
      <c r="A7608" t="s">
        <v>27</v>
      </c>
      <c r="B7608" t="s">
        <v>19</v>
      </c>
      <c r="C7608" t="s">
        <v>12</v>
      </c>
      <c r="D7608" t="s">
        <v>16</v>
      </c>
      <c r="E7608">
        <v>0</v>
      </c>
      <c r="F7608">
        <v>0.75</v>
      </c>
      <c r="G7608">
        <v>8.79508185386657</v>
      </c>
      <c r="H7608">
        <v>0</v>
      </c>
      <c r="I7608">
        <v>0</v>
      </c>
      <c r="J7608">
        <v>30</v>
      </c>
    </row>
    <row r="7609" spans="1:10" x14ac:dyDescent="0.25">
      <c r="A7609" t="s">
        <v>27</v>
      </c>
      <c r="B7609" t="s">
        <v>19</v>
      </c>
      <c r="C7609" t="s">
        <v>12</v>
      </c>
      <c r="D7609" t="s">
        <v>16</v>
      </c>
      <c r="E7609">
        <v>0</v>
      </c>
      <c r="F7609">
        <v>0.75</v>
      </c>
      <c r="G7609">
        <v>9.1007730960845894</v>
      </c>
      <c r="H7609">
        <v>0</v>
      </c>
      <c r="I7609">
        <v>0</v>
      </c>
      <c r="J7609">
        <v>30</v>
      </c>
    </row>
    <row r="7610" spans="1:10" x14ac:dyDescent="0.25">
      <c r="A7610" t="s">
        <v>27</v>
      </c>
      <c r="B7610" t="s">
        <v>19</v>
      </c>
      <c r="C7610" t="s">
        <v>12</v>
      </c>
      <c r="D7610" t="s">
        <v>16</v>
      </c>
      <c r="E7610">
        <v>0</v>
      </c>
      <c r="F7610">
        <v>0.75</v>
      </c>
      <c r="G7610">
        <v>9.0862414836883492</v>
      </c>
      <c r="H7610">
        <v>0</v>
      </c>
      <c r="I7610">
        <v>0</v>
      </c>
      <c r="J7610">
        <v>30</v>
      </c>
    </row>
    <row r="7611" spans="1:10" x14ac:dyDescent="0.25">
      <c r="A7611" t="s">
        <v>27</v>
      </c>
      <c r="B7611" t="s">
        <v>19</v>
      </c>
      <c r="C7611" t="s">
        <v>12</v>
      </c>
      <c r="D7611" t="s">
        <v>16</v>
      </c>
      <c r="E7611">
        <v>0</v>
      </c>
      <c r="F7611">
        <v>0.75</v>
      </c>
      <c r="G7611">
        <v>8.9183809757232595</v>
      </c>
      <c r="H7611">
        <v>0</v>
      </c>
      <c r="I7611">
        <v>0</v>
      </c>
      <c r="J7611">
        <v>30</v>
      </c>
    </row>
    <row r="7612" spans="1:10" x14ac:dyDescent="0.25">
      <c r="A7612" t="s">
        <v>27</v>
      </c>
      <c r="B7612" t="s">
        <v>19</v>
      </c>
      <c r="C7612" t="s">
        <v>12</v>
      </c>
      <c r="D7612" t="s">
        <v>16</v>
      </c>
      <c r="E7612">
        <v>0</v>
      </c>
      <c r="F7612">
        <v>0.75</v>
      </c>
      <c r="G7612">
        <v>9.1484003067016602</v>
      </c>
      <c r="H7612">
        <v>0</v>
      </c>
      <c r="I7612">
        <v>0</v>
      </c>
      <c r="J7612">
        <v>30</v>
      </c>
    </row>
    <row r="7613" spans="1:10" x14ac:dyDescent="0.25">
      <c r="A7613" t="s">
        <v>27</v>
      </c>
      <c r="B7613" t="s">
        <v>19</v>
      </c>
      <c r="C7613" t="s">
        <v>12</v>
      </c>
      <c r="D7613" t="s">
        <v>16</v>
      </c>
      <c r="E7613">
        <v>0</v>
      </c>
      <c r="F7613">
        <v>0.75</v>
      </c>
      <c r="G7613">
        <v>9.1141977310180593</v>
      </c>
      <c r="H7613">
        <v>0</v>
      </c>
      <c r="I7613">
        <v>0</v>
      </c>
      <c r="J7613">
        <v>30</v>
      </c>
    </row>
    <row r="7614" spans="1:10" x14ac:dyDescent="0.25">
      <c r="A7614" t="s">
        <v>27</v>
      </c>
      <c r="B7614" t="s">
        <v>19</v>
      </c>
      <c r="C7614" t="s">
        <v>12</v>
      </c>
      <c r="D7614" t="s">
        <v>16</v>
      </c>
      <c r="E7614">
        <v>0</v>
      </c>
      <c r="F7614">
        <v>0.75</v>
      </c>
      <c r="G7614">
        <v>9.0915975570678693</v>
      </c>
      <c r="H7614">
        <v>0</v>
      </c>
      <c r="I7614">
        <v>0</v>
      </c>
      <c r="J7614">
        <v>30</v>
      </c>
    </row>
    <row r="7615" spans="1:10" x14ac:dyDescent="0.25">
      <c r="A7615" t="s">
        <v>27</v>
      </c>
      <c r="B7615" t="s">
        <v>19</v>
      </c>
      <c r="C7615" t="s">
        <v>12</v>
      </c>
      <c r="D7615" t="s">
        <v>16</v>
      </c>
      <c r="E7615">
        <v>0</v>
      </c>
      <c r="F7615">
        <v>0.75</v>
      </c>
      <c r="G7615">
        <v>9.1905813217162997</v>
      </c>
      <c r="H7615">
        <v>0</v>
      </c>
      <c r="I7615">
        <v>0</v>
      </c>
      <c r="J7615">
        <v>30</v>
      </c>
    </row>
    <row r="7616" spans="1:10" x14ac:dyDescent="0.25">
      <c r="A7616" t="s">
        <v>27</v>
      </c>
      <c r="B7616" t="s">
        <v>19</v>
      </c>
      <c r="C7616" t="s">
        <v>12</v>
      </c>
      <c r="D7616" t="s">
        <v>16</v>
      </c>
      <c r="E7616">
        <v>0</v>
      </c>
      <c r="F7616">
        <v>0.75</v>
      </c>
      <c r="G7616">
        <v>8.0120429992675692</v>
      </c>
      <c r="H7616">
        <v>0</v>
      </c>
      <c r="I7616">
        <v>0</v>
      </c>
      <c r="J7616">
        <v>30</v>
      </c>
    </row>
    <row r="7617" spans="1:10" x14ac:dyDescent="0.25">
      <c r="A7617" t="s">
        <v>27</v>
      </c>
      <c r="B7617" t="s">
        <v>19</v>
      </c>
      <c r="C7617" t="s">
        <v>12</v>
      </c>
      <c r="D7617" t="s">
        <v>16</v>
      </c>
      <c r="E7617">
        <v>0</v>
      </c>
      <c r="F7617">
        <v>0.75</v>
      </c>
      <c r="G7617">
        <v>9.3421373367309499</v>
      </c>
      <c r="H7617">
        <v>0</v>
      </c>
      <c r="I7617">
        <v>0</v>
      </c>
      <c r="J7617">
        <v>30</v>
      </c>
    </row>
    <row r="7618" spans="1:10" x14ac:dyDescent="0.25">
      <c r="A7618" t="s">
        <v>27</v>
      </c>
      <c r="B7618" t="s">
        <v>19</v>
      </c>
      <c r="C7618" t="s">
        <v>12</v>
      </c>
      <c r="D7618" t="s">
        <v>16</v>
      </c>
      <c r="E7618">
        <v>0</v>
      </c>
      <c r="F7618">
        <v>0.75</v>
      </c>
      <c r="G7618">
        <v>9.2029225826263392</v>
      </c>
      <c r="H7618">
        <v>0</v>
      </c>
      <c r="I7618">
        <v>0</v>
      </c>
      <c r="J7618">
        <v>30</v>
      </c>
    </row>
    <row r="7619" spans="1:10" x14ac:dyDescent="0.25">
      <c r="A7619" t="s">
        <v>27</v>
      </c>
      <c r="B7619" t="s">
        <v>19</v>
      </c>
      <c r="C7619" t="s">
        <v>12</v>
      </c>
      <c r="D7619" t="s">
        <v>16</v>
      </c>
      <c r="E7619">
        <v>0</v>
      </c>
      <c r="F7619">
        <v>0.75</v>
      </c>
      <c r="G7619">
        <v>9.1869583129882795</v>
      </c>
      <c r="H7619">
        <v>0</v>
      </c>
      <c r="I7619">
        <v>0</v>
      </c>
      <c r="J7619">
        <v>30</v>
      </c>
    </row>
    <row r="7620" spans="1:10" x14ac:dyDescent="0.25">
      <c r="A7620" t="s">
        <v>27</v>
      </c>
      <c r="B7620" t="s">
        <v>19</v>
      </c>
      <c r="C7620" t="s">
        <v>12</v>
      </c>
      <c r="D7620" t="s">
        <v>16</v>
      </c>
      <c r="E7620">
        <v>0</v>
      </c>
      <c r="F7620">
        <v>0.75</v>
      </c>
      <c r="G7620">
        <v>9.5768392086028999</v>
      </c>
      <c r="H7620">
        <v>0</v>
      </c>
      <c r="I7620">
        <v>0</v>
      </c>
      <c r="J7620">
        <v>30</v>
      </c>
    </row>
    <row r="7621" spans="1:10" x14ac:dyDescent="0.25">
      <c r="A7621" t="s">
        <v>27</v>
      </c>
      <c r="B7621" t="s">
        <v>19</v>
      </c>
      <c r="C7621" t="s">
        <v>12</v>
      </c>
      <c r="D7621" t="s">
        <v>16</v>
      </c>
      <c r="E7621">
        <v>0</v>
      </c>
      <c r="F7621">
        <v>0.75</v>
      </c>
      <c r="G7621">
        <v>9.4803388118743896</v>
      </c>
      <c r="H7621">
        <v>0</v>
      </c>
      <c r="I7621">
        <v>0</v>
      </c>
      <c r="J7621">
        <v>30</v>
      </c>
    </row>
    <row r="7622" spans="1:10" x14ac:dyDescent="0.25">
      <c r="A7622" t="s">
        <v>27</v>
      </c>
      <c r="B7622" t="s">
        <v>19</v>
      </c>
      <c r="C7622" t="s">
        <v>12</v>
      </c>
      <c r="D7622" t="s">
        <v>17</v>
      </c>
      <c r="E7622">
        <v>2.4237972824091E-2</v>
      </c>
      <c r="F7622">
        <v>0.75581360099327899</v>
      </c>
      <c r="G7622">
        <v>949.079126358032</v>
      </c>
      <c r="H7622">
        <v>50</v>
      </c>
      <c r="I7622">
        <v>50</v>
      </c>
      <c r="J7622">
        <v>30</v>
      </c>
    </row>
    <row r="7623" spans="1:10" x14ac:dyDescent="0.25">
      <c r="A7623" t="s">
        <v>27</v>
      </c>
      <c r="B7623" t="s">
        <v>19</v>
      </c>
      <c r="C7623" t="s">
        <v>12</v>
      </c>
      <c r="D7623" t="s">
        <v>17</v>
      </c>
      <c r="E7623">
        <v>4.4436283510833598E-2</v>
      </c>
      <c r="F7623">
        <v>0.76057980196243102</v>
      </c>
      <c r="G7623">
        <v>1519.4241883754701</v>
      </c>
      <c r="H7623">
        <v>87</v>
      </c>
      <c r="I7623">
        <v>102</v>
      </c>
      <c r="J7623">
        <v>30</v>
      </c>
    </row>
    <row r="7624" spans="1:10" x14ac:dyDescent="0.25">
      <c r="A7624" t="s">
        <v>27</v>
      </c>
      <c r="B7624" t="s">
        <v>19</v>
      </c>
      <c r="C7624" t="s">
        <v>12</v>
      </c>
      <c r="D7624" t="s">
        <v>17</v>
      </c>
      <c r="E7624">
        <v>4.7741461623209698E-2</v>
      </c>
      <c r="F7624">
        <v>0.760886374979728</v>
      </c>
      <c r="G7624">
        <v>1871.32039189338</v>
      </c>
      <c r="H7624">
        <v>83</v>
      </c>
      <c r="I7624">
        <v>93</v>
      </c>
      <c r="J7624">
        <v>30</v>
      </c>
    </row>
    <row r="7625" spans="1:10" x14ac:dyDescent="0.25">
      <c r="A7625" t="s">
        <v>27</v>
      </c>
      <c r="B7625" t="s">
        <v>19</v>
      </c>
      <c r="C7625" t="s">
        <v>12</v>
      </c>
      <c r="D7625" t="s">
        <v>17</v>
      </c>
      <c r="E7625">
        <v>5.2148365773044401E-2</v>
      </c>
      <c r="F7625">
        <v>0.76153704549849399</v>
      </c>
      <c r="G7625">
        <v>2386.8672142028799</v>
      </c>
      <c r="H7625">
        <v>97</v>
      </c>
      <c r="I7625">
        <v>116</v>
      </c>
      <c r="J7625">
        <v>30</v>
      </c>
    </row>
    <row r="7626" spans="1:10" x14ac:dyDescent="0.25">
      <c r="A7626" t="s">
        <v>27</v>
      </c>
      <c r="B7626" t="s">
        <v>19</v>
      </c>
      <c r="C7626" t="s">
        <v>12</v>
      </c>
      <c r="D7626" t="s">
        <v>17</v>
      </c>
      <c r="E7626">
        <v>4.8475945648182098E-2</v>
      </c>
      <c r="F7626">
        <v>0.76125596183591604</v>
      </c>
      <c r="G7626">
        <v>2557.9688432216599</v>
      </c>
      <c r="H7626">
        <v>97</v>
      </c>
      <c r="I7626">
        <v>106</v>
      </c>
      <c r="J7626">
        <v>30</v>
      </c>
    </row>
    <row r="7627" spans="1:10" x14ac:dyDescent="0.25">
      <c r="A7627" t="s">
        <v>27</v>
      </c>
      <c r="B7627" t="s">
        <v>19</v>
      </c>
      <c r="C7627" t="s">
        <v>12</v>
      </c>
      <c r="D7627" t="s">
        <v>17</v>
      </c>
      <c r="E7627">
        <v>9.6217407271391803E-2</v>
      </c>
      <c r="F7627">
        <v>0.77348846496661705</v>
      </c>
      <c r="G7627">
        <v>2611.1305062770798</v>
      </c>
      <c r="H7627">
        <v>197</v>
      </c>
      <c r="I7627">
        <v>197</v>
      </c>
      <c r="J7627">
        <v>30</v>
      </c>
    </row>
    <row r="7628" spans="1:10" x14ac:dyDescent="0.25">
      <c r="A7628" t="s">
        <v>27</v>
      </c>
      <c r="B7628" t="s">
        <v>19</v>
      </c>
      <c r="C7628" t="s">
        <v>12</v>
      </c>
      <c r="D7628" t="s">
        <v>17</v>
      </c>
      <c r="E7628">
        <v>9.8420859346309203E-2</v>
      </c>
      <c r="F7628">
        <v>0.77375181377186897</v>
      </c>
      <c r="G7628">
        <v>2642.21491384506</v>
      </c>
      <c r="H7628">
        <v>190</v>
      </c>
      <c r="I7628">
        <v>207</v>
      </c>
      <c r="J7628">
        <v>30</v>
      </c>
    </row>
    <row r="7629" spans="1:10" x14ac:dyDescent="0.25">
      <c r="A7629" t="s">
        <v>27</v>
      </c>
      <c r="B7629" t="s">
        <v>19</v>
      </c>
      <c r="C7629" t="s">
        <v>12</v>
      </c>
      <c r="D7629" t="s">
        <v>17</v>
      </c>
      <c r="E7629">
        <v>0.11678295997062001</v>
      </c>
      <c r="F7629">
        <v>0.77543295620558195</v>
      </c>
      <c r="G7629">
        <v>2684.27921915054</v>
      </c>
      <c r="H7629">
        <v>193</v>
      </c>
      <c r="I7629">
        <v>195</v>
      </c>
      <c r="J7629">
        <v>30</v>
      </c>
    </row>
    <row r="7630" spans="1:10" x14ac:dyDescent="0.25">
      <c r="A7630" t="s">
        <v>27</v>
      </c>
      <c r="B7630" t="s">
        <v>19</v>
      </c>
      <c r="C7630" t="s">
        <v>12</v>
      </c>
      <c r="D7630" t="s">
        <v>17</v>
      </c>
      <c r="E7630">
        <v>9.2177745134043296E-2</v>
      </c>
      <c r="F7630">
        <v>0.77161810696147604</v>
      </c>
      <c r="G7630">
        <v>2708.0212078094401</v>
      </c>
      <c r="H7630">
        <v>176</v>
      </c>
      <c r="I7630">
        <v>172</v>
      </c>
      <c r="J7630">
        <v>30</v>
      </c>
    </row>
    <row r="7631" spans="1:10" x14ac:dyDescent="0.25">
      <c r="A7631" t="s">
        <v>27</v>
      </c>
      <c r="B7631" t="s">
        <v>19</v>
      </c>
      <c r="C7631" t="s">
        <v>12</v>
      </c>
      <c r="D7631" t="s">
        <v>17</v>
      </c>
      <c r="E7631">
        <v>8.2262210796915106E-2</v>
      </c>
      <c r="F7631">
        <v>0.76928382108567595</v>
      </c>
      <c r="G7631">
        <v>2906.78962826728</v>
      </c>
      <c r="H7631">
        <v>172</v>
      </c>
      <c r="I7631">
        <v>153</v>
      </c>
      <c r="J7631">
        <v>30</v>
      </c>
    </row>
    <row r="7632" spans="1:10" x14ac:dyDescent="0.25">
      <c r="A7632" t="s">
        <v>27</v>
      </c>
      <c r="B7632" t="s">
        <v>19</v>
      </c>
      <c r="C7632" t="s">
        <v>12</v>
      </c>
      <c r="D7632" t="s">
        <v>17</v>
      </c>
      <c r="E7632">
        <v>0.16342269555637101</v>
      </c>
      <c r="F7632">
        <v>0.788359016264084</v>
      </c>
      <c r="G7632">
        <v>3381.1727838516199</v>
      </c>
      <c r="H7632">
        <v>273</v>
      </c>
      <c r="I7632">
        <v>285</v>
      </c>
      <c r="J7632">
        <v>30</v>
      </c>
    </row>
    <row r="7633" spans="1:10" x14ac:dyDescent="0.25">
      <c r="A7633" t="s">
        <v>27</v>
      </c>
      <c r="B7633" t="s">
        <v>19</v>
      </c>
      <c r="C7633" t="s">
        <v>12</v>
      </c>
      <c r="D7633" t="s">
        <v>17</v>
      </c>
      <c r="E7633">
        <v>0.129269188395152</v>
      </c>
      <c r="F7633">
        <v>0.77966665080738096</v>
      </c>
      <c r="G7633">
        <v>3754.3930389881102</v>
      </c>
      <c r="H7633">
        <v>232</v>
      </c>
      <c r="I7633">
        <v>254</v>
      </c>
      <c r="J7633">
        <v>30</v>
      </c>
    </row>
    <row r="7634" spans="1:10" x14ac:dyDescent="0.25">
      <c r="A7634" t="s">
        <v>27</v>
      </c>
      <c r="B7634" t="s">
        <v>19</v>
      </c>
      <c r="C7634" t="s">
        <v>12</v>
      </c>
      <c r="D7634" t="s">
        <v>17</v>
      </c>
      <c r="E7634">
        <v>0.18472273228057201</v>
      </c>
      <c r="F7634">
        <v>0.79369059326022795</v>
      </c>
      <c r="G7634">
        <v>4528.8202528953498</v>
      </c>
      <c r="H7634">
        <v>310</v>
      </c>
      <c r="I7634">
        <v>305</v>
      </c>
      <c r="J7634">
        <v>30</v>
      </c>
    </row>
    <row r="7635" spans="1:10" x14ac:dyDescent="0.25">
      <c r="A7635" t="s">
        <v>27</v>
      </c>
      <c r="B7635" t="s">
        <v>19</v>
      </c>
      <c r="C7635" t="s">
        <v>12</v>
      </c>
      <c r="D7635" t="s">
        <v>17</v>
      </c>
      <c r="E7635">
        <v>0.22438486962908499</v>
      </c>
      <c r="F7635">
        <v>0.80106209642383397</v>
      </c>
      <c r="G7635">
        <v>4792.9449551105499</v>
      </c>
      <c r="H7635">
        <v>361</v>
      </c>
      <c r="I7635">
        <v>383</v>
      </c>
      <c r="J7635">
        <v>30</v>
      </c>
    </row>
    <row r="7636" spans="1:10" x14ac:dyDescent="0.25">
      <c r="A7636" t="s">
        <v>27</v>
      </c>
      <c r="B7636" t="s">
        <v>19</v>
      </c>
      <c r="C7636" t="s">
        <v>12</v>
      </c>
      <c r="D7636" t="s">
        <v>17</v>
      </c>
      <c r="E7636">
        <v>0.197943444730077</v>
      </c>
      <c r="F7636">
        <v>0.79470936798343805</v>
      </c>
      <c r="G7636">
        <v>4955.3260254859897</v>
      </c>
      <c r="H7636">
        <v>400</v>
      </c>
      <c r="I7636">
        <v>397</v>
      </c>
      <c r="J7636">
        <v>30</v>
      </c>
    </row>
    <row r="7637" spans="1:10" x14ac:dyDescent="0.25">
      <c r="A7637" t="s">
        <v>27</v>
      </c>
      <c r="B7637" t="s">
        <v>19</v>
      </c>
      <c r="C7637" t="s">
        <v>12</v>
      </c>
      <c r="D7637" t="s">
        <v>17</v>
      </c>
      <c r="E7637">
        <v>0.18655894234300399</v>
      </c>
      <c r="F7637">
        <v>0.79387646622691799</v>
      </c>
      <c r="G7637">
        <v>4987.5067553520203</v>
      </c>
      <c r="H7637">
        <v>339</v>
      </c>
      <c r="I7637">
        <v>357</v>
      </c>
      <c r="J7637">
        <v>30</v>
      </c>
    </row>
    <row r="7638" spans="1:10" x14ac:dyDescent="0.25">
      <c r="A7638" t="s">
        <v>27</v>
      </c>
      <c r="B7638" t="s">
        <v>19</v>
      </c>
      <c r="C7638" t="s">
        <v>12</v>
      </c>
      <c r="D7638" t="s">
        <v>17</v>
      </c>
      <c r="E7638">
        <v>0.17480719794344399</v>
      </c>
      <c r="F7638">
        <v>0.78867718214006599</v>
      </c>
      <c r="G7638">
        <v>5555.3007199764197</v>
      </c>
      <c r="H7638">
        <v>354</v>
      </c>
      <c r="I7638">
        <v>385</v>
      </c>
      <c r="J7638">
        <v>30</v>
      </c>
    </row>
    <row r="7639" spans="1:10" x14ac:dyDescent="0.25">
      <c r="A7639" t="s">
        <v>27</v>
      </c>
      <c r="B7639" t="s">
        <v>19</v>
      </c>
      <c r="C7639" t="s">
        <v>12</v>
      </c>
      <c r="D7639" t="s">
        <v>17</v>
      </c>
      <c r="E7639">
        <v>0.28314359162688202</v>
      </c>
      <c r="F7639">
        <v>0.81271792474711602</v>
      </c>
      <c r="G7639">
        <v>5761.8932259082703</v>
      </c>
      <c r="H7639">
        <v>533</v>
      </c>
      <c r="I7639">
        <v>556</v>
      </c>
      <c r="J7639">
        <v>30</v>
      </c>
    </row>
    <row r="7640" spans="1:10" x14ac:dyDescent="0.25">
      <c r="A7640" t="s">
        <v>27</v>
      </c>
      <c r="B7640" t="s">
        <v>19</v>
      </c>
      <c r="C7640" t="s">
        <v>12</v>
      </c>
      <c r="D7640" t="s">
        <v>17</v>
      </c>
      <c r="E7640">
        <v>0.14873301505692199</v>
      </c>
      <c r="F7640">
        <v>0.78329891527175899</v>
      </c>
      <c r="G7640">
        <v>5851.1805946826898</v>
      </c>
      <c r="H7640">
        <v>298</v>
      </c>
      <c r="I7640">
        <v>317</v>
      </c>
      <c r="J7640">
        <v>30</v>
      </c>
    </row>
    <row r="7641" spans="1:10" x14ac:dyDescent="0.25">
      <c r="A7641" t="s">
        <v>27</v>
      </c>
      <c r="B7641" t="s">
        <v>19</v>
      </c>
      <c r="C7641" t="s">
        <v>12</v>
      </c>
      <c r="D7641" t="s">
        <v>17</v>
      </c>
      <c r="E7641">
        <v>0.204553800954829</v>
      </c>
      <c r="F7641">
        <v>0.79405615732875401</v>
      </c>
      <c r="G7641">
        <v>5855.2211663722901</v>
      </c>
      <c r="H7641">
        <v>408</v>
      </c>
      <c r="I7641">
        <v>440</v>
      </c>
      <c r="J7641">
        <v>30</v>
      </c>
    </row>
    <row r="7642" spans="1:10" x14ac:dyDescent="0.25">
      <c r="A7642" t="s">
        <v>27</v>
      </c>
      <c r="B7642" t="s">
        <v>19</v>
      </c>
      <c r="C7642" t="s">
        <v>12</v>
      </c>
      <c r="D7642" t="s">
        <v>17</v>
      </c>
      <c r="E7642">
        <v>8.5567388909291206E-2</v>
      </c>
      <c r="F7642">
        <v>0.76724243771604805</v>
      </c>
      <c r="G7642">
        <v>5882.8395013809204</v>
      </c>
      <c r="H7642">
        <v>242</v>
      </c>
      <c r="I7642">
        <v>269</v>
      </c>
      <c r="J7642">
        <v>30</v>
      </c>
    </row>
    <row r="7643" spans="1:10" x14ac:dyDescent="0.25">
      <c r="A7643" t="s">
        <v>27</v>
      </c>
      <c r="B7643" t="s">
        <v>19</v>
      </c>
      <c r="C7643" t="s">
        <v>12</v>
      </c>
      <c r="D7643" t="s">
        <v>17</v>
      </c>
      <c r="E7643">
        <v>0.15240543518178401</v>
      </c>
      <c r="F7643">
        <v>0.78106814482618403</v>
      </c>
      <c r="G7643">
        <v>6219.40936899185</v>
      </c>
      <c r="H7643">
        <v>402</v>
      </c>
      <c r="I7643">
        <v>433</v>
      </c>
      <c r="J7643">
        <v>30</v>
      </c>
    </row>
    <row r="7644" spans="1:10" x14ac:dyDescent="0.25">
      <c r="A7644" t="s">
        <v>27</v>
      </c>
      <c r="B7644" t="s">
        <v>19</v>
      </c>
      <c r="C7644" t="s">
        <v>12</v>
      </c>
      <c r="D7644" t="s">
        <v>17</v>
      </c>
      <c r="E7644">
        <v>0.27653323540212998</v>
      </c>
      <c r="F7644">
        <v>0.81204842028472202</v>
      </c>
      <c r="G7644">
        <v>6485.27489686012</v>
      </c>
      <c r="H7644">
        <v>615</v>
      </c>
      <c r="I7644">
        <v>613</v>
      </c>
      <c r="J7644">
        <v>30</v>
      </c>
    </row>
    <row r="7645" spans="1:10" x14ac:dyDescent="0.25">
      <c r="A7645" t="s">
        <v>27</v>
      </c>
      <c r="B7645" t="s">
        <v>19</v>
      </c>
      <c r="C7645" t="s">
        <v>12</v>
      </c>
      <c r="D7645" t="s">
        <v>17</v>
      </c>
      <c r="E7645">
        <v>0.27065736320235001</v>
      </c>
      <c r="F7645">
        <v>0.81106799514953998</v>
      </c>
      <c r="G7645">
        <v>6486.6661593913996</v>
      </c>
      <c r="H7645">
        <v>566</v>
      </c>
      <c r="I7645">
        <v>607</v>
      </c>
      <c r="J7645">
        <v>30</v>
      </c>
    </row>
    <row r="7646" spans="1:10" x14ac:dyDescent="0.25">
      <c r="A7646" t="s">
        <v>27</v>
      </c>
      <c r="B7646" t="s">
        <v>19</v>
      </c>
      <c r="C7646" t="s">
        <v>12</v>
      </c>
      <c r="D7646" t="s">
        <v>17</v>
      </c>
      <c r="E7646">
        <v>0.26771942710245999</v>
      </c>
      <c r="F7646">
        <v>0.805436336040947</v>
      </c>
      <c r="G7646">
        <v>6647.0196166038504</v>
      </c>
      <c r="H7646">
        <v>588</v>
      </c>
      <c r="I7646">
        <v>635</v>
      </c>
      <c r="J7646">
        <v>30</v>
      </c>
    </row>
    <row r="7647" spans="1:10" x14ac:dyDescent="0.25">
      <c r="A7647" t="s">
        <v>27</v>
      </c>
      <c r="B7647" t="s">
        <v>19</v>
      </c>
      <c r="C7647" t="s">
        <v>12</v>
      </c>
      <c r="D7647" t="s">
        <v>17</v>
      </c>
      <c r="E7647">
        <v>0.289753947851634</v>
      </c>
      <c r="F7647">
        <v>0.81104659069809004</v>
      </c>
      <c r="G7647">
        <v>6726.6316986083903</v>
      </c>
      <c r="H7647">
        <v>595</v>
      </c>
      <c r="I7647">
        <v>606</v>
      </c>
      <c r="J7647">
        <v>30</v>
      </c>
    </row>
    <row r="7648" spans="1:10" x14ac:dyDescent="0.25">
      <c r="A7648" t="s">
        <v>27</v>
      </c>
      <c r="B7648" t="s">
        <v>19</v>
      </c>
      <c r="C7648" t="s">
        <v>12</v>
      </c>
      <c r="D7648" t="s">
        <v>17</v>
      </c>
      <c r="E7648">
        <v>0.30297466030113801</v>
      </c>
      <c r="F7648">
        <v>0.81143310850635397</v>
      </c>
      <c r="G7648">
        <v>6744.05716872215</v>
      </c>
      <c r="H7648">
        <v>584</v>
      </c>
      <c r="I7648">
        <v>617</v>
      </c>
      <c r="J7648">
        <v>30</v>
      </c>
    </row>
    <row r="7649" spans="1:10" x14ac:dyDescent="0.25">
      <c r="A7649" t="s">
        <v>27</v>
      </c>
      <c r="B7649" t="s">
        <v>19</v>
      </c>
      <c r="C7649" t="s">
        <v>12</v>
      </c>
      <c r="D7649" t="s">
        <v>17</v>
      </c>
      <c r="E7649">
        <v>0.29673154608887198</v>
      </c>
      <c r="F7649">
        <v>0.81417455921792203</v>
      </c>
      <c r="G7649">
        <v>6762.7228374481201</v>
      </c>
      <c r="H7649">
        <v>689</v>
      </c>
      <c r="I7649">
        <v>726</v>
      </c>
      <c r="J7649">
        <v>30</v>
      </c>
    </row>
    <row r="7650" spans="1:10" x14ac:dyDescent="0.25">
      <c r="A7650" t="s">
        <v>27</v>
      </c>
      <c r="B7650" t="s">
        <v>19</v>
      </c>
      <c r="C7650" t="s">
        <v>12</v>
      </c>
      <c r="D7650" t="s">
        <v>17</v>
      </c>
      <c r="E7650">
        <v>0.36430407638633799</v>
      </c>
      <c r="F7650">
        <v>0.83019927438119701</v>
      </c>
      <c r="G7650">
        <v>6857.8216946125003</v>
      </c>
      <c r="H7650">
        <v>803</v>
      </c>
      <c r="I7650">
        <v>838</v>
      </c>
      <c r="J7650">
        <v>30</v>
      </c>
    </row>
    <row r="7651" spans="1:10" x14ac:dyDescent="0.25">
      <c r="A7651" t="s">
        <v>27</v>
      </c>
      <c r="B7651" t="s">
        <v>19</v>
      </c>
      <c r="C7651" t="s">
        <v>12</v>
      </c>
      <c r="D7651" t="s">
        <v>17</v>
      </c>
      <c r="E7651">
        <v>0.38486962908556699</v>
      </c>
      <c r="F7651">
        <v>0.83608698052115205</v>
      </c>
      <c r="G7651">
        <v>6890.1702766418402</v>
      </c>
      <c r="H7651">
        <v>844</v>
      </c>
      <c r="I7651">
        <v>871</v>
      </c>
      <c r="J7651">
        <v>30</v>
      </c>
    </row>
    <row r="7652" spans="1:10" x14ac:dyDescent="0.25">
      <c r="A7652" t="s">
        <v>27</v>
      </c>
      <c r="B7652" t="s">
        <v>19</v>
      </c>
      <c r="C7652" t="s">
        <v>18</v>
      </c>
      <c r="D7652" t="s">
        <v>13</v>
      </c>
      <c r="E7652">
        <v>0.90194638266617699</v>
      </c>
      <c r="F7652">
        <v>0.91429520536643305</v>
      </c>
      <c r="G7652">
        <v>1113.7142927646601</v>
      </c>
      <c r="H7652">
        <v>37</v>
      </c>
      <c r="I7652">
        <v>55</v>
      </c>
      <c r="J7652">
        <v>30</v>
      </c>
    </row>
    <row r="7653" spans="1:10" x14ac:dyDescent="0.25">
      <c r="A7653" t="s">
        <v>27</v>
      </c>
      <c r="B7653" t="s">
        <v>19</v>
      </c>
      <c r="C7653" t="s">
        <v>18</v>
      </c>
      <c r="D7653" t="s">
        <v>13</v>
      </c>
      <c r="E7653">
        <v>0.902680866691149</v>
      </c>
      <c r="F7653">
        <v>0.916683312759493</v>
      </c>
      <c r="G7653">
        <v>1132.5247752666401</v>
      </c>
      <c r="H7653">
        <v>66</v>
      </c>
      <c r="I7653">
        <v>107</v>
      </c>
      <c r="J7653">
        <v>30</v>
      </c>
    </row>
    <row r="7654" spans="1:10" x14ac:dyDescent="0.25">
      <c r="A7654" t="s">
        <v>27</v>
      </c>
      <c r="B7654" t="s">
        <v>19</v>
      </c>
      <c r="C7654" t="s">
        <v>18</v>
      </c>
      <c r="D7654" t="s">
        <v>13</v>
      </c>
      <c r="E7654">
        <v>0.90084465662871804</v>
      </c>
      <c r="F7654">
        <v>0.91588772085012804</v>
      </c>
      <c r="G7654">
        <v>1140.55835986137</v>
      </c>
      <c r="H7654">
        <v>51</v>
      </c>
      <c r="I7654">
        <v>73</v>
      </c>
      <c r="J7654">
        <v>30</v>
      </c>
    </row>
    <row r="7655" spans="1:10" x14ac:dyDescent="0.25">
      <c r="A7655" t="s">
        <v>27</v>
      </c>
      <c r="B7655" t="s">
        <v>19</v>
      </c>
      <c r="C7655" t="s">
        <v>18</v>
      </c>
      <c r="D7655" t="s">
        <v>13</v>
      </c>
      <c r="E7655">
        <v>0.90745501285346997</v>
      </c>
      <c r="F7655">
        <v>0.92028540143632098</v>
      </c>
      <c r="G7655">
        <v>1141.8926751613601</v>
      </c>
      <c r="H7655">
        <v>51</v>
      </c>
      <c r="I7655">
        <v>74</v>
      </c>
      <c r="J7655">
        <v>30</v>
      </c>
    </row>
    <row r="7656" spans="1:10" x14ac:dyDescent="0.25">
      <c r="A7656" t="s">
        <v>27</v>
      </c>
      <c r="B7656" t="s">
        <v>19</v>
      </c>
      <c r="C7656" t="s">
        <v>18</v>
      </c>
      <c r="D7656" t="s">
        <v>13</v>
      </c>
      <c r="E7656">
        <v>0.91259640102827699</v>
      </c>
      <c r="F7656">
        <v>0.92458946602618397</v>
      </c>
      <c r="G7656">
        <v>1146.46134543418</v>
      </c>
      <c r="H7656">
        <v>54</v>
      </c>
      <c r="I7656">
        <v>71</v>
      </c>
      <c r="J7656">
        <v>30</v>
      </c>
    </row>
    <row r="7657" spans="1:10" x14ac:dyDescent="0.25">
      <c r="A7657" t="s">
        <v>27</v>
      </c>
      <c r="B7657" t="s">
        <v>19</v>
      </c>
      <c r="C7657" t="s">
        <v>18</v>
      </c>
      <c r="D7657" t="s">
        <v>13</v>
      </c>
      <c r="E7657">
        <v>0.89423430040396601</v>
      </c>
      <c r="F7657">
        <v>0.90860335563882</v>
      </c>
      <c r="G7657">
        <v>1146.3514928817699</v>
      </c>
      <c r="H7657">
        <v>39</v>
      </c>
      <c r="I7657">
        <v>55</v>
      </c>
      <c r="J7657">
        <v>30</v>
      </c>
    </row>
    <row r="7658" spans="1:10" x14ac:dyDescent="0.25">
      <c r="A7658" t="s">
        <v>27</v>
      </c>
      <c r="B7658" t="s">
        <v>19</v>
      </c>
      <c r="C7658" t="s">
        <v>18</v>
      </c>
      <c r="D7658" t="s">
        <v>13</v>
      </c>
      <c r="E7658">
        <v>0.903415350716121</v>
      </c>
      <c r="F7658">
        <v>0.91622812085574601</v>
      </c>
      <c r="G7658">
        <v>1155.4053015708901</v>
      </c>
      <c r="H7658">
        <v>55</v>
      </c>
      <c r="I7658">
        <v>78</v>
      </c>
      <c r="J7658">
        <v>30</v>
      </c>
    </row>
    <row r="7659" spans="1:10" x14ac:dyDescent="0.25">
      <c r="A7659" t="s">
        <v>27</v>
      </c>
      <c r="B7659" t="s">
        <v>19</v>
      </c>
      <c r="C7659" t="s">
        <v>18</v>
      </c>
      <c r="D7659" t="s">
        <v>13</v>
      </c>
      <c r="E7659">
        <v>0.90672052882849796</v>
      </c>
      <c r="F7659">
        <v>0.91949934698810198</v>
      </c>
      <c r="G7659">
        <v>1166.04732155799</v>
      </c>
      <c r="H7659">
        <v>68</v>
      </c>
      <c r="I7659">
        <v>102</v>
      </c>
      <c r="J7659">
        <v>30</v>
      </c>
    </row>
    <row r="7660" spans="1:10" x14ac:dyDescent="0.25">
      <c r="A7660" t="s">
        <v>27</v>
      </c>
      <c r="B7660" t="s">
        <v>19</v>
      </c>
      <c r="C7660" t="s">
        <v>18</v>
      </c>
      <c r="D7660" t="s">
        <v>13</v>
      </c>
      <c r="E7660">
        <v>0.91149467499081804</v>
      </c>
      <c r="F7660">
        <v>0.92303125117106</v>
      </c>
      <c r="G7660">
        <v>1174.88222026824</v>
      </c>
      <c r="H7660">
        <v>48</v>
      </c>
      <c r="I7660">
        <v>61</v>
      </c>
      <c r="J7660">
        <v>30</v>
      </c>
    </row>
    <row r="7661" spans="1:10" x14ac:dyDescent="0.25">
      <c r="A7661" t="s">
        <v>27</v>
      </c>
      <c r="B7661" t="s">
        <v>19</v>
      </c>
      <c r="C7661" t="s">
        <v>18</v>
      </c>
      <c r="D7661" t="s">
        <v>13</v>
      </c>
      <c r="E7661">
        <v>0.90672052882849796</v>
      </c>
      <c r="F7661">
        <v>0.91976879417161095</v>
      </c>
      <c r="G7661">
        <v>1177.66078281402</v>
      </c>
      <c r="H7661">
        <v>41</v>
      </c>
      <c r="I7661">
        <v>56</v>
      </c>
      <c r="J7661">
        <v>30</v>
      </c>
    </row>
    <row r="7662" spans="1:10" x14ac:dyDescent="0.25">
      <c r="A7662" t="s">
        <v>27</v>
      </c>
      <c r="B7662" t="s">
        <v>19</v>
      </c>
      <c r="C7662" t="s">
        <v>18</v>
      </c>
      <c r="D7662" t="s">
        <v>13</v>
      </c>
      <c r="E7662">
        <v>0.90121189864120399</v>
      </c>
      <c r="F7662">
        <v>0.92133253564432604</v>
      </c>
      <c r="G7662">
        <v>1178.4610023498501</v>
      </c>
      <c r="H7662">
        <v>29</v>
      </c>
      <c r="I7662">
        <v>41</v>
      </c>
      <c r="J7662">
        <v>30</v>
      </c>
    </row>
    <row r="7663" spans="1:10" x14ac:dyDescent="0.25">
      <c r="A7663" t="s">
        <v>27</v>
      </c>
      <c r="B7663" t="s">
        <v>19</v>
      </c>
      <c r="C7663" t="s">
        <v>18</v>
      </c>
      <c r="D7663" t="s">
        <v>13</v>
      </c>
      <c r="E7663">
        <v>0.91076019096584604</v>
      </c>
      <c r="F7663">
        <v>0.92102912812445903</v>
      </c>
      <c r="G7663">
        <v>1188.1327295303299</v>
      </c>
      <c r="H7663">
        <v>54</v>
      </c>
      <c r="I7663">
        <v>76</v>
      </c>
      <c r="J7663">
        <v>30</v>
      </c>
    </row>
    <row r="7664" spans="1:10" x14ac:dyDescent="0.25">
      <c r="A7664" t="s">
        <v>27</v>
      </c>
      <c r="B7664" t="s">
        <v>19</v>
      </c>
      <c r="C7664" t="s">
        <v>18</v>
      </c>
      <c r="D7664" t="s">
        <v>13</v>
      </c>
      <c r="E7664">
        <v>0.91443261109070795</v>
      </c>
      <c r="F7664">
        <v>0.92554355068027705</v>
      </c>
      <c r="G7664">
        <v>1190.75695610046</v>
      </c>
      <c r="H7664">
        <v>57</v>
      </c>
      <c r="I7664">
        <v>77</v>
      </c>
      <c r="J7664">
        <v>30</v>
      </c>
    </row>
    <row r="7665" spans="1:10" x14ac:dyDescent="0.25">
      <c r="A7665" t="s">
        <v>27</v>
      </c>
      <c r="B7665" t="s">
        <v>19</v>
      </c>
      <c r="C7665" t="s">
        <v>18</v>
      </c>
      <c r="D7665" t="s">
        <v>13</v>
      </c>
      <c r="E7665">
        <v>0.90782225486595602</v>
      </c>
      <c r="F7665">
        <v>0.92078927298233404</v>
      </c>
      <c r="G7665">
        <v>1193.8585851192399</v>
      </c>
      <c r="H7665">
        <v>50</v>
      </c>
      <c r="I7665">
        <v>63</v>
      </c>
      <c r="J7665">
        <v>30</v>
      </c>
    </row>
    <row r="7666" spans="1:10" x14ac:dyDescent="0.25">
      <c r="A7666" t="s">
        <v>27</v>
      </c>
      <c r="B7666" t="s">
        <v>19</v>
      </c>
      <c r="C7666" t="s">
        <v>18</v>
      </c>
      <c r="D7666" t="s">
        <v>13</v>
      </c>
      <c r="E7666">
        <v>0.90598604480352496</v>
      </c>
      <c r="F7666">
        <v>0.91886498946489203</v>
      </c>
      <c r="G7666">
        <v>1195.60700345039</v>
      </c>
      <c r="H7666">
        <v>40</v>
      </c>
      <c r="I7666">
        <v>54</v>
      </c>
      <c r="J7666">
        <v>30</v>
      </c>
    </row>
    <row r="7667" spans="1:10" x14ac:dyDescent="0.25">
      <c r="A7667" t="s">
        <v>27</v>
      </c>
      <c r="B7667" t="s">
        <v>19</v>
      </c>
      <c r="C7667" t="s">
        <v>18</v>
      </c>
      <c r="D7667" t="s">
        <v>13</v>
      </c>
      <c r="E7667">
        <v>0.90378259272860795</v>
      </c>
      <c r="F7667">
        <v>0.91631151023929502</v>
      </c>
      <c r="G7667">
        <v>1197.67350625991</v>
      </c>
      <c r="H7667">
        <v>42</v>
      </c>
      <c r="I7667">
        <v>54</v>
      </c>
      <c r="J7667">
        <v>30</v>
      </c>
    </row>
    <row r="7668" spans="1:10" x14ac:dyDescent="0.25">
      <c r="A7668" t="s">
        <v>27</v>
      </c>
      <c r="B7668" t="s">
        <v>19</v>
      </c>
      <c r="C7668" t="s">
        <v>18</v>
      </c>
      <c r="D7668" t="s">
        <v>13</v>
      </c>
      <c r="E7668">
        <v>0.902680866691149</v>
      </c>
      <c r="F7668">
        <v>0.91680876803213396</v>
      </c>
      <c r="G7668">
        <v>1205.4907107353199</v>
      </c>
      <c r="H7668">
        <v>47</v>
      </c>
      <c r="I7668">
        <v>75</v>
      </c>
      <c r="J7668">
        <v>30</v>
      </c>
    </row>
    <row r="7669" spans="1:10" x14ac:dyDescent="0.25">
      <c r="A7669" t="s">
        <v>27</v>
      </c>
      <c r="B7669" t="s">
        <v>19</v>
      </c>
      <c r="C7669" t="s">
        <v>18</v>
      </c>
      <c r="D7669" t="s">
        <v>13</v>
      </c>
      <c r="E7669">
        <v>0.91149467499081804</v>
      </c>
      <c r="F7669">
        <v>0.926244232827799</v>
      </c>
      <c r="G7669">
        <v>1209.6221995353601</v>
      </c>
      <c r="H7669">
        <v>30</v>
      </c>
      <c r="I7669">
        <v>51</v>
      </c>
      <c r="J7669">
        <v>30</v>
      </c>
    </row>
    <row r="7670" spans="1:10" x14ac:dyDescent="0.25">
      <c r="A7670" t="s">
        <v>27</v>
      </c>
      <c r="B7670" t="s">
        <v>19</v>
      </c>
      <c r="C7670" t="s">
        <v>18</v>
      </c>
      <c r="D7670" t="s">
        <v>13</v>
      </c>
      <c r="E7670">
        <v>0.91737054719059796</v>
      </c>
      <c r="F7670">
        <v>0.92647604486669</v>
      </c>
      <c r="G7670">
        <v>1211.6285057067801</v>
      </c>
      <c r="H7670">
        <v>79</v>
      </c>
      <c r="I7670">
        <v>122</v>
      </c>
      <c r="J7670">
        <v>30</v>
      </c>
    </row>
    <row r="7671" spans="1:10" x14ac:dyDescent="0.25">
      <c r="A7671" t="s">
        <v>27</v>
      </c>
      <c r="B7671" t="s">
        <v>19</v>
      </c>
      <c r="C7671" t="s">
        <v>18</v>
      </c>
      <c r="D7671" t="s">
        <v>13</v>
      </c>
      <c r="E7671">
        <v>0.90818949687844197</v>
      </c>
      <c r="F7671">
        <v>0.92034320103918399</v>
      </c>
      <c r="G7671">
        <v>1216.7940108775999</v>
      </c>
      <c r="H7671">
        <v>65</v>
      </c>
      <c r="I7671">
        <v>100</v>
      </c>
      <c r="J7671">
        <v>30</v>
      </c>
    </row>
    <row r="7672" spans="1:10" x14ac:dyDescent="0.25">
      <c r="A7672" t="s">
        <v>27</v>
      </c>
      <c r="B7672" t="s">
        <v>19</v>
      </c>
      <c r="C7672" t="s">
        <v>18</v>
      </c>
      <c r="D7672" t="s">
        <v>13</v>
      </c>
      <c r="E7672">
        <v>0.90451707675357995</v>
      </c>
      <c r="F7672">
        <v>0.91672708511406498</v>
      </c>
      <c r="G7672">
        <v>1229.6878311634</v>
      </c>
      <c r="H7672">
        <v>46</v>
      </c>
      <c r="I7672">
        <v>64</v>
      </c>
      <c r="J7672">
        <v>30</v>
      </c>
    </row>
    <row r="7673" spans="1:10" x14ac:dyDescent="0.25">
      <c r="A7673" t="s">
        <v>27</v>
      </c>
      <c r="B7673" t="s">
        <v>19</v>
      </c>
      <c r="C7673" t="s">
        <v>18</v>
      </c>
      <c r="D7673" t="s">
        <v>13</v>
      </c>
      <c r="E7673">
        <v>0.90855673889092903</v>
      </c>
      <c r="F7673">
        <v>0.91913824820781997</v>
      </c>
      <c r="G7673">
        <v>1229.2010295391001</v>
      </c>
      <c r="H7673">
        <v>52</v>
      </c>
      <c r="I7673">
        <v>83</v>
      </c>
      <c r="J7673">
        <v>30</v>
      </c>
    </row>
    <row r="7674" spans="1:10" x14ac:dyDescent="0.25">
      <c r="A7674" t="s">
        <v>27</v>
      </c>
      <c r="B7674" t="s">
        <v>19</v>
      </c>
      <c r="C7674" t="s">
        <v>18</v>
      </c>
      <c r="D7674" t="s">
        <v>13</v>
      </c>
      <c r="E7674">
        <v>0.90818949687844197</v>
      </c>
      <c r="F7674">
        <v>0.91941068356859801</v>
      </c>
      <c r="G7674">
        <v>1233.0903000831599</v>
      </c>
      <c r="H7674">
        <v>50</v>
      </c>
      <c r="I7674">
        <v>74</v>
      </c>
      <c r="J7674">
        <v>30</v>
      </c>
    </row>
    <row r="7675" spans="1:10" x14ac:dyDescent="0.25">
      <c r="A7675" t="s">
        <v>27</v>
      </c>
      <c r="B7675" t="s">
        <v>19</v>
      </c>
      <c r="C7675" t="s">
        <v>18</v>
      </c>
      <c r="D7675" t="s">
        <v>13</v>
      </c>
      <c r="E7675">
        <v>0.90121189864120399</v>
      </c>
      <c r="F7675">
        <v>0.91468680812732395</v>
      </c>
      <c r="G7675">
        <v>1234.90571546554</v>
      </c>
      <c r="H7675">
        <v>65</v>
      </c>
      <c r="I7675">
        <v>105</v>
      </c>
      <c r="J7675">
        <v>30</v>
      </c>
    </row>
    <row r="7676" spans="1:10" x14ac:dyDescent="0.25">
      <c r="A7676" t="s">
        <v>27</v>
      </c>
      <c r="B7676" t="s">
        <v>19</v>
      </c>
      <c r="C7676" t="s">
        <v>18</v>
      </c>
      <c r="D7676" t="s">
        <v>13</v>
      </c>
      <c r="E7676">
        <v>0.89717223650385602</v>
      </c>
      <c r="F7676">
        <v>0.91223072978006103</v>
      </c>
      <c r="G7676">
        <v>1237.78109574317</v>
      </c>
      <c r="H7676">
        <v>58</v>
      </c>
      <c r="I7676">
        <v>87</v>
      </c>
      <c r="J7676">
        <v>30</v>
      </c>
    </row>
    <row r="7677" spans="1:10" x14ac:dyDescent="0.25">
      <c r="A7677" t="s">
        <v>27</v>
      </c>
      <c r="B7677" t="s">
        <v>19</v>
      </c>
      <c r="C7677" t="s">
        <v>18</v>
      </c>
      <c r="D7677" t="s">
        <v>13</v>
      </c>
      <c r="E7677">
        <v>0.90451707675357995</v>
      </c>
      <c r="F7677">
        <v>0.91516667467840296</v>
      </c>
      <c r="G7677">
        <v>1239.3731873035399</v>
      </c>
      <c r="H7677">
        <v>52</v>
      </c>
      <c r="I7677">
        <v>81</v>
      </c>
      <c r="J7677">
        <v>30</v>
      </c>
    </row>
    <row r="7678" spans="1:10" x14ac:dyDescent="0.25">
      <c r="A7678" t="s">
        <v>27</v>
      </c>
      <c r="B7678" t="s">
        <v>19</v>
      </c>
      <c r="C7678" t="s">
        <v>18</v>
      </c>
      <c r="D7678" t="s">
        <v>13</v>
      </c>
      <c r="E7678">
        <v>0.90084465662871804</v>
      </c>
      <c r="F7678">
        <v>0.91538542104726695</v>
      </c>
      <c r="G7678">
        <v>1239.3471691608399</v>
      </c>
      <c r="H7678">
        <v>42</v>
      </c>
      <c r="I7678">
        <v>60</v>
      </c>
      <c r="J7678">
        <v>30</v>
      </c>
    </row>
    <row r="7679" spans="1:10" x14ac:dyDescent="0.25">
      <c r="A7679" t="s">
        <v>27</v>
      </c>
      <c r="B7679" t="s">
        <v>19</v>
      </c>
      <c r="C7679" t="s">
        <v>18</v>
      </c>
      <c r="D7679" t="s">
        <v>13</v>
      </c>
      <c r="E7679">
        <v>0.90047741461623199</v>
      </c>
      <c r="F7679">
        <v>0.91386968321417394</v>
      </c>
      <c r="G7679">
        <v>1242.0022516250599</v>
      </c>
      <c r="H7679">
        <v>62</v>
      </c>
      <c r="I7679">
        <v>99</v>
      </c>
      <c r="J7679">
        <v>30</v>
      </c>
    </row>
    <row r="7680" spans="1:10" x14ac:dyDescent="0.25">
      <c r="A7680" t="s">
        <v>27</v>
      </c>
      <c r="B7680" t="s">
        <v>19</v>
      </c>
      <c r="C7680" t="s">
        <v>18</v>
      </c>
      <c r="D7680" t="s">
        <v>13</v>
      </c>
      <c r="E7680">
        <v>0.91186191700330499</v>
      </c>
      <c r="F7680">
        <v>0.92313060995732599</v>
      </c>
      <c r="G7680">
        <v>1243.3629202842701</v>
      </c>
      <c r="H7680">
        <v>48</v>
      </c>
      <c r="I7680">
        <v>75</v>
      </c>
      <c r="J7680">
        <v>30</v>
      </c>
    </row>
    <row r="7681" spans="1:10" x14ac:dyDescent="0.25">
      <c r="A7681" t="s">
        <v>27</v>
      </c>
      <c r="B7681" t="s">
        <v>19</v>
      </c>
      <c r="C7681" t="s">
        <v>18</v>
      </c>
      <c r="D7681" t="s">
        <v>13</v>
      </c>
      <c r="E7681">
        <v>0.90525156077855296</v>
      </c>
      <c r="F7681">
        <v>0.91851284254341004</v>
      </c>
      <c r="G7681">
        <v>1249.7604217529199</v>
      </c>
      <c r="H7681">
        <v>54</v>
      </c>
      <c r="I7681">
        <v>82</v>
      </c>
      <c r="J7681">
        <v>30</v>
      </c>
    </row>
    <row r="7682" spans="1:10" x14ac:dyDescent="0.25">
      <c r="A7682" t="s">
        <v>27</v>
      </c>
      <c r="B7682" t="s">
        <v>19</v>
      </c>
      <c r="C7682" t="s">
        <v>18</v>
      </c>
      <c r="D7682" t="s">
        <v>14</v>
      </c>
      <c r="E7682">
        <v>0.21850899742930499</v>
      </c>
      <c r="F7682">
        <v>0.80185187621142096</v>
      </c>
      <c r="G7682">
        <v>12.492946624755801</v>
      </c>
      <c r="H7682">
        <v>5</v>
      </c>
      <c r="I7682">
        <v>5</v>
      </c>
      <c r="J7682">
        <v>30</v>
      </c>
    </row>
    <row r="7683" spans="1:10" x14ac:dyDescent="0.25">
      <c r="A7683" t="s">
        <v>27</v>
      </c>
      <c r="B7683" t="s">
        <v>19</v>
      </c>
      <c r="C7683" t="s">
        <v>18</v>
      </c>
      <c r="D7683" t="s">
        <v>14</v>
      </c>
      <c r="E7683">
        <v>0.24605214836577299</v>
      </c>
      <c r="F7683">
        <v>0.80870245763826698</v>
      </c>
      <c r="G7683">
        <v>12.6553399562835</v>
      </c>
      <c r="H7683">
        <v>5</v>
      </c>
      <c r="I7683">
        <v>5</v>
      </c>
      <c r="J7683">
        <v>30</v>
      </c>
    </row>
    <row r="7684" spans="1:10" x14ac:dyDescent="0.25">
      <c r="A7684" t="s">
        <v>27</v>
      </c>
      <c r="B7684" t="s">
        <v>19</v>
      </c>
      <c r="C7684" t="s">
        <v>18</v>
      </c>
      <c r="D7684" t="s">
        <v>14</v>
      </c>
      <c r="E7684">
        <v>0.210062431142122</v>
      </c>
      <c r="F7684">
        <v>0.79999069307880999</v>
      </c>
      <c r="G7684">
        <v>12.8623785972595</v>
      </c>
      <c r="H7684">
        <v>5</v>
      </c>
      <c r="I7684">
        <v>5</v>
      </c>
      <c r="J7684">
        <v>30</v>
      </c>
    </row>
    <row r="7685" spans="1:10" x14ac:dyDescent="0.25">
      <c r="A7685" t="s">
        <v>27</v>
      </c>
      <c r="B7685" t="s">
        <v>19</v>
      </c>
      <c r="C7685" t="s">
        <v>18</v>
      </c>
      <c r="D7685" t="s">
        <v>14</v>
      </c>
      <c r="E7685">
        <v>0.24899008446566201</v>
      </c>
      <c r="F7685">
        <v>0.80892664695739902</v>
      </c>
      <c r="G7685">
        <v>12.8281490802764</v>
      </c>
      <c r="H7685">
        <v>5</v>
      </c>
      <c r="I7685">
        <v>5</v>
      </c>
      <c r="J7685">
        <v>30</v>
      </c>
    </row>
    <row r="7686" spans="1:10" x14ac:dyDescent="0.25">
      <c r="A7686" t="s">
        <v>27</v>
      </c>
      <c r="B7686" t="s">
        <v>19</v>
      </c>
      <c r="C7686" t="s">
        <v>18</v>
      </c>
      <c r="D7686" t="s">
        <v>14</v>
      </c>
      <c r="E7686">
        <v>0.226221079691516</v>
      </c>
      <c r="F7686">
        <v>0.80433174958960496</v>
      </c>
      <c r="G7686">
        <v>13.1451287269592</v>
      </c>
      <c r="H7686">
        <v>5</v>
      </c>
      <c r="I7686">
        <v>5</v>
      </c>
      <c r="J7686">
        <v>30</v>
      </c>
    </row>
    <row r="7687" spans="1:10" x14ac:dyDescent="0.25">
      <c r="A7687" t="s">
        <v>27</v>
      </c>
      <c r="B7687" t="s">
        <v>19</v>
      </c>
      <c r="C7687" t="s">
        <v>18</v>
      </c>
      <c r="D7687" t="s">
        <v>14</v>
      </c>
      <c r="E7687">
        <v>0.23356591994124101</v>
      </c>
      <c r="F7687">
        <v>0.80520750313217104</v>
      </c>
      <c r="G7687">
        <v>13.138789415359399</v>
      </c>
      <c r="H7687">
        <v>5</v>
      </c>
      <c r="I7687">
        <v>5</v>
      </c>
      <c r="J7687">
        <v>30</v>
      </c>
    </row>
    <row r="7688" spans="1:10" x14ac:dyDescent="0.25">
      <c r="A7688" t="s">
        <v>27</v>
      </c>
      <c r="B7688" t="s">
        <v>19</v>
      </c>
      <c r="C7688" t="s">
        <v>18</v>
      </c>
      <c r="D7688" t="s">
        <v>14</v>
      </c>
      <c r="E7688">
        <v>0.23430040396621299</v>
      </c>
      <c r="F7688">
        <v>0.80620013462335804</v>
      </c>
      <c r="G7688">
        <v>13.099874019622799</v>
      </c>
      <c r="H7688">
        <v>5</v>
      </c>
      <c r="I7688">
        <v>5</v>
      </c>
      <c r="J7688">
        <v>30</v>
      </c>
    </row>
    <row r="7689" spans="1:10" x14ac:dyDescent="0.25">
      <c r="A7689" t="s">
        <v>27</v>
      </c>
      <c r="B7689" t="s">
        <v>19</v>
      </c>
      <c r="C7689" t="s">
        <v>18</v>
      </c>
      <c r="D7689" t="s">
        <v>14</v>
      </c>
      <c r="E7689">
        <v>0.23503488799118599</v>
      </c>
      <c r="F7689">
        <v>0.80469482374190204</v>
      </c>
      <c r="G7689">
        <v>12.886669397354099</v>
      </c>
      <c r="H7689">
        <v>5</v>
      </c>
      <c r="I7689">
        <v>5</v>
      </c>
      <c r="J7689">
        <v>30</v>
      </c>
    </row>
    <row r="7690" spans="1:10" x14ac:dyDescent="0.25">
      <c r="A7690" t="s">
        <v>27</v>
      </c>
      <c r="B7690" t="s">
        <v>19</v>
      </c>
      <c r="C7690" t="s">
        <v>18</v>
      </c>
      <c r="D7690" t="s">
        <v>14</v>
      </c>
      <c r="E7690">
        <v>0.241278002203452</v>
      </c>
      <c r="F7690">
        <v>0.807104974807896</v>
      </c>
      <c r="G7690">
        <v>13.087471961975</v>
      </c>
      <c r="H7690">
        <v>5</v>
      </c>
      <c r="I7690">
        <v>5</v>
      </c>
      <c r="J7690">
        <v>30</v>
      </c>
    </row>
    <row r="7691" spans="1:10" x14ac:dyDescent="0.25">
      <c r="A7691" t="s">
        <v>27</v>
      </c>
      <c r="B7691" t="s">
        <v>19</v>
      </c>
      <c r="C7691" t="s">
        <v>18</v>
      </c>
      <c r="D7691" t="s">
        <v>14</v>
      </c>
      <c r="E7691">
        <v>0.22805728975394701</v>
      </c>
      <c r="F7691">
        <v>0.80433543910620597</v>
      </c>
      <c r="G7691">
        <v>13.143718719482401</v>
      </c>
      <c r="H7691">
        <v>5</v>
      </c>
      <c r="I7691">
        <v>5</v>
      </c>
      <c r="J7691">
        <v>30</v>
      </c>
    </row>
    <row r="7692" spans="1:10" x14ac:dyDescent="0.25">
      <c r="A7692" t="s">
        <v>27</v>
      </c>
      <c r="B7692" t="s">
        <v>19</v>
      </c>
      <c r="C7692" t="s">
        <v>18</v>
      </c>
      <c r="D7692" t="s">
        <v>14</v>
      </c>
      <c r="E7692">
        <v>0.24605214836577299</v>
      </c>
      <c r="F7692">
        <v>0.80642720272555801</v>
      </c>
      <c r="G7692">
        <v>13.4710240364074</v>
      </c>
      <c r="H7692">
        <v>5</v>
      </c>
      <c r="I7692">
        <v>5</v>
      </c>
      <c r="J7692">
        <v>30</v>
      </c>
    </row>
    <row r="7693" spans="1:10" x14ac:dyDescent="0.25">
      <c r="A7693" t="s">
        <v>27</v>
      </c>
      <c r="B7693" t="s">
        <v>19</v>
      </c>
      <c r="C7693" t="s">
        <v>18</v>
      </c>
      <c r="D7693" t="s">
        <v>14</v>
      </c>
      <c r="E7693">
        <v>0.220345207491737</v>
      </c>
      <c r="F7693">
        <v>0.801513000559678</v>
      </c>
      <c r="G7693">
        <v>13.2903134822845</v>
      </c>
      <c r="H7693">
        <v>5</v>
      </c>
      <c r="I7693">
        <v>5</v>
      </c>
      <c r="J7693">
        <v>30</v>
      </c>
    </row>
    <row r="7694" spans="1:10" x14ac:dyDescent="0.25">
      <c r="A7694" t="s">
        <v>27</v>
      </c>
      <c r="B7694" t="s">
        <v>19</v>
      </c>
      <c r="C7694" t="s">
        <v>18</v>
      </c>
      <c r="D7694" t="s">
        <v>14</v>
      </c>
      <c r="E7694">
        <v>0.25266250459052497</v>
      </c>
      <c r="F7694">
        <v>0.80847098981336796</v>
      </c>
      <c r="G7694">
        <v>13.5725784301757</v>
      </c>
      <c r="H7694">
        <v>5</v>
      </c>
      <c r="I7694">
        <v>5</v>
      </c>
      <c r="J7694">
        <v>30</v>
      </c>
    </row>
    <row r="7695" spans="1:10" x14ac:dyDescent="0.25">
      <c r="A7695" t="s">
        <v>27</v>
      </c>
      <c r="B7695" t="s">
        <v>19</v>
      </c>
      <c r="C7695" t="s">
        <v>18</v>
      </c>
      <c r="D7695" t="s">
        <v>14</v>
      </c>
      <c r="E7695">
        <v>0.24237972824091</v>
      </c>
      <c r="F7695">
        <v>0.80885026314634501</v>
      </c>
      <c r="G7695">
        <v>13.418689489364599</v>
      </c>
      <c r="H7695">
        <v>5</v>
      </c>
      <c r="I7695">
        <v>5</v>
      </c>
      <c r="J7695">
        <v>30</v>
      </c>
    </row>
    <row r="7696" spans="1:10" x14ac:dyDescent="0.25">
      <c r="A7696" t="s">
        <v>27</v>
      </c>
      <c r="B7696" t="s">
        <v>19</v>
      </c>
      <c r="C7696" t="s">
        <v>18</v>
      </c>
      <c r="D7696" t="s">
        <v>14</v>
      </c>
      <c r="E7696">
        <v>0.23209695189129601</v>
      </c>
      <c r="F7696">
        <v>0.80549834171039303</v>
      </c>
      <c r="G7696">
        <v>13.618312835693301</v>
      </c>
      <c r="H7696">
        <v>5</v>
      </c>
      <c r="I7696">
        <v>5</v>
      </c>
      <c r="J7696">
        <v>30</v>
      </c>
    </row>
    <row r="7697" spans="1:10" x14ac:dyDescent="0.25">
      <c r="A7697" t="s">
        <v>27</v>
      </c>
      <c r="B7697" t="s">
        <v>19</v>
      </c>
      <c r="C7697" t="s">
        <v>18</v>
      </c>
      <c r="D7697" t="s">
        <v>14</v>
      </c>
      <c r="E7697">
        <v>0.214836577304443</v>
      </c>
      <c r="F7697">
        <v>0.79995110657645896</v>
      </c>
      <c r="G7697">
        <v>13.616087675094599</v>
      </c>
      <c r="H7697">
        <v>5</v>
      </c>
      <c r="I7697">
        <v>5</v>
      </c>
      <c r="J7697">
        <v>30</v>
      </c>
    </row>
    <row r="7698" spans="1:10" x14ac:dyDescent="0.25">
      <c r="A7698" t="s">
        <v>27</v>
      </c>
      <c r="B7698" t="s">
        <v>19</v>
      </c>
      <c r="C7698" t="s">
        <v>18</v>
      </c>
      <c r="D7698" t="s">
        <v>14</v>
      </c>
      <c r="E7698">
        <v>0.22842453176643401</v>
      </c>
      <c r="F7698">
        <v>0.80444643667917703</v>
      </c>
      <c r="G7698">
        <v>13.5645854473114</v>
      </c>
      <c r="H7698">
        <v>5</v>
      </c>
      <c r="I7698">
        <v>5</v>
      </c>
      <c r="J7698">
        <v>30</v>
      </c>
    </row>
    <row r="7699" spans="1:10" x14ac:dyDescent="0.25">
      <c r="A7699" t="s">
        <v>27</v>
      </c>
      <c r="B7699" t="s">
        <v>19</v>
      </c>
      <c r="C7699" t="s">
        <v>18</v>
      </c>
      <c r="D7699" t="s">
        <v>14</v>
      </c>
      <c r="E7699">
        <v>0.25302974660301097</v>
      </c>
      <c r="F7699">
        <v>0.80975723709922898</v>
      </c>
      <c r="G7699">
        <v>13.5757009983062</v>
      </c>
      <c r="H7699">
        <v>5</v>
      </c>
      <c r="I7699">
        <v>5</v>
      </c>
      <c r="J7699">
        <v>30</v>
      </c>
    </row>
    <row r="7700" spans="1:10" x14ac:dyDescent="0.25">
      <c r="A7700" t="s">
        <v>27</v>
      </c>
      <c r="B7700" t="s">
        <v>19</v>
      </c>
      <c r="C7700" t="s">
        <v>18</v>
      </c>
      <c r="D7700" t="s">
        <v>14</v>
      </c>
      <c r="E7700">
        <v>0.24421593830334101</v>
      </c>
      <c r="F7700">
        <v>0.80734508418927597</v>
      </c>
      <c r="G7700">
        <v>13.558924674987701</v>
      </c>
      <c r="H7700">
        <v>5</v>
      </c>
      <c r="I7700">
        <v>5</v>
      </c>
      <c r="J7700">
        <v>30</v>
      </c>
    </row>
    <row r="7701" spans="1:10" x14ac:dyDescent="0.25">
      <c r="A7701" t="s">
        <v>27</v>
      </c>
      <c r="B7701" t="s">
        <v>19</v>
      </c>
      <c r="C7701" t="s">
        <v>18</v>
      </c>
      <c r="D7701" t="s">
        <v>14</v>
      </c>
      <c r="E7701">
        <v>0.23870730811604801</v>
      </c>
      <c r="F7701">
        <v>0.80712000603889</v>
      </c>
      <c r="G7701">
        <v>13.595741033554001</v>
      </c>
      <c r="H7701">
        <v>5</v>
      </c>
      <c r="I7701">
        <v>5</v>
      </c>
      <c r="J7701">
        <v>30</v>
      </c>
    </row>
    <row r="7702" spans="1:10" x14ac:dyDescent="0.25">
      <c r="A7702" t="s">
        <v>27</v>
      </c>
      <c r="B7702" t="s">
        <v>19</v>
      </c>
      <c r="C7702" t="s">
        <v>18</v>
      </c>
      <c r="D7702" t="s">
        <v>14</v>
      </c>
      <c r="E7702">
        <v>0.26147631289019402</v>
      </c>
      <c r="F7702">
        <v>0.81164538500407701</v>
      </c>
      <c r="G7702">
        <v>13.731577396392799</v>
      </c>
      <c r="H7702">
        <v>5</v>
      </c>
      <c r="I7702">
        <v>5</v>
      </c>
      <c r="J7702">
        <v>30</v>
      </c>
    </row>
    <row r="7703" spans="1:10" x14ac:dyDescent="0.25">
      <c r="A7703" t="s">
        <v>27</v>
      </c>
      <c r="B7703" t="s">
        <v>19</v>
      </c>
      <c r="C7703" t="s">
        <v>18</v>
      </c>
      <c r="D7703" t="s">
        <v>14</v>
      </c>
      <c r="E7703">
        <v>0.24421593830334101</v>
      </c>
      <c r="F7703">
        <v>0.80641779639849398</v>
      </c>
      <c r="G7703">
        <v>13.6754076480865</v>
      </c>
      <c r="H7703">
        <v>5</v>
      </c>
      <c r="I7703">
        <v>5</v>
      </c>
      <c r="J7703">
        <v>30</v>
      </c>
    </row>
    <row r="7704" spans="1:10" x14ac:dyDescent="0.25">
      <c r="A7704" t="s">
        <v>27</v>
      </c>
      <c r="B7704" t="s">
        <v>19</v>
      </c>
      <c r="C7704" t="s">
        <v>18</v>
      </c>
      <c r="D7704" t="s">
        <v>14</v>
      </c>
      <c r="E7704">
        <v>0.24605214836577299</v>
      </c>
      <c r="F7704">
        <v>0.80723485266933603</v>
      </c>
      <c r="G7704">
        <v>13.567404747009199</v>
      </c>
      <c r="H7704">
        <v>5</v>
      </c>
      <c r="I7704">
        <v>5</v>
      </c>
      <c r="J7704">
        <v>30</v>
      </c>
    </row>
    <row r="7705" spans="1:10" x14ac:dyDescent="0.25">
      <c r="A7705" t="s">
        <v>27</v>
      </c>
      <c r="B7705" t="s">
        <v>19</v>
      </c>
      <c r="C7705" t="s">
        <v>18</v>
      </c>
      <c r="D7705" t="s">
        <v>14</v>
      </c>
      <c r="E7705">
        <v>0.23319867792875501</v>
      </c>
      <c r="F7705">
        <v>0.80546078339812799</v>
      </c>
      <c r="G7705">
        <v>13.7252581119537</v>
      </c>
      <c r="H7705">
        <v>5</v>
      </c>
      <c r="I7705">
        <v>5</v>
      </c>
      <c r="J7705">
        <v>30</v>
      </c>
    </row>
    <row r="7706" spans="1:10" x14ac:dyDescent="0.25">
      <c r="A7706" t="s">
        <v>27</v>
      </c>
      <c r="B7706" t="s">
        <v>19</v>
      </c>
      <c r="C7706" t="s">
        <v>18</v>
      </c>
      <c r="D7706" t="s">
        <v>14</v>
      </c>
      <c r="E7706">
        <v>0.22732280572897501</v>
      </c>
      <c r="F7706">
        <v>0.80320609222390804</v>
      </c>
      <c r="G7706">
        <v>13.9118394851684</v>
      </c>
      <c r="H7706">
        <v>5</v>
      </c>
      <c r="I7706">
        <v>5</v>
      </c>
      <c r="J7706">
        <v>30</v>
      </c>
    </row>
    <row r="7707" spans="1:10" x14ac:dyDescent="0.25">
      <c r="A7707" t="s">
        <v>27</v>
      </c>
      <c r="B7707" t="s">
        <v>19</v>
      </c>
      <c r="C7707" t="s">
        <v>18</v>
      </c>
      <c r="D7707" t="s">
        <v>14</v>
      </c>
      <c r="E7707">
        <v>0.23356591994124101</v>
      </c>
      <c r="F7707">
        <v>0.80549612018049799</v>
      </c>
      <c r="G7707">
        <v>14.220448732375999</v>
      </c>
      <c r="H7707">
        <v>5</v>
      </c>
      <c r="I7707">
        <v>5</v>
      </c>
      <c r="J7707">
        <v>30</v>
      </c>
    </row>
    <row r="7708" spans="1:10" x14ac:dyDescent="0.25">
      <c r="A7708" t="s">
        <v>27</v>
      </c>
      <c r="B7708" t="s">
        <v>19</v>
      </c>
      <c r="C7708" t="s">
        <v>18</v>
      </c>
      <c r="D7708" t="s">
        <v>14</v>
      </c>
      <c r="E7708">
        <v>0.25082629452809402</v>
      </c>
      <c r="F7708">
        <v>0.80606027772878996</v>
      </c>
      <c r="G7708">
        <v>13.922230005264201</v>
      </c>
      <c r="H7708">
        <v>5</v>
      </c>
      <c r="I7708">
        <v>5</v>
      </c>
      <c r="J7708">
        <v>30</v>
      </c>
    </row>
    <row r="7709" spans="1:10" x14ac:dyDescent="0.25">
      <c r="A7709" t="s">
        <v>27</v>
      </c>
      <c r="B7709" t="s">
        <v>19</v>
      </c>
      <c r="C7709" t="s">
        <v>18</v>
      </c>
      <c r="D7709" t="s">
        <v>14</v>
      </c>
      <c r="E7709">
        <v>0.23356591994124101</v>
      </c>
      <c r="F7709">
        <v>0.80462402938956901</v>
      </c>
      <c r="G7709">
        <v>14.0434279441833</v>
      </c>
      <c r="H7709">
        <v>5</v>
      </c>
      <c r="I7709">
        <v>5</v>
      </c>
      <c r="J7709">
        <v>30</v>
      </c>
    </row>
    <row r="7710" spans="1:10" x14ac:dyDescent="0.25">
      <c r="A7710" t="s">
        <v>27</v>
      </c>
      <c r="B7710" t="s">
        <v>19</v>
      </c>
      <c r="C7710" t="s">
        <v>18</v>
      </c>
      <c r="D7710" t="s">
        <v>14</v>
      </c>
      <c r="E7710">
        <v>0.242012486228424</v>
      </c>
      <c r="F7710">
        <v>0.80694082618542096</v>
      </c>
      <c r="G7710">
        <v>14.098137617111201</v>
      </c>
      <c r="H7710">
        <v>5</v>
      </c>
      <c r="I7710">
        <v>5</v>
      </c>
      <c r="J7710">
        <v>30</v>
      </c>
    </row>
    <row r="7711" spans="1:10" x14ac:dyDescent="0.25">
      <c r="A7711" t="s">
        <v>27</v>
      </c>
      <c r="B7711" t="s">
        <v>19</v>
      </c>
      <c r="C7711" t="s">
        <v>18</v>
      </c>
      <c r="D7711" t="s">
        <v>14</v>
      </c>
      <c r="E7711">
        <v>0.44583180315828103</v>
      </c>
      <c r="F7711">
        <v>0.85248520793051696</v>
      </c>
      <c r="G7711">
        <v>20.6448667049407</v>
      </c>
      <c r="H7711">
        <v>23</v>
      </c>
      <c r="I7711">
        <v>23</v>
      </c>
      <c r="J7711">
        <v>30</v>
      </c>
    </row>
    <row r="7712" spans="1:10" x14ac:dyDescent="0.25">
      <c r="A7712" t="s">
        <v>27</v>
      </c>
      <c r="B7712" t="s">
        <v>19</v>
      </c>
      <c r="C7712" t="s">
        <v>18</v>
      </c>
      <c r="D7712" t="s">
        <v>15</v>
      </c>
      <c r="E7712">
        <v>0</v>
      </c>
      <c r="F7712">
        <v>0.75</v>
      </c>
      <c r="G7712">
        <v>180.690935611724</v>
      </c>
      <c r="H7712">
        <v>0</v>
      </c>
      <c r="I7712">
        <v>0</v>
      </c>
      <c r="J7712">
        <v>30</v>
      </c>
    </row>
    <row r="7713" spans="1:10" x14ac:dyDescent="0.25">
      <c r="A7713" t="s">
        <v>27</v>
      </c>
      <c r="B7713" t="s">
        <v>19</v>
      </c>
      <c r="C7713" t="s">
        <v>18</v>
      </c>
      <c r="D7713" t="s">
        <v>15</v>
      </c>
      <c r="E7713">
        <v>0</v>
      </c>
      <c r="F7713">
        <v>0.75</v>
      </c>
      <c r="G7713">
        <v>186.872312545776</v>
      </c>
      <c r="H7713">
        <v>0</v>
      </c>
      <c r="I7713">
        <v>0</v>
      </c>
      <c r="J7713">
        <v>30</v>
      </c>
    </row>
    <row r="7714" spans="1:10" x14ac:dyDescent="0.25">
      <c r="A7714" t="s">
        <v>27</v>
      </c>
      <c r="B7714" t="s">
        <v>19</v>
      </c>
      <c r="C7714" t="s">
        <v>18</v>
      </c>
      <c r="D7714" t="s">
        <v>15</v>
      </c>
      <c r="E7714">
        <v>0</v>
      </c>
      <c r="F7714">
        <v>0.75</v>
      </c>
      <c r="G7714">
        <v>188.19313883781399</v>
      </c>
      <c r="H7714">
        <v>0</v>
      </c>
      <c r="I7714">
        <v>0</v>
      </c>
      <c r="J7714">
        <v>30</v>
      </c>
    </row>
    <row r="7715" spans="1:10" x14ac:dyDescent="0.25">
      <c r="A7715" t="s">
        <v>27</v>
      </c>
      <c r="B7715" t="s">
        <v>19</v>
      </c>
      <c r="C7715" t="s">
        <v>18</v>
      </c>
      <c r="D7715" t="s">
        <v>15</v>
      </c>
      <c r="E7715">
        <v>0</v>
      </c>
      <c r="F7715">
        <v>0.75</v>
      </c>
      <c r="G7715">
        <v>189.908938169479</v>
      </c>
      <c r="H7715">
        <v>0</v>
      </c>
      <c r="I7715">
        <v>0</v>
      </c>
      <c r="J7715">
        <v>30</v>
      </c>
    </row>
    <row r="7716" spans="1:10" x14ac:dyDescent="0.25">
      <c r="A7716" t="s">
        <v>27</v>
      </c>
      <c r="B7716" t="s">
        <v>19</v>
      </c>
      <c r="C7716" t="s">
        <v>18</v>
      </c>
      <c r="D7716" t="s">
        <v>15</v>
      </c>
      <c r="E7716">
        <v>0</v>
      </c>
      <c r="F7716">
        <v>0.75</v>
      </c>
      <c r="G7716">
        <v>353.39988541602997</v>
      </c>
      <c r="H7716">
        <v>0</v>
      </c>
      <c r="I7716">
        <v>0</v>
      </c>
      <c r="J7716">
        <v>30</v>
      </c>
    </row>
    <row r="7717" spans="1:10" x14ac:dyDescent="0.25">
      <c r="A7717" t="s">
        <v>27</v>
      </c>
      <c r="B7717" t="s">
        <v>19</v>
      </c>
      <c r="C7717" t="s">
        <v>18</v>
      </c>
      <c r="D7717" t="s">
        <v>15</v>
      </c>
      <c r="E7717">
        <v>0</v>
      </c>
      <c r="F7717">
        <v>0.75</v>
      </c>
      <c r="G7717">
        <v>359.927909374237</v>
      </c>
      <c r="H7717">
        <v>0</v>
      </c>
      <c r="I7717">
        <v>0</v>
      </c>
      <c r="J7717">
        <v>30</v>
      </c>
    </row>
    <row r="7718" spans="1:10" x14ac:dyDescent="0.25">
      <c r="A7718" t="s">
        <v>27</v>
      </c>
      <c r="B7718" t="s">
        <v>19</v>
      </c>
      <c r="C7718" t="s">
        <v>18</v>
      </c>
      <c r="D7718" t="s">
        <v>15</v>
      </c>
      <c r="E7718">
        <v>0</v>
      </c>
      <c r="F7718">
        <v>0.75</v>
      </c>
      <c r="G7718">
        <v>517.69173765182495</v>
      </c>
      <c r="H7718">
        <v>0</v>
      </c>
      <c r="I7718">
        <v>0</v>
      </c>
      <c r="J7718">
        <v>30</v>
      </c>
    </row>
    <row r="7719" spans="1:10" x14ac:dyDescent="0.25">
      <c r="A7719" t="s">
        <v>27</v>
      </c>
      <c r="B7719" t="s">
        <v>19</v>
      </c>
      <c r="C7719" t="s">
        <v>18</v>
      </c>
      <c r="D7719" t="s">
        <v>15</v>
      </c>
      <c r="E7719">
        <v>0</v>
      </c>
      <c r="F7719">
        <v>0.75</v>
      </c>
      <c r="G7719">
        <v>641.22819232940606</v>
      </c>
      <c r="H7719">
        <v>0</v>
      </c>
      <c r="I7719">
        <v>0</v>
      </c>
      <c r="J7719">
        <v>30</v>
      </c>
    </row>
    <row r="7720" spans="1:10" x14ac:dyDescent="0.25">
      <c r="A7720" t="s">
        <v>27</v>
      </c>
      <c r="B7720" t="s">
        <v>19</v>
      </c>
      <c r="C7720" t="s">
        <v>18</v>
      </c>
      <c r="D7720" t="s">
        <v>15</v>
      </c>
      <c r="E7720">
        <v>0</v>
      </c>
      <c r="F7720">
        <v>0.75</v>
      </c>
      <c r="G7720">
        <v>643.65324664115894</v>
      </c>
      <c r="H7720">
        <v>0</v>
      </c>
      <c r="I7720">
        <v>0</v>
      </c>
      <c r="J7720">
        <v>30</v>
      </c>
    </row>
    <row r="7721" spans="1:10" x14ac:dyDescent="0.25">
      <c r="A7721" t="s">
        <v>27</v>
      </c>
      <c r="B7721" t="s">
        <v>19</v>
      </c>
      <c r="C7721" t="s">
        <v>18</v>
      </c>
      <c r="D7721" t="s">
        <v>15</v>
      </c>
      <c r="E7721">
        <v>0</v>
      </c>
      <c r="F7721">
        <v>0.75</v>
      </c>
      <c r="G7721">
        <v>647.91521430015496</v>
      </c>
      <c r="H7721">
        <v>0</v>
      </c>
      <c r="I7721">
        <v>0</v>
      </c>
      <c r="J7721">
        <v>30</v>
      </c>
    </row>
    <row r="7722" spans="1:10" x14ac:dyDescent="0.25">
      <c r="A7722" t="s">
        <v>27</v>
      </c>
      <c r="B7722" t="s">
        <v>19</v>
      </c>
      <c r="C7722" t="s">
        <v>18</v>
      </c>
      <c r="D7722" t="s">
        <v>15</v>
      </c>
      <c r="E7722">
        <v>0</v>
      </c>
      <c r="F7722">
        <v>0.75</v>
      </c>
      <c r="G7722">
        <v>652.41503858566205</v>
      </c>
      <c r="H7722">
        <v>0</v>
      </c>
      <c r="I7722">
        <v>0</v>
      </c>
      <c r="J7722">
        <v>30</v>
      </c>
    </row>
    <row r="7723" spans="1:10" x14ac:dyDescent="0.25">
      <c r="A7723" t="s">
        <v>27</v>
      </c>
      <c r="B7723" t="s">
        <v>19</v>
      </c>
      <c r="C7723" t="s">
        <v>18</v>
      </c>
      <c r="D7723" t="s">
        <v>15</v>
      </c>
      <c r="E7723">
        <v>0</v>
      </c>
      <c r="F7723">
        <v>0.75</v>
      </c>
      <c r="G7723">
        <v>654.76726579666104</v>
      </c>
      <c r="H7723">
        <v>0</v>
      </c>
      <c r="I7723">
        <v>0</v>
      </c>
      <c r="J7723">
        <v>30</v>
      </c>
    </row>
    <row r="7724" spans="1:10" x14ac:dyDescent="0.25">
      <c r="A7724" t="s">
        <v>27</v>
      </c>
      <c r="B7724" t="s">
        <v>19</v>
      </c>
      <c r="C7724" t="s">
        <v>18</v>
      </c>
      <c r="D7724" t="s">
        <v>15</v>
      </c>
      <c r="E7724">
        <v>0</v>
      </c>
      <c r="F7724">
        <v>0.75</v>
      </c>
      <c r="G7724">
        <v>751.24891114234902</v>
      </c>
      <c r="H7724">
        <v>0</v>
      </c>
      <c r="I7724">
        <v>0</v>
      </c>
      <c r="J7724">
        <v>30</v>
      </c>
    </row>
    <row r="7725" spans="1:10" x14ac:dyDescent="0.25">
      <c r="A7725" t="s">
        <v>27</v>
      </c>
      <c r="B7725" t="s">
        <v>19</v>
      </c>
      <c r="C7725" t="s">
        <v>18</v>
      </c>
      <c r="D7725" t="s">
        <v>15</v>
      </c>
      <c r="E7725">
        <v>0</v>
      </c>
      <c r="F7725">
        <v>0.75</v>
      </c>
      <c r="G7725">
        <v>756.15339016914299</v>
      </c>
      <c r="H7725">
        <v>0</v>
      </c>
      <c r="I7725">
        <v>0</v>
      </c>
      <c r="J7725">
        <v>30</v>
      </c>
    </row>
    <row r="7726" spans="1:10" x14ac:dyDescent="0.25">
      <c r="A7726" t="s">
        <v>27</v>
      </c>
      <c r="B7726" t="s">
        <v>19</v>
      </c>
      <c r="C7726" t="s">
        <v>18</v>
      </c>
      <c r="D7726" t="s">
        <v>15</v>
      </c>
      <c r="E7726">
        <v>0</v>
      </c>
      <c r="F7726">
        <v>0.75</v>
      </c>
      <c r="G7726">
        <v>758.61746740341096</v>
      </c>
      <c r="H7726">
        <v>0</v>
      </c>
      <c r="I7726">
        <v>0</v>
      </c>
      <c r="J7726">
        <v>30</v>
      </c>
    </row>
    <row r="7727" spans="1:10" x14ac:dyDescent="0.25">
      <c r="A7727" t="s">
        <v>27</v>
      </c>
      <c r="B7727" t="s">
        <v>19</v>
      </c>
      <c r="C7727" t="s">
        <v>18</v>
      </c>
      <c r="D7727" t="s">
        <v>15</v>
      </c>
      <c r="E7727">
        <v>0</v>
      </c>
      <c r="F7727">
        <v>0.75</v>
      </c>
      <c r="G7727">
        <v>760.609058856964</v>
      </c>
      <c r="H7727">
        <v>0</v>
      </c>
      <c r="I7727">
        <v>0</v>
      </c>
      <c r="J7727">
        <v>30</v>
      </c>
    </row>
    <row r="7728" spans="1:10" x14ac:dyDescent="0.25">
      <c r="A7728" t="s">
        <v>27</v>
      </c>
      <c r="B7728" t="s">
        <v>19</v>
      </c>
      <c r="C7728" t="s">
        <v>18</v>
      </c>
      <c r="D7728" t="s">
        <v>15</v>
      </c>
      <c r="E7728">
        <v>0</v>
      </c>
      <c r="F7728">
        <v>0.75</v>
      </c>
      <c r="G7728">
        <v>764.18541669845501</v>
      </c>
      <c r="H7728">
        <v>0</v>
      </c>
      <c r="I7728">
        <v>0</v>
      </c>
      <c r="J7728">
        <v>30</v>
      </c>
    </row>
    <row r="7729" spans="1:10" x14ac:dyDescent="0.25">
      <c r="A7729" t="s">
        <v>27</v>
      </c>
      <c r="B7729" t="s">
        <v>19</v>
      </c>
      <c r="C7729" t="s">
        <v>18</v>
      </c>
      <c r="D7729" t="s">
        <v>15</v>
      </c>
      <c r="E7729">
        <v>0</v>
      </c>
      <c r="F7729">
        <v>0.75</v>
      </c>
      <c r="G7729">
        <v>765.34499430656399</v>
      </c>
      <c r="H7729">
        <v>0</v>
      </c>
      <c r="I7729">
        <v>0</v>
      </c>
      <c r="J7729">
        <v>30</v>
      </c>
    </row>
    <row r="7730" spans="1:10" x14ac:dyDescent="0.25">
      <c r="A7730" t="s">
        <v>27</v>
      </c>
      <c r="B7730" t="s">
        <v>19</v>
      </c>
      <c r="C7730" t="s">
        <v>18</v>
      </c>
      <c r="D7730" t="s">
        <v>15</v>
      </c>
      <c r="E7730">
        <v>0</v>
      </c>
      <c r="F7730">
        <v>0.75</v>
      </c>
      <c r="G7730">
        <v>769.76519250869706</v>
      </c>
      <c r="H7730">
        <v>0</v>
      </c>
      <c r="I7730">
        <v>0</v>
      </c>
      <c r="J7730">
        <v>30</v>
      </c>
    </row>
    <row r="7731" spans="1:10" x14ac:dyDescent="0.25">
      <c r="A7731" t="s">
        <v>27</v>
      </c>
      <c r="B7731" t="s">
        <v>19</v>
      </c>
      <c r="C7731" t="s">
        <v>18</v>
      </c>
      <c r="D7731" t="s">
        <v>15</v>
      </c>
      <c r="E7731">
        <v>0</v>
      </c>
      <c r="F7731">
        <v>0.75</v>
      </c>
      <c r="G7731">
        <v>787.55226349830605</v>
      </c>
      <c r="H7731">
        <v>0</v>
      </c>
      <c r="I7731">
        <v>0</v>
      </c>
      <c r="J7731">
        <v>30</v>
      </c>
    </row>
    <row r="7732" spans="1:10" x14ac:dyDescent="0.25">
      <c r="A7732" t="s">
        <v>27</v>
      </c>
      <c r="B7732" t="s">
        <v>19</v>
      </c>
      <c r="C7732" t="s">
        <v>18</v>
      </c>
      <c r="D7732" t="s">
        <v>15</v>
      </c>
      <c r="E7732">
        <v>0</v>
      </c>
      <c r="F7732">
        <v>0.75</v>
      </c>
      <c r="G7732">
        <v>811.88586473464898</v>
      </c>
      <c r="H7732">
        <v>0</v>
      </c>
      <c r="I7732">
        <v>0</v>
      </c>
      <c r="J7732">
        <v>30</v>
      </c>
    </row>
    <row r="7733" spans="1:10" x14ac:dyDescent="0.25">
      <c r="A7733" t="s">
        <v>27</v>
      </c>
      <c r="B7733" t="s">
        <v>19</v>
      </c>
      <c r="C7733" t="s">
        <v>18</v>
      </c>
      <c r="D7733" t="s">
        <v>15</v>
      </c>
      <c r="E7733">
        <v>0</v>
      </c>
      <c r="F7733">
        <v>0.75</v>
      </c>
      <c r="G7733">
        <v>821.28757071494999</v>
      </c>
      <c r="H7733">
        <v>0</v>
      </c>
      <c r="I7733">
        <v>0</v>
      </c>
      <c r="J7733">
        <v>30</v>
      </c>
    </row>
    <row r="7734" spans="1:10" x14ac:dyDescent="0.25">
      <c r="A7734" t="s">
        <v>27</v>
      </c>
      <c r="B7734" t="s">
        <v>19</v>
      </c>
      <c r="C7734" t="s">
        <v>18</v>
      </c>
      <c r="D7734" t="s">
        <v>15</v>
      </c>
      <c r="E7734">
        <v>0</v>
      </c>
      <c r="F7734">
        <v>0.75</v>
      </c>
      <c r="G7734">
        <v>823.78254389762799</v>
      </c>
      <c r="H7734">
        <v>0</v>
      </c>
      <c r="I7734">
        <v>0</v>
      </c>
      <c r="J7734">
        <v>30</v>
      </c>
    </row>
    <row r="7735" spans="1:10" x14ac:dyDescent="0.25">
      <c r="A7735" t="s">
        <v>27</v>
      </c>
      <c r="B7735" t="s">
        <v>19</v>
      </c>
      <c r="C7735" t="s">
        <v>18</v>
      </c>
      <c r="D7735" t="s">
        <v>15</v>
      </c>
      <c r="E7735">
        <v>0</v>
      </c>
      <c r="F7735">
        <v>0.75</v>
      </c>
      <c r="G7735">
        <v>825.59894776344299</v>
      </c>
      <c r="H7735">
        <v>0</v>
      </c>
      <c r="I7735">
        <v>0</v>
      </c>
      <c r="J7735">
        <v>30</v>
      </c>
    </row>
    <row r="7736" spans="1:10" x14ac:dyDescent="0.25">
      <c r="A7736" t="s">
        <v>27</v>
      </c>
      <c r="B7736" t="s">
        <v>19</v>
      </c>
      <c r="C7736" t="s">
        <v>18</v>
      </c>
      <c r="D7736" t="s">
        <v>15</v>
      </c>
      <c r="E7736">
        <v>0</v>
      </c>
      <c r="F7736">
        <v>0.75</v>
      </c>
      <c r="G7736">
        <v>827.92635965347199</v>
      </c>
      <c r="H7736">
        <v>0</v>
      </c>
      <c r="I7736">
        <v>0</v>
      </c>
      <c r="J7736">
        <v>30</v>
      </c>
    </row>
    <row r="7737" spans="1:10" x14ac:dyDescent="0.25">
      <c r="A7737" t="s">
        <v>27</v>
      </c>
      <c r="B7737" t="s">
        <v>19</v>
      </c>
      <c r="C7737" t="s">
        <v>18</v>
      </c>
      <c r="D7737" t="s">
        <v>15</v>
      </c>
      <c r="E7737">
        <v>0</v>
      </c>
      <c r="F7737">
        <v>0.75</v>
      </c>
      <c r="G7737">
        <v>828.94237089157104</v>
      </c>
      <c r="H7737">
        <v>0</v>
      </c>
      <c r="I7737">
        <v>0</v>
      </c>
      <c r="J7737">
        <v>30</v>
      </c>
    </row>
    <row r="7738" spans="1:10" x14ac:dyDescent="0.25">
      <c r="A7738" t="s">
        <v>27</v>
      </c>
      <c r="B7738" t="s">
        <v>19</v>
      </c>
      <c r="C7738" t="s">
        <v>18</v>
      </c>
      <c r="D7738" t="s">
        <v>15</v>
      </c>
      <c r="E7738">
        <v>0</v>
      </c>
      <c r="F7738">
        <v>0.75</v>
      </c>
      <c r="G7738">
        <v>846.82565498352005</v>
      </c>
      <c r="H7738">
        <v>0</v>
      </c>
      <c r="I7738">
        <v>0</v>
      </c>
      <c r="J7738">
        <v>30</v>
      </c>
    </row>
    <row r="7739" spans="1:10" x14ac:dyDescent="0.25">
      <c r="A7739" t="s">
        <v>27</v>
      </c>
      <c r="B7739" t="s">
        <v>19</v>
      </c>
      <c r="C7739" t="s">
        <v>18</v>
      </c>
      <c r="D7739" t="s">
        <v>15</v>
      </c>
      <c r="E7739">
        <v>0</v>
      </c>
      <c r="F7739">
        <v>0.75</v>
      </c>
      <c r="G7739">
        <v>852.59487438201904</v>
      </c>
      <c r="H7739">
        <v>0</v>
      </c>
      <c r="I7739">
        <v>0</v>
      </c>
      <c r="J7739">
        <v>30</v>
      </c>
    </row>
    <row r="7740" spans="1:10" x14ac:dyDescent="0.25">
      <c r="A7740" t="s">
        <v>27</v>
      </c>
      <c r="B7740" t="s">
        <v>19</v>
      </c>
      <c r="C7740" t="s">
        <v>18</v>
      </c>
      <c r="D7740" t="s">
        <v>15</v>
      </c>
      <c r="E7740">
        <v>0</v>
      </c>
      <c r="F7740">
        <v>0.75</v>
      </c>
      <c r="G7740">
        <v>863.87991619110096</v>
      </c>
      <c r="H7740">
        <v>0</v>
      </c>
      <c r="I7740">
        <v>0</v>
      </c>
      <c r="J7740">
        <v>30</v>
      </c>
    </row>
    <row r="7741" spans="1:10" x14ac:dyDescent="0.25">
      <c r="A7741" t="s">
        <v>27</v>
      </c>
      <c r="B7741" t="s">
        <v>19</v>
      </c>
      <c r="C7741" t="s">
        <v>18</v>
      </c>
      <c r="D7741" t="s">
        <v>15</v>
      </c>
      <c r="E7741">
        <v>0</v>
      </c>
      <c r="F7741">
        <v>0.75</v>
      </c>
      <c r="G7741">
        <v>869.492760181427</v>
      </c>
      <c r="H7741">
        <v>0</v>
      </c>
      <c r="I7741">
        <v>0</v>
      </c>
      <c r="J7741">
        <v>30</v>
      </c>
    </row>
    <row r="7742" spans="1:10" x14ac:dyDescent="0.25">
      <c r="A7742" t="s">
        <v>27</v>
      </c>
      <c r="B7742" t="s">
        <v>19</v>
      </c>
      <c r="C7742" t="s">
        <v>18</v>
      </c>
      <c r="D7742" t="s">
        <v>16</v>
      </c>
      <c r="E7742">
        <v>0</v>
      </c>
      <c r="F7742">
        <v>0.75</v>
      </c>
      <c r="G7742">
        <v>6.0562264919280997</v>
      </c>
      <c r="H7742">
        <v>0</v>
      </c>
      <c r="I7742">
        <v>0</v>
      </c>
      <c r="J7742">
        <v>30</v>
      </c>
    </row>
    <row r="7743" spans="1:10" x14ac:dyDescent="0.25">
      <c r="A7743" t="s">
        <v>27</v>
      </c>
      <c r="B7743" t="s">
        <v>19</v>
      </c>
      <c r="C7743" t="s">
        <v>18</v>
      </c>
      <c r="D7743" t="s">
        <v>16</v>
      </c>
      <c r="E7743">
        <v>0</v>
      </c>
      <c r="F7743">
        <v>0.75</v>
      </c>
      <c r="G7743">
        <v>6.5286266803741402</v>
      </c>
      <c r="H7743">
        <v>0</v>
      </c>
      <c r="I7743">
        <v>0</v>
      </c>
      <c r="J7743">
        <v>30</v>
      </c>
    </row>
    <row r="7744" spans="1:10" x14ac:dyDescent="0.25">
      <c r="A7744" t="s">
        <v>27</v>
      </c>
      <c r="B7744" t="s">
        <v>19</v>
      </c>
      <c r="C7744" t="s">
        <v>18</v>
      </c>
      <c r="D7744" t="s">
        <v>16</v>
      </c>
      <c r="E7744">
        <v>0</v>
      </c>
      <c r="F7744">
        <v>0.75</v>
      </c>
      <c r="G7744">
        <v>6.6920320987701398</v>
      </c>
      <c r="H7744">
        <v>0</v>
      </c>
      <c r="I7744">
        <v>0</v>
      </c>
      <c r="J7744">
        <v>30</v>
      </c>
    </row>
    <row r="7745" spans="1:10" x14ac:dyDescent="0.25">
      <c r="A7745" t="s">
        <v>27</v>
      </c>
      <c r="B7745" t="s">
        <v>19</v>
      </c>
      <c r="C7745" t="s">
        <v>18</v>
      </c>
      <c r="D7745" t="s">
        <v>16</v>
      </c>
      <c r="E7745">
        <v>0</v>
      </c>
      <c r="F7745">
        <v>0.75</v>
      </c>
      <c r="G7745">
        <v>7.7906734943389804</v>
      </c>
      <c r="H7745">
        <v>0</v>
      </c>
      <c r="I7745">
        <v>0</v>
      </c>
      <c r="J7745">
        <v>30</v>
      </c>
    </row>
    <row r="7746" spans="1:10" x14ac:dyDescent="0.25">
      <c r="A7746" t="s">
        <v>27</v>
      </c>
      <c r="B7746" t="s">
        <v>19</v>
      </c>
      <c r="C7746" t="s">
        <v>18</v>
      </c>
      <c r="D7746" t="s">
        <v>16</v>
      </c>
      <c r="E7746">
        <v>0</v>
      </c>
      <c r="F7746">
        <v>0.75</v>
      </c>
      <c r="G7746">
        <v>7.0272343158721897</v>
      </c>
      <c r="H7746">
        <v>0</v>
      </c>
      <c r="I7746">
        <v>0</v>
      </c>
      <c r="J7746">
        <v>30</v>
      </c>
    </row>
    <row r="7747" spans="1:10" x14ac:dyDescent="0.25">
      <c r="A7747" t="s">
        <v>27</v>
      </c>
      <c r="B7747" t="s">
        <v>19</v>
      </c>
      <c r="C7747" t="s">
        <v>18</v>
      </c>
      <c r="D7747" t="s">
        <v>16</v>
      </c>
      <c r="E7747">
        <v>0</v>
      </c>
      <c r="F7747">
        <v>0.75</v>
      </c>
      <c r="G7747">
        <v>8.2435653209686208</v>
      </c>
      <c r="H7747">
        <v>0</v>
      </c>
      <c r="I7747">
        <v>0</v>
      </c>
      <c r="J7747">
        <v>30</v>
      </c>
    </row>
    <row r="7748" spans="1:10" x14ac:dyDescent="0.25">
      <c r="A7748" t="s">
        <v>27</v>
      </c>
      <c r="B7748" t="s">
        <v>19</v>
      </c>
      <c r="C7748" t="s">
        <v>18</v>
      </c>
      <c r="D7748" t="s">
        <v>16</v>
      </c>
      <c r="E7748">
        <v>0</v>
      </c>
      <c r="F7748">
        <v>0.75</v>
      </c>
      <c r="G7748">
        <v>7.2919943332672101</v>
      </c>
      <c r="H7748">
        <v>0</v>
      </c>
      <c r="I7748">
        <v>0</v>
      </c>
      <c r="J7748">
        <v>30</v>
      </c>
    </row>
    <row r="7749" spans="1:10" x14ac:dyDescent="0.25">
      <c r="A7749" t="s">
        <v>27</v>
      </c>
      <c r="B7749" t="s">
        <v>19</v>
      </c>
      <c r="C7749" t="s">
        <v>18</v>
      </c>
      <c r="D7749" t="s">
        <v>16</v>
      </c>
      <c r="E7749">
        <v>0</v>
      </c>
      <c r="F7749">
        <v>0.75</v>
      </c>
      <c r="G7749">
        <v>8.4919502735137904</v>
      </c>
      <c r="H7749">
        <v>0</v>
      </c>
      <c r="I7749">
        <v>0</v>
      </c>
      <c r="J7749">
        <v>30</v>
      </c>
    </row>
    <row r="7750" spans="1:10" x14ac:dyDescent="0.25">
      <c r="A7750" t="s">
        <v>27</v>
      </c>
      <c r="B7750" t="s">
        <v>19</v>
      </c>
      <c r="C7750" t="s">
        <v>18</v>
      </c>
      <c r="D7750" t="s">
        <v>16</v>
      </c>
      <c r="E7750">
        <v>0</v>
      </c>
      <c r="F7750">
        <v>0.75</v>
      </c>
      <c r="G7750">
        <v>8.3280603885650599</v>
      </c>
      <c r="H7750">
        <v>0</v>
      </c>
      <c r="I7750">
        <v>0</v>
      </c>
      <c r="J7750">
        <v>30</v>
      </c>
    </row>
    <row r="7751" spans="1:10" x14ac:dyDescent="0.25">
      <c r="A7751" t="s">
        <v>27</v>
      </c>
      <c r="B7751" t="s">
        <v>19</v>
      </c>
      <c r="C7751" t="s">
        <v>18</v>
      </c>
      <c r="D7751" t="s">
        <v>16</v>
      </c>
      <c r="E7751">
        <v>0</v>
      </c>
      <c r="F7751">
        <v>0.75</v>
      </c>
      <c r="G7751">
        <v>8.7062821388244593</v>
      </c>
      <c r="H7751">
        <v>0</v>
      </c>
      <c r="I7751">
        <v>0</v>
      </c>
      <c r="J7751">
        <v>30</v>
      </c>
    </row>
    <row r="7752" spans="1:10" x14ac:dyDescent="0.25">
      <c r="A7752" t="s">
        <v>27</v>
      </c>
      <c r="B7752" t="s">
        <v>19</v>
      </c>
      <c r="C7752" t="s">
        <v>18</v>
      </c>
      <c r="D7752" t="s">
        <v>16</v>
      </c>
      <c r="E7752">
        <v>0</v>
      </c>
      <c r="F7752">
        <v>0.75</v>
      </c>
      <c r="G7752">
        <v>8.7334277629852295</v>
      </c>
      <c r="H7752">
        <v>0</v>
      </c>
      <c r="I7752">
        <v>0</v>
      </c>
      <c r="J7752">
        <v>30</v>
      </c>
    </row>
    <row r="7753" spans="1:10" x14ac:dyDescent="0.25">
      <c r="A7753" t="s">
        <v>27</v>
      </c>
      <c r="B7753" t="s">
        <v>19</v>
      </c>
      <c r="C7753" t="s">
        <v>18</v>
      </c>
      <c r="D7753" t="s">
        <v>16</v>
      </c>
      <c r="E7753">
        <v>0</v>
      </c>
      <c r="F7753">
        <v>0.75</v>
      </c>
      <c r="G7753">
        <v>8.8343055248260498</v>
      </c>
      <c r="H7753">
        <v>0</v>
      </c>
      <c r="I7753">
        <v>0</v>
      </c>
      <c r="J7753">
        <v>30</v>
      </c>
    </row>
    <row r="7754" spans="1:10" x14ac:dyDescent="0.25">
      <c r="A7754" t="s">
        <v>27</v>
      </c>
      <c r="B7754" t="s">
        <v>19</v>
      </c>
      <c r="C7754" t="s">
        <v>18</v>
      </c>
      <c r="D7754" t="s">
        <v>16</v>
      </c>
      <c r="E7754">
        <v>0</v>
      </c>
      <c r="F7754">
        <v>0.75</v>
      </c>
      <c r="G7754">
        <v>8.88105869293212</v>
      </c>
      <c r="H7754">
        <v>0</v>
      </c>
      <c r="I7754">
        <v>0</v>
      </c>
      <c r="J7754">
        <v>30</v>
      </c>
    </row>
    <row r="7755" spans="1:10" x14ac:dyDescent="0.25">
      <c r="A7755" t="s">
        <v>27</v>
      </c>
      <c r="B7755" t="s">
        <v>19</v>
      </c>
      <c r="C7755" t="s">
        <v>18</v>
      </c>
      <c r="D7755" t="s">
        <v>16</v>
      </c>
      <c r="E7755">
        <v>0</v>
      </c>
      <c r="F7755">
        <v>0.75</v>
      </c>
      <c r="G7755">
        <v>9.1229693889617902</v>
      </c>
      <c r="H7755">
        <v>0</v>
      </c>
      <c r="I7755">
        <v>0</v>
      </c>
      <c r="J7755">
        <v>30</v>
      </c>
    </row>
    <row r="7756" spans="1:10" x14ac:dyDescent="0.25">
      <c r="A7756" t="s">
        <v>27</v>
      </c>
      <c r="B7756" t="s">
        <v>19</v>
      </c>
      <c r="C7756" t="s">
        <v>18</v>
      </c>
      <c r="D7756" t="s">
        <v>16</v>
      </c>
      <c r="E7756">
        <v>0</v>
      </c>
      <c r="F7756">
        <v>0.75</v>
      </c>
      <c r="G7756">
        <v>8.8999314308166504</v>
      </c>
      <c r="H7756">
        <v>0</v>
      </c>
      <c r="I7756">
        <v>0</v>
      </c>
      <c r="J7756">
        <v>30</v>
      </c>
    </row>
    <row r="7757" spans="1:10" x14ac:dyDescent="0.25">
      <c r="A7757" t="s">
        <v>27</v>
      </c>
      <c r="B7757" t="s">
        <v>19</v>
      </c>
      <c r="C7757" t="s">
        <v>18</v>
      </c>
      <c r="D7757" t="s">
        <v>16</v>
      </c>
      <c r="E7757">
        <v>0</v>
      </c>
      <c r="F7757">
        <v>0.75</v>
      </c>
      <c r="G7757">
        <v>8.8430793285369802</v>
      </c>
      <c r="H7757">
        <v>0</v>
      </c>
      <c r="I7757">
        <v>0</v>
      </c>
      <c r="J7757">
        <v>30</v>
      </c>
    </row>
    <row r="7758" spans="1:10" x14ac:dyDescent="0.25">
      <c r="A7758" t="s">
        <v>27</v>
      </c>
      <c r="B7758" t="s">
        <v>19</v>
      </c>
      <c r="C7758" t="s">
        <v>18</v>
      </c>
      <c r="D7758" t="s">
        <v>16</v>
      </c>
      <c r="E7758">
        <v>0</v>
      </c>
      <c r="F7758">
        <v>0.75</v>
      </c>
      <c r="G7758">
        <v>8.8208212852477992</v>
      </c>
      <c r="H7758">
        <v>0</v>
      </c>
      <c r="I7758">
        <v>0</v>
      </c>
      <c r="J7758">
        <v>30</v>
      </c>
    </row>
    <row r="7759" spans="1:10" x14ac:dyDescent="0.25">
      <c r="A7759" t="s">
        <v>27</v>
      </c>
      <c r="B7759" t="s">
        <v>19</v>
      </c>
      <c r="C7759" t="s">
        <v>18</v>
      </c>
      <c r="D7759" t="s">
        <v>16</v>
      </c>
      <c r="E7759">
        <v>0</v>
      </c>
      <c r="F7759">
        <v>0.75</v>
      </c>
      <c r="G7759">
        <v>7.8819012641906703</v>
      </c>
      <c r="H7759">
        <v>0</v>
      </c>
      <c r="I7759">
        <v>0</v>
      </c>
      <c r="J7759">
        <v>30</v>
      </c>
    </row>
    <row r="7760" spans="1:10" x14ac:dyDescent="0.25">
      <c r="A7760" t="s">
        <v>27</v>
      </c>
      <c r="B7760" t="s">
        <v>19</v>
      </c>
      <c r="C7760" t="s">
        <v>18</v>
      </c>
      <c r="D7760" t="s">
        <v>16</v>
      </c>
      <c r="E7760">
        <v>0</v>
      </c>
      <c r="F7760">
        <v>0.75</v>
      </c>
      <c r="G7760">
        <v>7.9068078994750897</v>
      </c>
      <c r="H7760">
        <v>0</v>
      </c>
      <c r="I7760">
        <v>0</v>
      </c>
      <c r="J7760">
        <v>30</v>
      </c>
    </row>
    <row r="7761" spans="1:10" x14ac:dyDescent="0.25">
      <c r="A7761" t="s">
        <v>27</v>
      </c>
      <c r="B7761" t="s">
        <v>19</v>
      </c>
      <c r="C7761" t="s">
        <v>18</v>
      </c>
      <c r="D7761" t="s">
        <v>16</v>
      </c>
      <c r="E7761">
        <v>0</v>
      </c>
      <c r="F7761">
        <v>0.75</v>
      </c>
      <c r="G7761">
        <v>9.1214497089385898</v>
      </c>
      <c r="H7761">
        <v>0</v>
      </c>
      <c r="I7761">
        <v>0</v>
      </c>
      <c r="J7761">
        <v>30</v>
      </c>
    </row>
    <row r="7762" spans="1:10" x14ac:dyDescent="0.25">
      <c r="A7762" t="s">
        <v>27</v>
      </c>
      <c r="B7762" t="s">
        <v>19</v>
      </c>
      <c r="C7762" t="s">
        <v>18</v>
      </c>
      <c r="D7762" t="s">
        <v>16</v>
      </c>
      <c r="E7762">
        <v>0</v>
      </c>
      <c r="F7762">
        <v>0.75</v>
      </c>
      <c r="G7762">
        <v>9.1695981025695801</v>
      </c>
      <c r="H7762">
        <v>0</v>
      </c>
      <c r="I7762">
        <v>0</v>
      </c>
      <c r="J7762">
        <v>30</v>
      </c>
    </row>
    <row r="7763" spans="1:10" x14ac:dyDescent="0.25">
      <c r="A7763" t="s">
        <v>27</v>
      </c>
      <c r="B7763" t="s">
        <v>19</v>
      </c>
      <c r="C7763" t="s">
        <v>18</v>
      </c>
      <c r="D7763" t="s">
        <v>16</v>
      </c>
      <c r="E7763">
        <v>0</v>
      </c>
      <c r="F7763">
        <v>0.75</v>
      </c>
      <c r="G7763">
        <v>8.9647445678710902</v>
      </c>
      <c r="H7763">
        <v>0</v>
      </c>
      <c r="I7763">
        <v>0</v>
      </c>
      <c r="J7763">
        <v>30</v>
      </c>
    </row>
    <row r="7764" spans="1:10" x14ac:dyDescent="0.25">
      <c r="A7764" t="s">
        <v>27</v>
      </c>
      <c r="B7764" t="s">
        <v>19</v>
      </c>
      <c r="C7764" t="s">
        <v>18</v>
      </c>
      <c r="D7764" t="s">
        <v>16</v>
      </c>
      <c r="E7764">
        <v>0</v>
      </c>
      <c r="F7764">
        <v>0.75</v>
      </c>
      <c r="G7764">
        <v>8.9985013008117605</v>
      </c>
      <c r="H7764">
        <v>0</v>
      </c>
      <c r="I7764">
        <v>0</v>
      </c>
      <c r="J7764">
        <v>30</v>
      </c>
    </row>
    <row r="7765" spans="1:10" x14ac:dyDescent="0.25">
      <c r="A7765" t="s">
        <v>27</v>
      </c>
      <c r="B7765" t="s">
        <v>19</v>
      </c>
      <c r="C7765" t="s">
        <v>18</v>
      </c>
      <c r="D7765" t="s">
        <v>16</v>
      </c>
      <c r="E7765">
        <v>0</v>
      </c>
      <c r="F7765">
        <v>0.75</v>
      </c>
      <c r="G7765">
        <v>9.1235296726226807</v>
      </c>
      <c r="H7765">
        <v>0</v>
      </c>
      <c r="I7765">
        <v>0</v>
      </c>
      <c r="J7765">
        <v>30</v>
      </c>
    </row>
    <row r="7766" spans="1:10" x14ac:dyDescent="0.25">
      <c r="A7766" t="s">
        <v>27</v>
      </c>
      <c r="B7766" t="s">
        <v>19</v>
      </c>
      <c r="C7766" t="s">
        <v>18</v>
      </c>
      <c r="D7766" t="s">
        <v>16</v>
      </c>
      <c r="E7766">
        <v>0</v>
      </c>
      <c r="F7766">
        <v>0.75</v>
      </c>
      <c r="G7766">
        <v>9.1493496894836408</v>
      </c>
      <c r="H7766">
        <v>0</v>
      </c>
      <c r="I7766">
        <v>0</v>
      </c>
      <c r="J7766">
        <v>30</v>
      </c>
    </row>
    <row r="7767" spans="1:10" x14ac:dyDescent="0.25">
      <c r="A7767" t="s">
        <v>27</v>
      </c>
      <c r="B7767" t="s">
        <v>19</v>
      </c>
      <c r="C7767" t="s">
        <v>18</v>
      </c>
      <c r="D7767" t="s">
        <v>16</v>
      </c>
      <c r="E7767">
        <v>0</v>
      </c>
      <c r="F7767">
        <v>0.75</v>
      </c>
      <c r="G7767">
        <v>9.2750668525695801</v>
      </c>
      <c r="H7767">
        <v>0</v>
      </c>
      <c r="I7767">
        <v>0</v>
      </c>
      <c r="J7767">
        <v>30</v>
      </c>
    </row>
    <row r="7768" spans="1:10" x14ac:dyDescent="0.25">
      <c r="A7768" t="s">
        <v>27</v>
      </c>
      <c r="B7768" t="s">
        <v>19</v>
      </c>
      <c r="C7768" t="s">
        <v>18</v>
      </c>
      <c r="D7768" t="s">
        <v>16</v>
      </c>
      <c r="E7768">
        <v>0</v>
      </c>
      <c r="F7768">
        <v>0.75</v>
      </c>
      <c r="G7768">
        <v>9.2263715267181396</v>
      </c>
      <c r="H7768">
        <v>0</v>
      </c>
      <c r="I7768">
        <v>0</v>
      </c>
      <c r="J7768">
        <v>30</v>
      </c>
    </row>
    <row r="7769" spans="1:10" x14ac:dyDescent="0.25">
      <c r="A7769" t="s">
        <v>27</v>
      </c>
      <c r="B7769" t="s">
        <v>19</v>
      </c>
      <c r="C7769" t="s">
        <v>18</v>
      </c>
      <c r="D7769" t="s">
        <v>16</v>
      </c>
      <c r="E7769">
        <v>0</v>
      </c>
      <c r="F7769">
        <v>0.75</v>
      </c>
      <c r="G7769">
        <v>9.3429088592529297</v>
      </c>
      <c r="H7769">
        <v>0</v>
      </c>
      <c r="I7769">
        <v>0</v>
      </c>
      <c r="J7769">
        <v>30</v>
      </c>
    </row>
    <row r="7770" spans="1:10" x14ac:dyDescent="0.25">
      <c r="A7770" t="s">
        <v>27</v>
      </c>
      <c r="B7770" t="s">
        <v>19</v>
      </c>
      <c r="C7770" t="s">
        <v>18</v>
      </c>
      <c r="D7770" t="s">
        <v>16</v>
      </c>
      <c r="E7770">
        <v>0</v>
      </c>
      <c r="F7770">
        <v>0.75</v>
      </c>
      <c r="G7770">
        <v>9.1532313823699898</v>
      </c>
      <c r="H7770">
        <v>0</v>
      </c>
      <c r="I7770">
        <v>0</v>
      </c>
      <c r="J7770">
        <v>30</v>
      </c>
    </row>
    <row r="7771" spans="1:10" x14ac:dyDescent="0.25">
      <c r="A7771" t="s">
        <v>27</v>
      </c>
      <c r="B7771" t="s">
        <v>19</v>
      </c>
      <c r="C7771" t="s">
        <v>18</v>
      </c>
      <c r="D7771" t="s">
        <v>16</v>
      </c>
      <c r="E7771">
        <v>0</v>
      </c>
      <c r="F7771">
        <v>0.75</v>
      </c>
      <c r="G7771">
        <v>8.2565639019012398</v>
      </c>
      <c r="H7771">
        <v>0</v>
      </c>
      <c r="I7771">
        <v>0</v>
      </c>
      <c r="J7771">
        <v>30</v>
      </c>
    </row>
    <row r="7772" spans="1:10" x14ac:dyDescent="0.25">
      <c r="A7772" t="s">
        <v>27</v>
      </c>
      <c r="B7772" t="s">
        <v>19</v>
      </c>
      <c r="C7772" t="s">
        <v>18</v>
      </c>
      <c r="D7772" t="s">
        <v>17</v>
      </c>
      <c r="E7772">
        <v>4.0396621373485096E-3</v>
      </c>
      <c r="F7772">
        <v>0.75091938047278695</v>
      </c>
      <c r="G7772">
        <v>498.54497551918001</v>
      </c>
      <c r="H7772">
        <v>4</v>
      </c>
      <c r="I7772">
        <v>5</v>
      </c>
      <c r="J7772">
        <v>30</v>
      </c>
    </row>
    <row r="7773" spans="1:10" x14ac:dyDescent="0.25">
      <c r="A7773" t="s">
        <v>27</v>
      </c>
      <c r="B7773" t="s">
        <v>19</v>
      </c>
      <c r="C7773" t="s">
        <v>18</v>
      </c>
      <c r="D7773" t="s">
        <v>17</v>
      </c>
      <c r="E7773">
        <v>2.5706940874035901E-3</v>
      </c>
      <c r="F7773">
        <v>0.75041310982034504</v>
      </c>
      <c r="G7773">
        <v>505.48581981658901</v>
      </c>
      <c r="H7773">
        <v>6</v>
      </c>
      <c r="I7773">
        <v>7</v>
      </c>
      <c r="J7773">
        <v>30</v>
      </c>
    </row>
    <row r="7774" spans="1:10" x14ac:dyDescent="0.25">
      <c r="A7774" t="s">
        <v>27</v>
      </c>
      <c r="B7774" t="s">
        <v>19</v>
      </c>
      <c r="C7774" t="s">
        <v>18</v>
      </c>
      <c r="D7774" t="s">
        <v>17</v>
      </c>
      <c r="E7774">
        <v>2.7175908923980901E-2</v>
      </c>
      <c r="F7774">
        <v>0.75607859710620595</v>
      </c>
      <c r="G7774">
        <v>894.81739449501003</v>
      </c>
      <c r="H7774">
        <v>13</v>
      </c>
      <c r="I7774">
        <v>16</v>
      </c>
      <c r="J7774">
        <v>30</v>
      </c>
    </row>
    <row r="7775" spans="1:10" x14ac:dyDescent="0.25">
      <c r="A7775" t="s">
        <v>27</v>
      </c>
      <c r="B7775" t="s">
        <v>19</v>
      </c>
      <c r="C7775" t="s">
        <v>18</v>
      </c>
      <c r="D7775" t="s">
        <v>17</v>
      </c>
      <c r="E7775">
        <v>2.2034520749173699E-3</v>
      </c>
      <c r="F7775">
        <v>0.75042928033936795</v>
      </c>
      <c r="G7775">
        <v>904.29664349555901</v>
      </c>
      <c r="H7775">
        <v>9</v>
      </c>
      <c r="I7775">
        <v>10</v>
      </c>
      <c r="J7775">
        <v>30</v>
      </c>
    </row>
    <row r="7776" spans="1:10" x14ac:dyDescent="0.25">
      <c r="A7776" t="s">
        <v>27</v>
      </c>
      <c r="B7776" t="s">
        <v>19</v>
      </c>
      <c r="C7776" t="s">
        <v>18</v>
      </c>
      <c r="D7776" t="s">
        <v>17</v>
      </c>
      <c r="E7776">
        <v>2.9746603011384501E-2</v>
      </c>
      <c r="F7776">
        <v>0.75727483221233904</v>
      </c>
      <c r="G7776">
        <v>938.70939469337395</v>
      </c>
      <c r="H7776">
        <v>9</v>
      </c>
      <c r="I7776">
        <v>11</v>
      </c>
      <c r="J7776">
        <v>30</v>
      </c>
    </row>
    <row r="7777" spans="1:10" x14ac:dyDescent="0.25">
      <c r="A7777" t="s">
        <v>27</v>
      </c>
      <c r="B7777" t="s">
        <v>19</v>
      </c>
      <c r="C7777" t="s">
        <v>18</v>
      </c>
      <c r="D7777" t="s">
        <v>17</v>
      </c>
      <c r="E7777">
        <v>7.7120822622107899E-3</v>
      </c>
      <c r="F7777">
        <v>0.75112342593345505</v>
      </c>
      <c r="G7777">
        <v>1384.2138645648899</v>
      </c>
      <c r="H7777">
        <v>20</v>
      </c>
      <c r="I7777">
        <v>26</v>
      </c>
      <c r="J7777">
        <v>30</v>
      </c>
    </row>
    <row r="7778" spans="1:10" x14ac:dyDescent="0.25">
      <c r="A7778" t="s">
        <v>27</v>
      </c>
      <c r="B7778" t="s">
        <v>19</v>
      </c>
      <c r="C7778" t="s">
        <v>18</v>
      </c>
      <c r="D7778" t="s">
        <v>17</v>
      </c>
      <c r="E7778">
        <v>7.3815644509731895E-2</v>
      </c>
      <c r="F7778">
        <v>0.76640273138788095</v>
      </c>
      <c r="G7778">
        <v>2087.0976045131601</v>
      </c>
      <c r="H7778">
        <v>26</v>
      </c>
      <c r="I7778">
        <v>28</v>
      </c>
      <c r="J7778">
        <v>30</v>
      </c>
    </row>
    <row r="7779" spans="1:10" x14ac:dyDescent="0.25">
      <c r="A7779" t="s">
        <v>27</v>
      </c>
      <c r="B7779" t="s">
        <v>19</v>
      </c>
      <c r="C7779" t="s">
        <v>18</v>
      </c>
      <c r="D7779" t="s">
        <v>17</v>
      </c>
      <c r="E7779">
        <v>0.104663973558575</v>
      </c>
      <c r="F7779">
        <v>0.77525931932008796</v>
      </c>
      <c r="G7779">
        <v>2374.7790255546502</v>
      </c>
      <c r="H7779">
        <v>30</v>
      </c>
      <c r="I7779">
        <v>37</v>
      </c>
      <c r="J7779">
        <v>30</v>
      </c>
    </row>
    <row r="7780" spans="1:10" x14ac:dyDescent="0.25">
      <c r="A7780" t="s">
        <v>27</v>
      </c>
      <c r="B7780" t="s">
        <v>19</v>
      </c>
      <c r="C7780" t="s">
        <v>18</v>
      </c>
      <c r="D7780" t="s">
        <v>17</v>
      </c>
      <c r="E7780">
        <v>9.8053617333822896E-2</v>
      </c>
      <c r="F7780">
        <v>0.77244146094175503</v>
      </c>
      <c r="G7780">
        <v>3571.7883009910502</v>
      </c>
      <c r="H7780">
        <v>49</v>
      </c>
      <c r="I7780">
        <v>60</v>
      </c>
      <c r="J7780">
        <v>30</v>
      </c>
    </row>
    <row r="7781" spans="1:10" x14ac:dyDescent="0.25">
      <c r="A7781" t="s">
        <v>27</v>
      </c>
      <c r="B7781" t="s">
        <v>19</v>
      </c>
      <c r="C7781" t="s">
        <v>18</v>
      </c>
      <c r="D7781" t="s">
        <v>17</v>
      </c>
      <c r="E7781">
        <v>0.193903782592728</v>
      </c>
      <c r="F7781">
        <v>0.794121737043187</v>
      </c>
      <c r="G7781">
        <v>3617.37950038909</v>
      </c>
      <c r="H7781">
        <v>70</v>
      </c>
      <c r="I7781">
        <v>83</v>
      </c>
      <c r="J7781">
        <v>30</v>
      </c>
    </row>
    <row r="7782" spans="1:10" x14ac:dyDescent="0.25">
      <c r="A7782" t="s">
        <v>27</v>
      </c>
      <c r="B7782" t="s">
        <v>19</v>
      </c>
      <c r="C7782" t="s">
        <v>18</v>
      </c>
      <c r="D7782" t="s">
        <v>17</v>
      </c>
      <c r="E7782">
        <v>0.24568490635328599</v>
      </c>
      <c r="F7782">
        <v>0.80433984284928395</v>
      </c>
      <c r="G7782">
        <v>3796.1446142196601</v>
      </c>
      <c r="H7782">
        <v>69</v>
      </c>
      <c r="I7782">
        <v>82</v>
      </c>
      <c r="J7782">
        <v>30</v>
      </c>
    </row>
    <row r="7783" spans="1:10" x14ac:dyDescent="0.25">
      <c r="A7783" t="s">
        <v>27</v>
      </c>
      <c r="B7783" t="s">
        <v>19</v>
      </c>
      <c r="C7783" t="s">
        <v>18</v>
      </c>
      <c r="D7783" t="s">
        <v>17</v>
      </c>
      <c r="E7783">
        <v>0.20051413881748001</v>
      </c>
      <c r="F7783">
        <v>0.79574220698626497</v>
      </c>
      <c r="G7783">
        <v>4262.3278720378803</v>
      </c>
      <c r="H7783">
        <v>81</v>
      </c>
      <c r="I7783">
        <v>91</v>
      </c>
      <c r="J7783">
        <v>30</v>
      </c>
    </row>
    <row r="7784" spans="1:10" x14ac:dyDescent="0.25">
      <c r="A7784" t="s">
        <v>27</v>
      </c>
      <c r="B7784" t="s">
        <v>19</v>
      </c>
      <c r="C7784" t="s">
        <v>18</v>
      </c>
      <c r="D7784" t="s">
        <v>17</v>
      </c>
      <c r="E7784">
        <v>9.0341535071612106E-2</v>
      </c>
      <c r="F7784">
        <v>0.76698827823613602</v>
      </c>
      <c r="G7784">
        <v>4567.06047701835</v>
      </c>
      <c r="H7784">
        <v>87</v>
      </c>
      <c r="I7784">
        <v>102</v>
      </c>
      <c r="J7784">
        <v>30</v>
      </c>
    </row>
    <row r="7785" spans="1:10" x14ac:dyDescent="0.25">
      <c r="A7785" t="s">
        <v>27</v>
      </c>
      <c r="B7785" t="s">
        <v>19</v>
      </c>
      <c r="C7785" t="s">
        <v>18</v>
      </c>
      <c r="D7785" t="s">
        <v>17</v>
      </c>
      <c r="E7785">
        <v>0.22438486962908499</v>
      </c>
      <c r="F7785">
        <v>0.80094599629085494</v>
      </c>
      <c r="G7785">
        <v>5455.5294928550702</v>
      </c>
      <c r="H7785">
        <v>108</v>
      </c>
      <c r="I7785">
        <v>124</v>
      </c>
      <c r="J7785">
        <v>30</v>
      </c>
    </row>
    <row r="7786" spans="1:10" x14ac:dyDescent="0.25">
      <c r="A7786" t="s">
        <v>27</v>
      </c>
      <c r="B7786" t="s">
        <v>19</v>
      </c>
      <c r="C7786" t="s">
        <v>18</v>
      </c>
      <c r="D7786" t="s">
        <v>17</v>
      </c>
      <c r="E7786">
        <v>0.27763496143958799</v>
      </c>
      <c r="F7786">
        <v>0.81272290105997003</v>
      </c>
      <c r="G7786">
        <v>5544.12916159629</v>
      </c>
      <c r="H7786">
        <v>131</v>
      </c>
      <c r="I7786">
        <v>147</v>
      </c>
      <c r="J7786">
        <v>30</v>
      </c>
    </row>
    <row r="7787" spans="1:10" x14ac:dyDescent="0.25">
      <c r="A7787" t="s">
        <v>27</v>
      </c>
      <c r="B7787" t="s">
        <v>19</v>
      </c>
      <c r="C7787" t="s">
        <v>18</v>
      </c>
      <c r="D7787" t="s">
        <v>17</v>
      </c>
      <c r="E7787">
        <v>0.171869261843554</v>
      </c>
      <c r="F7787">
        <v>0.78825573780429703</v>
      </c>
      <c r="G7787">
        <v>5580.1024248599997</v>
      </c>
      <c r="H7787">
        <v>116</v>
      </c>
      <c r="I7787">
        <v>137</v>
      </c>
      <c r="J7787">
        <v>30</v>
      </c>
    </row>
    <row r="7788" spans="1:10" x14ac:dyDescent="0.25">
      <c r="A7788" t="s">
        <v>27</v>
      </c>
      <c r="B7788" t="s">
        <v>19</v>
      </c>
      <c r="C7788" t="s">
        <v>18</v>
      </c>
      <c r="D7788" t="s">
        <v>17</v>
      </c>
      <c r="E7788">
        <v>0.22328314359162599</v>
      </c>
      <c r="F7788">
        <v>0.80132522764535397</v>
      </c>
      <c r="G7788">
        <v>5703.2389597892698</v>
      </c>
      <c r="H7788">
        <v>124</v>
      </c>
      <c r="I7788">
        <v>146</v>
      </c>
      <c r="J7788">
        <v>30</v>
      </c>
    </row>
    <row r="7789" spans="1:10" x14ac:dyDescent="0.25">
      <c r="A7789" t="s">
        <v>27</v>
      </c>
      <c r="B7789" t="s">
        <v>19</v>
      </c>
      <c r="C7789" t="s">
        <v>18</v>
      </c>
      <c r="D7789" t="s">
        <v>17</v>
      </c>
      <c r="E7789">
        <v>0.23797282409107601</v>
      </c>
      <c r="F7789">
        <v>0.804974918038596</v>
      </c>
      <c r="G7789">
        <v>5706.07603383064</v>
      </c>
      <c r="H7789">
        <v>118</v>
      </c>
      <c r="I7789">
        <v>143</v>
      </c>
      <c r="J7789">
        <v>30</v>
      </c>
    </row>
    <row r="7790" spans="1:10" x14ac:dyDescent="0.25">
      <c r="A7790" t="s">
        <v>27</v>
      </c>
      <c r="B7790" t="s">
        <v>19</v>
      </c>
      <c r="C7790" t="s">
        <v>18</v>
      </c>
      <c r="D7790" t="s">
        <v>17</v>
      </c>
      <c r="E7790">
        <v>0.204921042967315</v>
      </c>
      <c r="F7790">
        <v>0.79422837769941201</v>
      </c>
      <c r="G7790">
        <v>5842.0247917175202</v>
      </c>
      <c r="H7790">
        <v>130</v>
      </c>
      <c r="I7790">
        <v>146</v>
      </c>
      <c r="J7790">
        <v>30</v>
      </c>
    </row>
    <row r="7791" spans="1:10" x14ac:dyDescent="0.25">
      <c r="A7791" t="s">
        <v>27</v>
      </c>
      <c r="B7791" t="s">
        <v>19</v>
      </c>
      <c r="C7791" t="s">
        <v>18</v>
      </c>
      <c r="D7791" t="s">
        <v>17</v>
      </c>
      <c r="E7791">
        <v>0.23283143591626801</v>
      </c>
      <c r="F7791">
        <v>0.79902995961075995</v>
      </c>
      <c r="G7791">
        <v>6192.4891266822797</v>
      </c>
      <c r="H7791">
        <v>135</v>
      </c>
      <c r="I7791">
        <v>156</v>
      </c>
      <c r="J7791">
        <v>30</v>
      </c>
    </row>
    <row r="7792" spans="1:10" x14ac:dyDescent="0.25">
      <c r="A7792" t="s">
        <v>27</v>
      </c>
      <c r="B7792" t="s">
        <v>19</v>
      </c>
      <c r="C7792" t="s">
        <v>18</v>
      </c>
      <c r="D7792" t="s">
        <v>17</v>
      </c>
      <c r="E7792">
        <v>0.23283143591626801</v>
      </c>
      <c r="F7792">
        <v>0.80139402532453197</v>
      </c>
      <c r="G7792">
        <v>6269.3300101757004</v>
      </c>
      <c r="H7792">
        <v>158</v>
      </c>
      <c r="I7792">
        <v>181</v>
      </c>
      <c r="J7792">
        <v>30</v>
      </c>
    </row>
    <row r="7793" spans="1:10" x14ac:dyDescent="0.25">
      <c r="A7793" t="s">
        <v>27</v>
      </c>
      <c r="B7793" t="s">
        <v>19</v>
      </c>
      <c r="C7793" t="s">
        <v>18</v>
      </c>
      <c r="D7793" t="s">
        <v>17</v>
      </c>
      <c r="E7793">
        <v>0.221079691516709</v>
      </c>
      <c r="F7793">
        <v>0.79834732837113298</v>
      </c>
      <c r="G7793">
        <v>6285.81538057327</v>
      </c>
      <c r="H7793">
        <v>165</v>
      </c>
      <c r="I7793">
        <v>178</v>
      </c>
      <c r="J7793">
        <v>30</v>
      </c>
    </row>
    <row r="7794" spans="1:10" x14ac:dyDescent="0.25">
      <c r="A7794" t="s">
        <v>27</v>
      </c>
      <c r="B7794" t="s">
        <v>19</v>
      </c>
      <c r="C7794" t="s">
        <v>18</v>
      </c>
      <c r="D7794" t="s">
        <v>17</v>
      </c>
      <c r="E7794">
        <v>0.26257803892765302</v>
      </c>
      <c r="F7794">
        <v>0.80694756896827102</v>
      </c>
      <c r="G7794">
        <v>6385.8109652996</v>
      </c>
      <c r="H7794">
        <v>175</v>
      </c>
      <c r="I7794">
        <v>190</v>
      </c>
      <c r="J7794">
        <v>30</v>
      </c>
    </row>
    <row r="7795" spans="1:10" x14ac:dyDescent="0.25">
      <c r="A7795" t="s">
        <v>27</v>
      </c>
      <c r="B7795" t="s">
        <v>19</v>
      </c>
      <c r="C7795" t="s">
        <v>18</v>
      </c>
      <c r="D7795" t="s">
        <v>17</v>
      </c>
      <c r="E7795">
        <v>0.279471171502019</v>
      </c>
      <c r="F7795">
        <v>0.81074874090224003</v>
      </c>
      <c r="G7795">
        <v>6714.0980174541401</v>
      </c>
      <c r="H7795">
        <v>182</v>
      </c>
      <c r="I7795">
        <v>215</v>
      </c>
      <c r="J7795">
        <v>30</v>
      </c>
    </row>
    <row r="7796" spans="1:10" x14ac:dyDescent="0.25">
      <c r="A7796" t="s">
        <v>27</v>
      </c>
      <c r="B7796" t="s">
        <v>19</v>
      </c>
      <c r="C7796" t="s">
        <v>18</v>
      </c>
      <c r="D7796" t="s">
        <v>17</v>
      </c>
      <c r="E7796">
        <v>0.31729709878810097</v>
      </c>
      <c r="F7796">
        <v>0.81807986165376401</v>
      </c>
      <c r="G7796">
        <v>6784.22758650779</v>
      </c>
      <c r="H7796">
        <v>188</v>
      </c>
      <c r="I7796">
        <v>218</v>
      </c>
      <c r="J7796">
        <v>30</v>
      </c>
    </row>
    <row r="7797" spans="1:10" x14ac:dyDescent="0.25">
      <c r="A7797" t="s">
        <v>27</v>
      </c>
      <c r="B7797" t="s">
        <v>19</v>
      </c>
      <c r="C7797" t="s">
        <v>18</v>
      </c>
      <c r="D7797" t="s">
        <v>17</v>
      </c>
      <c r="E7797">
        <v>0.30627983841351403</v>
      </c>
      <c r="F7797">
        <v>0.81796470867998405</v>
      </c>
      <c r="G7797">
        <v>6890.5582866668701</v>
      </c>
      <c r="H7797">
        <v>192</v>
      </c>
      <c r="I7797">
        <v>212</v>
      </c>
      <c r="J7797">
        <v>30</v>
      </c>
    </row>
    <row r="7798" spans="1:10" x14ac:dyDescent="0.25">
      <c r="A7798" t="s">
        <v>27</v>
      </c>
      <c r="B7798" t="s">
        <v>19</v>
      </c>
      <c r="C7798" t="s">
        <v>18</v>
      </c>
      <c r="D7798" t="s">
        <v>17</v>
      </c>
      <c r="E7798">
        <v>0.38890929122291501</v>
      </c>
      <c r="F7798">
        <v>0.822986993423795</v>
      </c>
      <c r="G7798">
        <v>7060.6980044841703</v>
      </c>
      <c r="H7798">
        <v>204</v>
      </c>
      <c r="I7798">
        <v>225</v>
      </c>
      <c r="J7798">
        <v>30</v>
      </c>
    </row>
    <row r="7799" spans="1:10" x14ac:dyDescent="0.25">
      <c r="A7799" t="s">
        <v>27</v>
      </c>
      <c r="B7799" t="s">
        <v>19</v>
      </c>
      <c r="C7799" t="s">
        <v>18</v>
      </c>
      <c r="D7799" t="s">
        <v>17</v>
      </c>
      <c r="E7799">
        <v>0.268453911127433</v>
      </c>
      <c r="F7799">
        <v>0.803702595655305</v>
      </c>
      <c r="G7799">
        <v>7078.7128818035098</v>
      </c>
      <c r="H7799">
        <v>236</v>
      </c>
      <c r="I7799">
        <v>272</v>
      </c>
      <c r="J7799">
        <v>30</v>
      </c>
    </row>
    <row r="7800" spans="1:10" x14ac:dyDescent="0.25">
      <c r="A7800" t="s">
        <v>27</v>
      </c>
      <c r="B7800" t="s">
        <v>19</v>
      </c>
      <c r="C7800" t="s">
        <v>18</v>
      </c>
      <c r="D7800" t="s">
        <v>17</v>
      </c>
      <c r="E7800">
        <v>0.34557473374954001</v>
      </c>
      <c r="F7800">
        <v>0.81802381263841295</v>
      </c>
      <c r="G7800">
        <v>7374.7620480060496</v>
      </c>
      <c r="H7800">
        <v>331</v>
      </c>
      <c r="I7800">
        <v>376</v>
      </c>
      <c r="J7800">
        <v>30</v>
      </c>
    </row>
    <row r="7801" spans="1:10" x14ac:dyDescent="0.25">
      <c r="A7801" t="s">
        <v>27</v>
      </c>
      <c r="B7801" t="s">
        <v>19</v>
      </c>
      <c r="C7801" t="s">
        <v>18</v>
      </c>
      <c r="D7801" t="s">
        <v>17</v>
      </c>
      <c r="E7801">
        <v>0.55673889092912199</v>
      </c>
      <c r="F7801">
        <v>0.85646625195457304</v>
      </c>
      <c r="G7801">
        <v>7477.1967830657904</v>
      </c>
      <c r="H7801">
        <v>513</v>
      </c>
      <c r="I7801">
        <v>582</v>
      </c>
      <c r="J7801">
        <v>30</v>
      </c>
    </row>
    <row r="7802" spans="1:10" x14ac:dyDescent="0.25">
      <c r="A7802" t="s">
        <v>27</v>
      </c>
      <c r="B7802" t="s">
        <v>20</v>
      </c>
      <c r="C7802" t="s">
        <v>12</v>
      </c>
      <c r="D7802" t="s">
        <v>13</v>
      </c>
      <c r="E7802">
        <v>0.16378993756885701</v>
      </c>
      <c r="F7802">
        <v>0.78721933944326095</v>
      </c>
      <c r="G7802">
        <v>2848.8227136135101</v>
      </c>
      <c r="H7802">
        <v>17</v>
      </c>
      <c r="I7802">
        <v>28</v>
      </c>
      <c r="J7802">
        <v>30</v>
      </c>
    </row>
    <row r="7803" spans="1:10" x14ac:dyDescent="0.25">
      <c r="A7803" t="s">
        <v>27</v>
      </c>
      <c r="B7803" t="s">
        <v>20</v>
      </c>
      <c r="C7803" t="s">
        <v>12</v>
      </c>
      <c r="D7803" t="s">
        <v>13</v>
      </c>
      <c r="E7803">
        <v>0.167095115681233</v>
      </c>
      <c r="F7803">
        <v>0.78884416347032404</v>
      </c>
      <c r="G7803">
        <v>2852.11675238609</v>
      </c>
      <c r="H7803">
        <v>19</v>
      </c>
      <c r="I7803">
        <v>37</v>
      </c>
      <c r="J7803">
        <v>30</v>
      </c>
    </row>
    <row r="7804" spans="1:10" x14ac:dyDescent="0.25">
      <c r="A7804" t="s">
        <v>27</v>
      </c>
      <c r="B7804" t="s">
        <v>20</v>
      </c>
      <c r="C7804" t="s">
        <v>12</v>
      </c>
      <c r="D7804" t="s">
        <v>13</v>
      </c>
      <c r="E7804">
        <v>0.16746235769372</v>
      </c>
      <c r="F7804">
        <v>0.78912711360348897</v>
      </c>
      <c r="G7804">
        <v>2883.8712460994702</v>
      </c>
      <c r="H7804">
        <v>13</v>
      </c>
      <c r="I7804">
        <v>27</v>
      </c>
      <c r="J7804">
        <v>30</v>
      </c>
    </row>
    <row r="7805" spans="1:10" x14ac:dyDescent="0.25">
      <c r="A7805" t="s">
        <v>27</v>
      </c>
      <c r="B7805" t="s">
        <v>20</v>
      </c>
      <c r="C7805" t="s">
        <v>12</v>
      </c>
      <c r="D7805" t="s">
        <v>13</v>
      </c>
      <c r="E7805">
        <v>0.166360631656261</v>
      </c>
      <c r="F7805">
        <v>0.78826280173213403</v>
      </c>
      <c r="G7805">
        <v>2912.5756049156098</v>
      </c>
      <c r="H7805">
        <v>26</v>
      </c>
      <c r="I7805">
        <v>54</v>
      </c>
      <c r="J7805">
        <v>30</v>
      </c>
    </row>
    <row r="7806" spans="1:10" x14ac:dyDescent="0.25">
      <c r="A7806" t="s">
        <v>27</v>
      </c>
      <c r="B7806" t="s">
        <v>20</v>
      </c>
      <c r="C7806" t="s">
        <v>12</v>
      </c>
      <c r="D7806" t="s">
        <v>13</v>
      </c>
      <c r="E7806">
        <v>0.160852001468968</v>
      </c>
      <c r="F7806">
        <v>0.78821143402188798</v>
      </c>
      <c r="G7806">
        <v>2915.78968691825</v>
      </c>
      <c r="H7806">
        <v>29</v>
      </c>
      <c r="I7806">
        <v>58</v>
      </c>
      <c r="J7806">
        <v>30</v>
      </c>
    </row>
    <row r="7807" spans="1:10" x14ac:dyDescent="0.25">
      <c r="A7807" t="s">
        <v>27</v>
      </c>
      <c r="B7807" t="s">
        <v>20</v>
      </c>
      <c r="C7807" t="s">
        <v>12</v>
      </c>
      <c r="D7807" t="s">
        <v>13</v>
      </c>
      <c r="E7807">
        <v>0.16489166360631599</v>
      </c>
      <c r="F7807">
        <v>0.78908953268277504</v>
      </c>
      <c r="G7807">
        <v>2918.0825452804502</v>
      </c>
      <c r="H7807">
        <v>21</v>
      </c>
      <c r="I7807">
        <v>42</v>
      </c>
      <c r="J7807">
        <v>30</v>
      </c>
    </row>
    <row r="7808" spans="1:10" x14ac:dyDescent="0.25">
      <c r="A7808" t="s">
        <v>27</v>
      </c>
      <c r="B7808" t="s">
        <v>20</v>
      </c>
      <c r="C7808" t="s">
        <v>12</v>
      </c>
      <c r="D7808" t="s">
        <v>13</v>
      </c>
      <c r="E7808">
        <v>0.17040029379360999</v>
      </c>
      <c r="F7808">
        <v>0.78945268979720895</v>
      </c>
      <c r="G7808">
        <v>2931.1827263832001</v>
      </c>
      <c r="H7808">
        <v>25</v>
      </c>
      <c r="I7808">
        <v>50</v>
      </c>
      <c r="J7808">
        <v>30</v>
      </c>
    </row>
    <row r="7809" spans="1:10" x14ac:dyDescent="0.25">
      <c r="A7809" t="s">
        <v>27</v>
      </c>
      <c r="B7809" t="s">
        <v>20</v>
      </c>
      <c r="C7809" t="s">
        <v>12</v>
      </c>
      <c r="D7809" t="s">
        <v>13</v>
      </c>
      <c r="E7809">
        <v>0.17003305178112299</v>
      </c>
      <c r="F7809">
        <v>0.79095240855842897</v>
      </c>
      <c r="G7809">
        <v>2934.4527676105499</v>
      </c>
      <c r="H7809">
        <v>25</v>
      </c>
      <c r="I7809">
        <v>51</v>
      </c>
      <c r="J7809">
        <v>30</v>
      </c>
    </row>
    <row r="7810" spans="1:10" x14ac:dyDescent="0.25">
      <c r="A7810" t="s">
        <v>27</v>
      </c>
      <c r="B7810" t="s">
        <v>20</v>
      </c>
      <c r="C7810" t="s">
        <v>12</v>
      </c>
      <c r="D7810" t="s">
        <v>13</v>
      </c>
      <c r="E7810">
        <v>0.167095115681233</v>
      </c>
      <c r="F7810">
        <v>0.78970489277120803</v>
      </c>
      <c r="G7810">
        <v>3225.7476236820198</v>
      </c>
      <c r="H7810">
        <v>16</v>
      </c>
      <c r="I7810">
        <v>31</v>
      </c>
      <c r="J7810">
        <v>30</v>
      </c>
    </row>
    <row r="7811" spans="1:10" x14ac:dyDescent="0.25">
      <c r="A7811" t="s">
        <v>27</v>
      </c>
      <c r="B7811" t="s">
        <v>20</v>
      </c>
      <c r="C7811" t="s">
        <v>12</v>
      </c>
      <c r="D7811" t="s">
        <v>13</v>
      </c>
      <c r="E7811">
        <v>0.16893132574366501</v>
      </c>
      <c r="F7811">
        <v>0.79040211872203403</v>
      </c>
      <c r="G7811">
        <v>3252.9283292293499</v>
      </c>
      <c r="H7811">
        <v>24</v>
      </c>
      <c r="I7811">
        <v>41</v>
      </c>
      <c r="J7811">
        <v>30</v>
      </c>
    </row>
    <row r="7812" spans="1:10" x14ac:dyDescent="0.25">
      <c r="A7812" t="s">
        <v>27</v>
      </c>
      <c r="B7812" t="s">
        <v>20</v>
      </c>
      <c r="C7812" t="s">
        <v>12</v>
      </c>
      <c r="D7812" t="s">
        <v>13</v>
      </c>
      <c r="E7812">
        <v>0.16819684171869201</v>
      </c>
      <c r="F7812">
        <v>0.78948383091817897</v>
      </c>
      <c r="G7812">
        <v>3264.2556617259902</v>
      </c>
      <c r="H7812">
        <v>16</v>
      </c>
      <c r="I7812">
        <v>31</v>
      </c>
      <c r="J7812">
        <v>30</v>
      </c>
    </row>
    <row r="7813" spans="1:10" x14ac:dyDescent="0.25">
      <c r="A7813" t="s">
        <v>27</v>
      </c>
      <c r="B7813" t="s">
        <v>20</v>
      </c>
      <c r="C7813" t="s">
        <v>12</v>
      </c>
      <c r="D7813" t="s">
        <v>13</v>
      </c>
      <c r="E7813">
        <v>0.18105031215570999</v>
      </c>
      <c r="F7813">
        <v>0.79235117044058101</v>
      </c>
      <c r="G7813">
        <v>3265.9899966716698</v>
      </c>
      <c r="H7813">
        <v>20</v>
      </c>
      <c r="I7813">
        <v>35</v>
      </c>
      <c r="J7813">
        <v>30</v>
      </c>
    </row>
    <row r="7814" spans="1:10" x14ac:dyDescent="0.25">
      <c r="A7814" t="s">
        <v>27</v>
      </c>
      <c r="B7814" t="s">
        <v>20</v>
      </c>
      <c r="C7814" t="s">
        <v>12</v>
      </c>
      <c r="D7814" t="s">
        <v>13</v>
      </c>
      <c r="E7814">
        <v>0.17297098788101301</v>
      </c>
      <c r="F7814">
        <v>0.79197717951498203</v>
      </c>
      <c r="G7814">
        <v>3340.2992455959302</v>
      </c>
      <c r="H7814">
        <v>31</v>
      </c>
      <c r="I7814">
        <v>64</v>
      </c>
      <c r="J7814">
        <v>30</v>
      </c>
    </row>
    <row r="7815" spans="1:10" x14ac:dyDescent="0.25">
      <c r="A7815" t="s">
        <v>27</v>
      </c>
      <c r="B7815" t="s">
        <v>20</v>
      </c>
      <c r="C7815" t="s">
        <v>12</v>
      </c>
      <c r="D7815" t="s">
        <v>13</v>
      </c>
      <c r="E7815">
        <v>0.17333822989349901</v>
      </c>
      <c r="F7815">
        <v>0.79093228282985795</v>
      </c>
      <c r="G7815">
        <v>3643.2748987674699</v>
      </c>
      <c r="H7815">
        <v>37</v>
      </c>
      <c r="I7815">
        <v>76</v>
      </c>
      <c r="J7815">
        <v>30</v>
      </c>
    </row>
    <row r="7816" spans="1:10" x14ac:dyDescent="0.25">
      <c r="A7816" t="s">
        <v>27</v>
      </c>
      <c r="B7816" t="s">
        <v>20</v>
      </c>
      <c r="C7816" t="s">
        <v>12</v>
      </c>
      <c r="D7816" t="s">
        <v>13</v>
      </c>
      <c r="E7816">
        <v>0.17480719794344399</v>
      </c>
      <c r="F7816">
        <v>0.79064978270521602</v>
      </c>
      <c r="G7816">
        <v>3893.4331457614899</v>
      </c>
      <c r="H7816">
        <v>26</v>
      </c>
      <c r="I7816">
        <v>52</v>
      </c>
      <c r="J7816">
        <v>30</v>
      </c>
    </row>
    <row r="7817" spans="1:10" x14ac:dyDescent="0.25">
      <c r="A7817" t="s">
        <v>27</v>
      </c>
      <c r="B7817" t="s">
        <v>20</v>
      </c>
      <c r="C7817" t="s">
        <v>12</v>
      </c>
      <c r="D7817" t="s">
        <v>13</v>
      </c>
      <c r="E7817">
        <v>0.16782959970620601</v>
      </c>
      <c r="F7817">
        <v>0.78836813065075295</v>
      </c>
      <c r="G7817">
        <v>3904.3721578121099</v>
      </c>
      <c r="H7817">
        <v>20</v>
      </c>
      <c r="I7817">
        <v>46</v>
      </c>
      <c r="J7817">
        <v>30</v>
      </c>
    </row>
    <row r="7818" spans="1:10" x14ac:dyDescent="0.25">
      <c r="A7818" t="s">
        <v>27</v>
      </c>
      <c r="B7818" t="s">
        <v>20</v>
      </c>
      <c r="C7818" t="s">
        <v>12</v>
      </c>
      <c r="D7818" t="s">
        <v>13</v>
      </c>
      <c r="E7818">
        <v>0.16342269555637101</v>
      </c>
      <c r="F7818">
        <v>0.78805095539324299</v>
      </c>
      <c r="G7818">
        <v>3929.62389469146</v>
      </c>
      <c r="H7818">
        <v>24</v>
      </c>
      <c r="I7818">
        <v>56</v>
      </c>
      <c r="J7818">
        <v>30</v>
      </c>
    </row>
    <row r="7819" spans="1:10" x14ac:dyDescent="0.25">
      <c r="A7819" t="s">
        <v>27</v>
      </c>
      <c r="B7819" t="s">
        <v>20</v>
      </c>
      <c r="C7819" t="s">
        <v>12</v>
      </c>
      <c r="D7819" t="s">
        <v>13</v>
      </c>
      <c r="E7819">
        <v>0.17443995593095801</v>
      </c>
      <c r="F7819">
        <v>0.79083247627297104</v>
      </c>
      <c r="G7819">
        <v>4100.1586372852298</v>
      </c>
      <c r="H7819">
        <v>23</v>
      </c>
      <c r="I7819">
        <v>48</v>
      </c>
      <c r="J7819">
        <v>30</v>
      </c>
    </row>
    <row r="7820" spans="1:10" x14ac:dyDescent="0.25">
      <c r="A7820" t="s">
        <v>27</v>
      </c>
      <c r="B7820" t="s">
        <v>20</v>
      </c>
      <c r="C7820" t="s">
        <v>12</v>
      </c>
      <c r="D7820" t="s">
        <v>13</v>
      </c>
      <c r="E7820">
        <v>0.16378993756885701</v>
      </c>
      <c r="F7820">
        <v>0.78810236836301895</v>
      </c>
      <c r="G7820">
        <v>4100.7485141754096</v>
      </c>
      <c r="H7820">
        <v>27</v>
      </c>
      <c r="I7820">
        <v>47</v>
      </c>
      <c r="J7820">
        <v>30</v>
      </c>
    </row>
    <row r="7821" spans="1:10" x14ac:dyDescent="0.25">
      <c r="A7821" t="s">
        <v>27</v>
      </c>
      <c r="B7821" t="s">
        <v>20</v>
      </c>
      <c r="C7821" t="s">
        <v>12</v>
      </c>
      <c r="D7821" t="s">
        <v>13</v>
      </c>
      <c r="E7821">
        <v>0.17003305178112299</v>
      </c>
      <c r="F7821">
        <v>0.78992155997866398</v>
      </c>
      <c r="G7821">
        <v>4117.7959198951703</v>
      </c>
      <c r="H7821">
        <v>21</v>
      </c>
      <c r="I7821">
        <v>45</v>
      </c>
      <c r="J7821">
        <v>30</v>
      </c>
    </row>
    <row r="7822" spans="1:10" x14ac:dyDescent="0.25">
      <c r="A7822" t="s">
        <v>27</v>
      </c>
      <c r="B7822" t="s">
        <v>20</v>
      </c>
      <c r="C7822" t="s">
        <v>12</v>
      </c>
      <c r="D7822" t="s">
        <v>13</v>
      </c>
      <c r="E7822">
        <v>0.18178479618068299</v>
      </c>
      <c r="F7822">
        <v>0.79084090994461997</v>
      </c>
      <c r="G7822">
        <v>4119.1600799560501</v>
      </c>
      <c r="H7822">
        <v>20</v>
      </c>
      <c r="I7822">
        <v>39</v>
      </c>
      <c r="J7822">
        <v>30</v>
      </c>
    </row>
    <row r="7823" spans="1:10" x14ac:dyDescent="0.25">
      <c r="A7823" t="s">
        <v>27</v>
      </c>
      <c r="B7823" t="s">
        <v>20</v>
      </c>
      <c r="C7823" t="s">
        <v>12</v>
      </c>
      <c r="D7823" t="s">
        <v>13</v>
      </c>
      <c r="E7823">
        <v>0.18472273228057201</v>
      </c>
      <c r="F7823">
        <v>0.79192326706783001</v>
      </c>
      <c r="G7823">
        <v>4132.5408043861298</v>
      </c>
      <c r="H7823">
        <v>23</v>
      </c>
      <c r="I7823">
        <v>46</v>
      </c>
      <c r="J7823">
        <v>30</v>
      </c>
    </row>
    <row r="7824" spans="1:10" x14ac:dyDescent="0.25">
      <c r="A7824" t="s">
        <v>27</v>
      </c>
      <c r="B7824" t="s">
        <v>20</v>
      </c>
      <c r="C7824" t="s">
        <v>12</v>
      </c>
      <c r="D7824" t="s">
        <v>13</v>
      </c>
      <c r="E7824">
        <v>0.17297098788101301</v>
      </c>
      <c r="F7824">
        <v>0.78956160086595695</v>
      </c>
      <c r="G7824">
        <v>4132.8422443866702</v>
      </c>
      <c r="H7824">
        <v>26</v>
      </c>
      <c r="I7824">
        <v>58</v>
      </c>
      <c r="J7824">
        <v>30</v>
      </c>
    </row>
    <row r="7825" spans="1:10" x14ac:dyDescent="0.25">
      <c r="A7825" t="s">
        <v>27</v>
      </c>
      <c r="B7825" t="s">
        <v>20</v>
      </c>
      <c r="C7825" t="s">
        <v>12</v>
      </c>
      <c r="D7825" t="s">
        <v>13</v>
      </c>
      <c r="E7825">
        <v>0.15791406536907801</v>
      </c>
      <c r="F7825">
        <v>0.78352661914495003</v>
      </c>
      <c r="G7825">
        <v>4250.0184018611899</v>
      </c>
      <c r="H7825">
        <v>21</v>
      </c>
      <c r="I7825">
        <v>48</v>
      </c>
      <c r="J7825">
        <v>30</v>
      </c>
    </row>
    <row r="7826" spans="1:10" x14ac:dyDescent="0.25">
      <c r="A7826" t="s">
        <v>27</v>
      </c>
      <c r="B7826" t="s">
        <v>20</v>
      </c>
      <c r="C7826" t="s">
        <v>12</v>
      </c>
      <c r="D7826" t="s">
        <v>13</v>
      </c>
      <c r="E7826">
        <v>0.176643408005875</v>
      </c>
      <c r="F7826">
        <v>0.79142717544858399</v>
      </c>
      <c r="G7826">
        <v>4261.1684572696604</v>
      </c>
      <c r="H7826">
        <v>20</v>
      </c>
      <c r="I7826">
        <v>44</v>
      </c>
      <c r="J7826">
        <v>30</v>
      </c>
    </row>
    <row r="7827" spans="1:10" x14ac:dyDescent="0.25">
      <c r="A7827" t="s">
        <v>27</v>
      </c>
      <c r="B7827" t="s">
        <v>20</v>
      </c>
      <c r="C7827" t="s">
        <v>12</v>
      </c>
      <c r="D7827" t="s">
        <v>13</v>
      </c>
      <c r="E7827">
        <v>0.182886522218141</v>
      </c>
      <c r="F7827">
        <v>0.79221392785828104</v>
      </c>
      <c r="G7827">
        <v>4361.9794826507496</v>
      </c>
      <c r="H7827">
        <v>26</v>
      </c>
      <c r="I7827">
        <v>56</v>
      </c>
      <c r="J7827">
        <v>30</v>
      </c>
    </row>
    <row r="7828" spans="1:10" x14ac:dyDescent="0.25">
      <c r="A7828" t="s">
        <v>27</v>
      </c>
      <c r="B7828" t="s">
        <v>20</v>
      </c>
      <c r="C7828" t="s">
        <v>12</v>
      </c>
      <c r="D7828" t="s">
        <v>13</v>
      </c>
      <c r="E7828">
        <v>0.171502019831068</v>
      </c>
      <c r="F7828">
        <v>0.79010690512236503</v>
      </c>
      <c r="G7828">
        <v>4365.1499967575</v>
      </c>
      <c r="H7828">
        <v>32</v>
      </c>
      <c r="I7828">
        <v>76</v>
      </c>
      <c r="J7828">
        <v>30</v>
      </c>
    </row>
    <row r="7829" spans="1:10" x14ac:dyDescent="0.25">
      <c r="A7829" t="s">
        <v>27</v>
      </c>
      <c r="B7829" t="s">
        <v>20</v>
      </c>
      <c r="C7829" t="s">
        <v>12</v>
      </c>
      <c r="D7829" t="s">
        <v>13</v>
      </c>
      <c r="E7829">
        <v>0.16011751744399499</v>
      </c>
      <c r="F7829">
        <v>0.78782300770962199</v>
      </c>
      <c r="G7829">
        <v>4366.0549471378299</v>
      </c>
      <c r="H7829">
        <v>26</v>
      </c>
      <c r="I7829">
        <v>53</v>
      </c>
      <c r="J7829">
        <v>30</v>
      </c>
    </row>
    <row r="7830" spans="1:10" x14ac:dyDescent="0.25">
      <c r="A7830" t="s">
        <v>27</v>
      </c>
      <c r="B7830" t="s">
        <v>20</v>
      </c>
      <c r="C7830" t="s">
        <v>12</v>
      </c>
      <c r="D7830" t="s">
        <v>13</v>
      </c>
      <c r="E7830">
        <v>0.17407271391847201</v>
      </c>
      <c r="F7830">
        <v>0.79057903015361797</v>
      </c>
      <c r="G7830">
        <v>4450.1289427280399</v>
      </c>
      <c r="H7830">
        <v>36</v>
      </c>
      <c r="I7830">
        <v>81</v>
      </c>
      <c r="J7830">
        <v>30</v>
      </c>
    </row>
    <row r="7831" spans="1:10" x14ac:dyDescent="0.25">
      <c r="A7831" t="s">
        <v>27</v>
      </c>
      <c r="B7831" t="s">
        <v>20</v>
      </c>
      <c r="C7831" t="s">
        <v>12</v>
      </c>
      <c r="D7831" t="s">
        <v>13</v>
      </c>
      <c r="E7831">
        <v>0.15938303341902299</v>
      </c>
      <c r="F7831">
        <v>0.78677783121516598</v>
      </c>
      <c r="G7831">
        <v>4544.6436920165997</v>
      </c>
      <c r="H7831">
        <v>33</v>
      </c>
      <c r="I7831">
        <v>70</v>
      </c>
      <c r="J7831">
        <v>30</v>
      </c>
    </row>
    <row r="7832" spans="1:10" x14ac:dyDescent="0.25">
      <c r="A7832" t="s">
        <v>27</v>
      </c>
      <c r="B7832" t="s">
        <v>20</v>
      </c>
      <c r="C7832" t="s">
        <v>12</v>
      </c>
      <c r="D7832" t="s">
        <v>14</v>
      </c>
      <c r="E7832">
        <v>3.1950055086301797E-2</v>
      </c>
      <c r="F7832">
        <v>0.75798421570796803</v>
      </c>
      <c r="G7832">
        <v>28.025723934173499</v>
      </c>
      <c r="H7832">
        <v>1</v>
      </c>
      <c r="I7832">
        <v>1</v>
      </c>
      <c r="J7832">
        <v>30</v>
      </c>
    </row>
    <row r="7833" spans="1:10" x14ac:dyDescent="0.25">
      <c r="A7833" t="s">
        <v>27</v>
      </c>
      <c r="B7833" t="s">
        <v>20</v>
      </c>
      <c r="C7833" t="s">
        <v>12</v>
      </c>
      <c r="D7833" t="s">
        <v>14</v>
      </c>
      <c r="E7833">
        <v>4.1498347410943798E-2</v>
      </c>
      <c r="F7833">
        <v>0.76036975544498697</v>
      </c>
      <c r="G7833">
        <v>28.0961849689483</v>
      </c>
      <c r="H7833">
        <v>1</v>
      </c>
      <c r="I7833">
        <v>1</v>
      </c>
      <c r="J7833">
        <v>30</v>
      </c>
    </row>
    <row r="7834" spans="1:10" x14ac:dyDescent="0.25">
      <c r="A7834" t="s">
        <v>27</v>
      </c>
      <c r="B7834" t="s">
        <v>20</v>
      </c>
      <c r="C7834" t="s">
        <v>12</v>
      </c>
      <c r="D7834" t="s">
        <v>14</v>
      </c>
      <c r="E7834">
        <v>3.7091443261108997E-2</v>
      </c>
      <c r="F7834">
        <v>0.75926877926915104</v>
      </c>
      <c r="G7834">
        <v>28.158411502838099</v>
      </c>
      <c r="H7834">
        <v>1</v>
      </c>
      <c r="I7834">
        <v>1</v>
      </c>
      <c r="J7834">
        <v>30</v>
      </c>
    </row>
    <row r="7835" spans="1:10" x14ac:dyDescent="0.25">
      <c r="A7835" t="s">
        <v>27</v>
      </c>
      <c r="B7835" t="s">
        <v>20</v>
      </c>
      <c r="C7835" t="s">
        <v>12</v>
      </c>
      <c r="D7835" t="s">
        <v>14</v>
      </c>
      <c r="E7835">
        <v>4.1498347410943798E-2</v>
      </c>
      <c r="F7835">
        <v>0.76036975544498597</v>
      </c>
      <c r="G7835">
        <v>29.972463846206601</v>
      </c>
      <c r="H7835">
        <v>1</v>
      </c>
      <c r="I7835">
        <v>1</v>
      </c>
      <c r="J7835">
        <v>30</v>
      </c>
    </row>
    <row r="7836" spans="1:10" x14ac:dyDescent="0.25">
      <c r="A7836" t="s">
        <v>27</v>
      </c>
      <c r="B7836" t="s">
        <v>20</v>
      </c>
      <c r="C7836" t="s">
        <v>12</v>
      </c>
      <c r="D7836" t="s">
        <v>14</v>
      </c>
      <c r="E7836">
        <v>3.8193169298567697E-2</v>
      </c>
      <c r="F7836">
        <v>0.75927631695629705</v>
      </c>
      <c r="G7836">
        <v>28.387196540832502</v>
      </c>
      <c r="H7836">
        <v>1</v>
      </c>
      <c r="I7836">
        <v>1</v>
      </c>
      <c r="J7836">
        <v>30</v>
      </c>
    </row>
    <row r="7837" spans="1:10" x14ac:dyDescent="0.25">
      <c r="A7837" t="s">
        <v>27</v>
      </c>
      <c r="B7837" t="s">
        <v>20</v>
      </c>
      <c r="C7837" t="s">
        <v>12</v>
      </c>
      <c r="D7837" t="s">
        <v>14</v>
      </c>
      <c r="E7837">
        <v>3.7825927286081501E-2</v>
      </c>
      <c r="F7837">
        <v>0.75945227967873596</v>
      </c>
      <c r="G7837">
        <v>28.850468873977601</v>
      </c>
      <c r="H7837">
        <v>1</v>
      </c>
      <c r="I7837">
        <v>1</v>
      </c>
      <c r="J7837">
        <v>30</v>
      </c>
    </row>
    <row r="7838" spans="1:10" x14ac:dyDescent="0.25">
      <c r="A7838" t="s">
        <v>27</v>
      </c>
      <c r="B7838" t="s">
        <v>20</v>
      </c>
      <c r="C7838" t="s">
        <v>12</v>
      </c>
      <c r="D7838" t="s">
        <v>14</v>
      </c>
      <c r="E7838">
        <v>3.7458685273595298E-2</v>
      </c>
      <c r="F7838">
        <v>0.75936053362827705</v>
      </c>
      <c r="G7838">
        <v>28.915336608886701</v>
      </c>
      <c r="H7838">
        <v>1</v>
      </c>
      <c r="I7838">
        <v>1</v>
      </c>
      <c r="J7838">
        <v>30</v>
      </c>
    </row>
    <row r="7839" spans="1:10" x14ac:dyDescent="0.25">
      <c r="A7839" t="s">
        <v>27</v>
      </c>
      <c r="B7839" t="s">
        <v>20</v>
      </c>
      <c r="C7839" t="s">
        <v>12</v>
      </c>
      <c r="D7839" t="s">
        <v>14</v>
      </c>
      <c r="E7839">
        <v>4.1865589423430001E-2</v>
      </c>
      <c r="F7839">
        <v>0.76046149605082602</v>
      </c>
      <c r="G7839">
        <v>29.005365371704102</v>
      </c>
      <c r="H7839">
        <v>1</v>
      </c>
      <c r="I7839">
        <v>1</v>
      </c>
      <c r="J7839">
        <v>30</v>
      </c>
    </row>
    <row r="7840" spans="1:10" x14ac:dyDescent="0.25">
      <c r="A7840" t="s">
        <v>27</v>
      </c>
      <c r="B7840" t="s">
        <v>20</v>
      </c>
      <c r="C7840" t="s">
        <v>12</v>
      </c>
      <c r="D7840" t="s">
        <v>14</v>
      </c>
      <c r="E7840">
        <v>4.0396621373485098E-2</v>
      </c>
      <c r="F7840">
        <v>0.76009452168527303</v>
      </c>
      <c r="G7840">
        <v>30.374287605285598</v>
      </c>
      <c r="H7840">
        <v>1</v>
      </c>
      <c r="I7840">
        <v>1</v>
      </c>
      <c r="J7840">
        <v>30</v>
      </c>
    </row>
    <row r="7841" spans="1:10" x14ac:dyDescent="0.25">
      <c r="A7841" t="s">
        <v>27</v>
      </c>
      <c r="B7841" t="s">
        <v>20</v>
      </c>
      <c r="C7841" t="s">
        <v>12</v>
      </c>
      <c r="D7841" t="s">
        <v>14</v>
      </c>
      <c r="E7841">
        <v>4.1865589423430001E-2</v>
      </c>
      <c r="F7841">
        <v>0.76046149605082602</v>
      </c>
      <c r="G7841">
        <v>29.262721776962199</v>
      </c>
      <c r="H7841">
        <v>1</v>
      </c>
      <c r="I7841">
        <v>1</v>
      </c>
      <c r="J7841">
        <v>30</v>
      </c>
    </row>
    <row r="7842" spans="1:10" x14ac:dyDescent="0.25">
      <c r="A7842" t="s">
        <v>27</v>
      </c>
      <c r="B7842" t="s">
        <v>20</v>
      </c>
      <c r="C7842" t="s">
        <v>12</v>
      </c>
      <c r="D7842" t="s">
        <v>14</v>
      </c>
      <c r="E7842">
        <v>3.7825927286081501E-2</v>
      </c>
      <c r="F7842">
        <v>0.75918454883349196</v>
      </c>
      <c r="G7842">
        <v>29.181617736816399</v>
      </c>
      <c r="H7842">
        <v>1</v>
      </c>
      <c r="I7842">
        <v>1</v>
      </c>
      <c r="J7842">
        <v>30</v>
      </c>
    </row>
    <row r="7843" spans="1:10" x14ac:dyDescent="0.25">
      <c r="A7843" t="s">
        <v>27</v>
      </c>
      <c r="B7843" t="s">
        <v>20</v>
      </c>
      <c r="C7843" t="s">
        <v>12</v>
      </c>
      <c r="D7843" t="s">
        <v>14</v>
      </c>
      <c r="E7843">
        <v>3.5989717223650297E-2</v>
      </c>
      <c r="F7843">
        <v>0.75899352167197898</v>
      </c>
      <c r="G7843">
        <v>30.721510410308799</v>
      </c>
      <c r="H7843">
        <v>1</v>
      </c>
      <c r="I7843">
        <v>1</v>
      </c>
      <c r="J7843">
        <v>30</v>
      </c>
    </row>
    <row r="7844" spans="1:10" x14ac:dyDescent="0.25">
      <c r="A7844" t="s">
        <v>27</v>
      </c>
      <c r="B7844" t="s">
        <v>20</v>
      </c>
      <c r="C7844" t="s">
        <v>12</v>
      </c>
      <c r="D7844" t="s">
        <v>14</v>
      </c>
      <c r="E7844">
        <v>3.9662137348512601E-2</v>
      </c>
      <c r="F7844">
        <v>0.75991102730635396</v>
      </c>
      <c r="G7844">
        <v>30.8366680145263</v>
      </c>
      <c r="H7844">
        <v>1</v>
      </c>
      <c r="I7844">
        <v>1</v>
      </c>
      <c r="J7844">
        <v>30</v>
      </c>
    </row>
    <row r="7845" spans="1:10" x14ac:dyDescent="0.25">
      <c r="A7845" t="s">
        <v>27</v>
      </c>
      <c r="B7845" t="s">
        <v>20</v>
      </c>
      <c r="C7845" t="s">
        <v>12</v>
      </c>
      <c r="D7845" t="s">
        <v>14</v>
      </c>
      <c r="E7845">
        <v>3.7091443261108997E-2</v>
      </c>
      <c r="F7845">
        <v>0.75900101208586002</v>
      </c>
      <c r="G7845">
        <v>30.870431423187199</v>
      </c>
      <c r="H7845">
        <v>1</v>
      </c>
      <c r="I7845">
        <v>1</v>
      </c>
      <c r="J7845">
        <v>30</v>
      </c>
    </row>
    <row r="7846" spans="1:10" x14ac:dyDescent="0.25">
      <c r="A7846" t="s">
        <v>27</v>
      </c>
      <c r="B7846" t="s">
        <v>20</v>
      </c>
      <c r="C7846" t="s">
        <v>12</v>
      </c>
      <c r="D7846" t="s">
        <v>14</v>
      </c>
      <c r="E7846">
        <v>3.3786265148733001E-2</v>
      </c>
      <c r="F7846">
        <v>0.75817507565930897</v>
      </c>
      <c r="G7846">
        <v>29.616590976714999</v>
      </c>
      <c r="H7846">
        <v>1</v>
      </c>
      <c r="I7846">
        <v>1</v>
      </c>
      <c r="J7846">
        <v>30</v>
      </c>
    </row>
    <row r="7847" spans="1:10" x14ac:dyDescent="0.25">
      <c r="A7847" t="s">
        <v>27</v>
      </c>
      <c r="B7847" t="s">
        <v>20</v>
      </c>
      <c r="C7847" t="s">
        <v>12</v>
      </c>
      <c r="D7847" t="s">
        <v>14</v>
      </c>
      <c r="E7847">
        <v>3.2317297098788098E-2</v>
      </c>
      <c r="F7847">
        <v>0.75807597515563696</v>
      </c>
      <c r="G7847">
        <v>31.0949547290802</v>
      </c>
      <c r="H7847">
        <v>1</v>
      </c>
      <c r="I7847">
        <v>1</v>
      </c>
      <c r="J7847">
        <v>30</v>
      </c>
    </row>
    <row r="7848" spans="1:10" x14ac:dyDescent="0.25">
      <c r="A7848" t="s">
        <v>27</v>
      </c>
      <c r="B7848" t="s">
        <v>20</v>
      </c>
      <c r="C7848" t="s">
        <v>12</v>
      </c>
      <c r="D7848" t="s">
        <v>14</v>
      </c>
      <c r="E7848">
        <v>3.8193169298567697E-2</v>
      </c>
      <c r="F7848">
        <v>0.75954403326683695</v>
      </c>
      <c r="G7848">
        <v>30.330742120742698</v>
      </c>
      <c r="H7848">
        <v>1</v>
      </c>
      <c r="I7848">
        <v>1</v>
      </c>
      <c r="J7848">
        <v>30</v>
      </c>
    </row>
    <row r="7849" spans="1:10" x14ac:dyDescent="0.25">
      <c r="A7849" t="s">
        <v>27</v>
      </c>
      <c r="B7849" t="s">
        <v>20</v>
      </c>
      <c r="C7849" t="s">
        <v>12</v>
      </c>
      <c r="D7849" t="s">
        <v>14</v>
      </c>
      <c r="E7849">
        <v>0.123760558207858</v>
      </c>
      <c r="F7849">
        <v>0.78036406012570603</v>
      </c>
      <c r="G7849">
        <v>44.451453685760498</v>
      </c>
      <c r="H7849">
        <v>6</v>
      </c>
      <c r="I7849">
        <v>6</v>
      </c>
      <c r="J7849">
        <v>30</v>
      </c>
    </row>
    <row r="7850" spans="1:10" x14ac:dyDescent="0.25">
      <c r="A7850" t="s">
        <v>27</v>
      </c>
      <c r="B7850" t="s">
        <v>20</v>
      </c>
      <c r="C7850" t="s">
        <v>12</v>
      </c>
      <c r="D7850" t="s">
        <v>14</v>
      </c>
      <c r="E7850">
        <v>0.12706573632023499</v>
      </c>
      <c r="F7850">
        <v>0.78145100508145404</v>
      </c>
      <c r="G7850">
        <v>47.384745597839299</v>
      </c>
      <c r="H7850">
        <v>6</v>
      </c>
      <c r="I7850">
        <v>6</v>
      </c>
      <c r="J7850">
        <v>30</v>
      </c>
    </row>
    <row r="7851" spans="1:10" x14ac:dyDescent="0.25">
      <c r="A7851" t="s">
        <v>27</v>
      </c>
      <c r="B7851" t="s">
        <v>20</v>
      </c>
      <c r="C7851" t="s">
        <v>12</v>
      </c>
      <c r="D7851" t="s">
        <v>14</v>
      </c>
      <c r="E7851">
        <v>0.13073815644509701</v>
      </c>
      <c r="F7851">
        <v>0.78097942934906295</v>
      </c>
      <c r="G7851">
        <v>47.834809541702199</v>
      </c>
      <c r="H7851">
        <v>7</v>
      </c>
      <c r="I7851">
        <v>7</v>
      </c>
      <c r="J7851">
        <v>30</v>
      </c>
    </row>
    <row r="7852" spans="1:10" x14ac:dyDescent="0.25">
      <c r="A7852" t="s">
        <v>27</v>
      </c>
      <c r="B7852" t="s">
        <v>20</v>
      </c>
      <c r="C7852" t="s">
        <v>12</v>
      </c>
      <c r="D7852" t="s">
        <v>14</v>
      </c>
      <c r="E7852">
        <v>0.11935365405802401</v>
      </c>
      <c r="F7852">
        <v>0.77951645817311699</v>
      </c>
      <c r="G7852">
        <v>47.740542411804199</v>
      </c>
      <c r="H7852">
        <v>6</v>
      </c>
      <c r="I7852">
        <v>6</v>
      </c>
      <c r="J7852">
        <v>30</v>
      </c>
    </row>
    <row r="7853" spans="1:10" x14ac:dyDescent="0.25">
      <c r="A7853" t="s">
        <v>27</v>
      </c>
      <c r="B7853" t="s">
        <v>20</v>
      </c>
      <c r="C7853" t="s">
        <v>12</v>
      </c>
      <c r="D7853" t="s">
        <v>14</v>
      </c>
      <c r="E7853">
        <v>0.13624678663239001</v>
      </c>
      <c r="F7853">
        <v>0.78321823873507102</v>
      </c>
      <c r="G7853">
        <v>47.990758657455402</v>
      </c>
      <c r="H7853">
        <v>6</v>
      </c>
      <c r="I7853">
        <v>6</v>
      </c>
      <c r="J7853">
        <v>30</v>
      </c>
    </row>
    <row r="7854" spans="1:10" x14ac:dyDescent="0.25">
      <c r="A7854" t="s">
        <v>27</v>
      </c>
      <c r="B7854" t="s">
        <v>20</v>
      </c>
      <c r="C7854" t="s">
        <v>12</v>
      </c>
      <c r="D7854" t="s">
        <v>14</v>
      </c>
      <c r="E7854">
        <v>0.129636430407638</v>
      </c>
      <c r="F7854">
        <v>0.78206540011704095</v>
      </c>
      <c r="G7854">
        <v>48.227797508239703</v>
      </c>
      <c r="H7854">
        <v>7</v>
      </c>
      <c r="I7854">
        <v>7</v>
      </c>
      <c r="J7854">
        <v>30</v>
      </c>
    </row>
    <row r="7855" spans="1:10" x14ac:dyDescent="0.25">
      <c r="A7855" t="s">
        <v>27</v>
      </c>
      <c r="B7855" t="s">
        <v>20</v>
      </c>
      <c r="C7855" t="s">
        <v>12</v>
      </c>
      <c r="D7855" t="s">
        <v>14</v>
      </c>
      <c r="E7855">
        <v>0.13698127065736301</v>
      </c>
      <c r="F7855">
        <v>0.78306605733158197</v>
      </c>
      <c r="G7855">
        <v>48.340100049972499</v>
      </c>
      <c r="H7855">
        <v>6</v>
      </c>
      <c r="I7855">
        <v>6</v>
      </c>
      <c r="J7855">
        <v>30</v>
      </c>
    </row>
    <row r="7856" spans="1:10" x14ac:dyDescent="0.25">
      <c r="A7856" t="s">
        <v>27</v>
      </c>
      <c r="B7856" t="s">
        <v>20</v>
      </c>
      <c r="C7856" t="s">
        <v>12</v>
      </c>
      <c r="D7856" t="s">
        <v>14</v>
      </c>
      <c r="E7856">
        <v>0.13771575468233499</v>
      </c>
      <c r="F7856">
        <v>0.78392421020771197</v>
      </c>
      <c r="G7856">
        <v>51.0858924388885</v>
      </c>
      <c r="H7856">
        <v>8</v>
      </c>
      <c r="I7856">
        <v>8</v>
      </c>
      <c r="J7856">
        <v>30</v>
      </c>
    </row>
    <row r="7857" spans="1:10" x14ac:dyDescent="0.25">
      <c r="A7857" t="s">
        <v>27</v>
      </c>
      <c r="B7857" t="s">
        <v>20</v>
      </c>
      <c r="C7857" t="s">
        <v>12</v>
      </c>
      <c r="D7857" t="s">
        <v>14</v>
      </c>
      <c r="E7857">
        <v>0.13845023870730799</v>
      </c>
      <c r="F7857">
        <v>0.78416986257752397</v>
      </c>
      <c r="G7857">
        <v>51.203392267227102</v>
      </c>
      <c r="H7857">
        <v>7</v>
      </c>
      <c r="I7857">
        <v>7</v>
      </c>
      <c r="J7857">
        <v>30</v>
      </c>
    </row>
    <row r="7858" spans="1:10" x14ac:dyDescent="0.25">
      <c r="A7858" t="s">
        <v>27</v>
      </c>
      <c r="B7858" t="s">
        <v>20</v>
      </c>
      <c r="C7858" t="s">
        <v>12</v>
      </c>
      <c r="D7858" t="s">
        <v>14</v>
      </c>
      <c r="E7858">
        <v>0.13110539845758301</v>
      </c>
      <c r="F7858">
        <v>0.78237718953297697</v>
      </c>
      <c r="G7858">
        <v>52.123915433883603</v>
      </c>
      <c r="H7858">
        <v>8</v>
      </c>
      <c r="I7858">
        <v>8</v>
      </c>
      <c r="J7858">
        <v>30</v>
      </c>
    </row>
    <row r="7859" spans="1:10" x14ac:dyDescent="0.25">
      <c r="A7859" t="s">
        <v>27</v>
      </c>
      <c r="B7859" t="s">
        <v>20</v>
      </c>
      <c r="C7859" t="s">
        <v>12</v>
      </c>
      <c r="D7859" t="s">
        <v>14</v>
      </c>
      <c r="E7859">
        <v>0.128167462357693</v>
      </c>
      <c r="F7859">
        <v>0.78131784654678604</v>
      </c>
      <c r="G7859">
        <v>52.294085502624498</v>
      </c>
      <c r="H7859">
        <v>7</v>
      </c>
      <c r="I7859">
        <v>7</v>
      </c>
      <c r="J7859">
        <v>30</v>
      </c>
    </row>
    <row r="7860" spans="1:10" x14ac:dyDescent="0.25">
      <c r="A7860" t="s">
        <v>27</v>
      </c>
      <c r="B7860" t="s">
        <v>20</v>
      </c>
      <c r="C7860" t="s">
        <v>12</v>
      </c>
      <c r="D7860" t="s">
        <v>14</v>
      </c>
      <c r="E7860">
        <v>0.134410576569959</v>
      </c>
      <c r="F7860">
        <v>0.78264515705714199</v>
      </c>
      <c r="G7860">
        <v>52.286142826080301</v>
      </c>
      <c r="H7860">
        <v>6</v>
      </c>
      <c r="I7860">
        <v>6</v>
      </c>
      <c r="J7860">
        <v>30</v>
      </c>
    </row>
    <row r="7861" spans="1:10" x14ac:dyDescent="0.25">
      <c r="A7861" t="s">
        <v>27</v>
      </c>
      <c r="B7861" t="s">
        <v>20</v>
      </c>
      <c r="C7861" t="s">
        <v>12</v>
      </c>
      <c r="D7861" t="s">
        <v>14</v>
      </c>
      <c r="E7861">
        <v>0.13771575468233499</v>
      </c>
      <c r="F7861">
        <v>0.78355508603760404</v>
      </c>
      <c r="G7861">
        <v>52.814429521560598</v>
      </c>
      <c r="H7861">
        <v>8</v>
      </c>
      <c r="I7861">
        <v>8</v>
      </c>
      <c r="J7861">
        <v>30</v>
      </c>
    </row>
    <row r="7862" spans="1:10" x14ac:dyDescent="0.25">
      <c r="A7862" t="s">
        <v>27</v>
      </c>
      <c r="B7862" t="s">
        <v>20</v>
      </c>
      <c r="C7862" t="s">
        <v>12</v>
      </c>
      <c r="D7862" t="s">
        <v>15</v>
      </c>
      <c r="E7862">
        <v>0</v>
      </c>
      <c r="F7862">
        <v>0.75</v>
      </c>
      <c r="G7862">
        <v>6514.7279763221704</v>
      </c>
      <c r="H7862">
        <v>4</v>
      </c>
      <c r="I7862">
        <v>13</v>
      </c>
      <c r="J7862">
        <v>30</v>
      </c>
    </row>
    <row r="7863" spans="1:10" x14ac:dyDescent="0.25">
      <c r="A7863" t="s">
        <v>27</v>
      </c>
      <c r="B7863" t="s">
        <v>20</v>
      </c>
      <c r="C7863" t="s">
        <v>12</v>
      </c>
      <c r="D7863" t="s">
        <v>15</v>
      </c>
      <c r="E7863">
        <v>1.10172603745868E-3</v>
      </c>
      <c r="F7863">
        <v>0.75005233198677901</v>
      </c>
      <c r="G7863">
        <v>20584.574999570799</v>
      </c>
      <c r="H7863">
        <v>14</v>
      </c>
      <c r="I7863">
        <v>36</v>
      </c>
      <c r="J7863">
        <v>30</v>
      </c>
    </row>
    <row r="7864" spans="1:10" x14ac:dyDescent="0.25">
      <c r="A7864" t="s">
        <v>27</v>
      </c>
      <c r="B7864" t="s">
        <v>20</v>
      </c>
      <c r="C7864" t="s">
        <v>12</v>
      </c>
      <c r="D7864" t="s">
        <v>15</v>
      </c>
      <c r="E7864">
        <v>7.3448402497245605E-4</v>
      </c>
      <c r="F7864">
        <v>0.75003488799118601</v>
      </c>
      <c r="G7864">
        <v>21124.841707468</v>
      </c>
      <c r="H7864">
        <v>12</v>
      </c>
      <c r="I7864">
        <v>42</v>
      </c>
      <c r="J7864">
        <v>30</v>
      </c>
    </row>
    <row r="7865" spans="1:10" x14ac:dyDescent="0.25">
      <c r="A7865" t="s">
        <v>27</v>
      </c>
      <c r="B7865" t="s">
        <v>20</v>
      </c>
      <c r="C7865" t="s">
        <v>12</v>
      </c>
      <c r="D7865" t="s">
        <v>15</v>
      </c>
      <c r="E7865">
        <v>3.6724201248622803E-4</v>
      </c>
      <c r="F7865">
        <v>0.750017443995593</v>
      </c>
      <c r="G7865">
        <v>22859.9356746673</v>
      </c>
      <c r="H7865">
        <v>12</v>
      </c>
      <c r="I7865">
        <v>35</v>
      </c>
      <c r="J7865">
        <v>30</v>
      </c>
    </row>
    <row r="7866" spans="1:10" x14ac:dyDescent="0.25">
      <c r="A7866" t="s">
        <v>27</v>
      </c>
      <c r="B7866" t="s">
        <v>20</v>
      </c>
      <c r="C7866" t="s">
        <v>12</v>
      </c>
      <c r="D7866" t="s">
        <v>15</v>
      </c>
      <c r="E7866">
        <v>0</v>
      </c>
      <c r="F7866">
        <v>0.75</v>
      </c>
      <c r="G7866">
        <v>39772.484126091003</v>
      </c>
      <c r="H7866">
        <v>24</v>
      </c>
      <c r="I7866">
        <v>70</v>
      </c>
      <c r="J7866">
        <v>30</v>
      </c>
    </row>
    <row r="7867" spans="1:10" x14ac:dyDescent="0.25">
      <c r="A7867" t="s">
        <v>27</v>
      </c>
      <c r="B7867" t="s">
        <v>20</v>
      </c>
      <c r="C7867" t="s">
        <v>12</v>
      </c>
      <c r="D7867" t="s">
        <v>15</v>
      </c>
      <c r="E7867">
        <v>2.2034520749173699E-3</v>
      </c>
      <c r="F7867">
        <v>0.75010466397355802</v>
      </c>
      <c r="G7867">
        <v>46981.289121866197</v>
      </c>
      <c r="H7867">
        <v>28</v>
      </c>
      <c r="I7867">
        <v>78</v>
      </c>
      <c r="J7867">
        <v>30</v>
      </c>
    </row>
    <row r="7868" spans="1:10" x14ac:dyDescent="0.25">
      <c r="A7868" t="s">
        <v>27</v>
      </c>
      <c r="B7868" t="s">
        <v>20</v>
      </c>
      <c r="C7868" t="s">
        <v>12</v>
      </c>
      <c r="D7868" t="s">
        <v>15</v>
      </c>
      <c r="E7868">
        <v>2.9379360998898199E-3</v>
      </c>
      <c r="F7868">
        <v>0.75013955196474402</v>
      </c>
      <c r="G7868">
        <v>47531.9344227314</v>
      </c>
      <c r="H7868">
        <v>30</v>
      </c>
      <c r="I7868">
        <v>91</v>
      </c>
      <c r="J7868">
        <v>30</v>
      </c>
    </row>
    <row r="7869" spans="1:10" x14ac:dyDescent="0.25">
      <c r="A7869" t="s">
        <v>27</v>
      </c>
      <c r="B7869" t="s">
        <v>20</v>
      </c>
      <c r="C7869" t="s">
        <v>12</v>
      </c>
      <c r="D7869" t="s">
        <v>15</v>
      </c>
      <c r="E7869">
        <v>5.50863018729342E-3</v>
      </c>
      <c r="F7869">
        <v>0.750272325580426</v>
      </c>
      <c r="G7869">
        <v>76726.120888709993</v>
      </c>
      <c r="H7869">
        <v>50</v>
      </c>
      <c r="I7869">
        <v>152</v>
      </c>
      <c r="J7869">
        <v>30</v>
      </c>
    </row>
    <row r="7870" spans="1:10" x14ac:dyDescent="0.25">
      <c r="A7870" t="s">
        <v>27</v>
      </c>
      <c r="B7870" t="s">
        <v>20</v>
      </c>
      <c r="C7870" t="s">
        <v>12</v>
      </c>
      <c r="D7870" t="s">
        <v>15</v>
      </c>
      <c r="E7870">
        <v>2.2034520749173699E-3</v>
      </c>
      <c r="F7870">
        <v>0.75010466397355802</v>
      </c>
      <c r="G7870">
        <v>80709.542631149205</v>
      </c>
      <c r="H7870">
        <v>58</v>
      </c>
      <c r="I7870">
        <v>176</v>
      </c>
      <c r="J7870">
        <v>30</v>
      </c>
    </row>
    <row r="7871" spans="1:10" x14ac:dyDescent="0.25">
      <c r="A7871" t="s">
        <v>27</v>
      </c>
      <c r="B7871" t="s">
        <v>20</v>
      </c>
      <c r="C7871" t="s">
        <v>12</v>
      </c>
      <c r="D7871" t="s">
        <v>15</v>
      </c>
      <c r="E7871">
        <v>2.5706940874035901E-3</v>
      </c>
      <c r="F7871">
        <v>0.75012210796915102</v>
      </c>
      <c r="G7871">
        <v>88706.870486974702</v>
      </c>
      <c r="H7871">
        <v>61</v>
      </c>
      <c r="I7871">
        <v>167</v>
      </c>
      <c r="J7871">
        <v>30</v>
      </c>
    </row>
    <row r="7872" spans="1:10" x14ac:dyDescent="0.25">
      <c r="A7872" t="s">
        <v>27</v>
      </c>
      <c r="B7872" t="s">
        <v>20</v>
      </c>
      <c r="C7872" t="s">
        <v>12</v>
      </c>
      <c r="D7872" t="s">
        <v>15</v>
      </c>
      <c r="E7872">
        <v>5.50863018729342E-3</v>
      </c>
      <c r="F7872">
        <v>0.75024237972824004</v>
      </c>
      <c r="G7872">
        <v>98654.286578416795</v>
      </c>
      <c r="H7872">
        <v>72</v>
      </c>
      <c r="I7872">
        <v>221</v>
      </c>
      <c r="J7872">
        <v>30</v>
      </c>
    </row>
    <row r="7873" spans="1:10" x14ac:dyDescent="0.25">
      <c r="A7873" t="s">
        <v>27</v>
      </c>
      <c r="B7873" t="s">
        <v>20</v>
      </c>
      <c r="C7873" t="s">
        <v>12</v>
      </c>
      <c r="D7873" t="s">
        <v>15</v>
      </c>
      <c r="E7873">
        <v>1.8362100624311399E-3</v>
      </c>
      <c r="F7873">
        <v>0.75008721997796501</v>
      </c>
      <c r="G7873">
        <v>102577.155704021</v>
      </c>
      <c r="H7873">
        <v>71</v>
      </c>
      <c r="I7873">
        <v>208</v>
      </c>
      <c r="J7873">
        <v>30</v>
      </c>
    </row>
    <row r="7874" spans="1:10" x14ac:dyDescent="0.25">
      <c r="A7874" t="s">
        <v>27</v>
      </c>
      <c r="B7874" t="s">
        <v>20</v>
      </c>
      <c r="C7874" t="s">
        <v>12</v>
      </c>
      <c r="D7874" t="s">
        <v>15</v>
      </c>
      <c r="E7874">
        <v>5.8758721997796502E-3</v>
      </c>
      <c r="F7874">
        <v>0.75021346196279803</v>
      </c>
      <c r="G7874">
        <v>105123.459984064</v>
      </c>
      <c r="H7874">
        <v>72</v>
      </c>
      <c r="I7874">
        <v>212</v>
      </c>
      <c r="J7874">
        <v>30</v>
      </c>
    </row>
    <row r="7875" spans="1:10" x14ac:dyDescent="0.25">
      <c r="A7875" t="s">
        <v>27</v>
      </c>
      <c r="B7875" t="s">
        <v>20</v>
      </c>
      <c r="C7875" t="s">
        <v>12</v>
      </c>
      <c r="D7875" t="s">
        <v>15</v>
      </c>
      <c r="E7875">
        <v>6.2431142122658803E-3</v>
      </c>
      <c r="F7875">
        <v>0.75029654792508205</v>
      </c>
      <c r="G7875">
        <v>108537.22192788099</v>
      </c>
      <c r="H7875">
        <v>81</v>
      </c>
      <c r="I7875">
        <v>216</v>
      </c>
      <c r="J7875">
        <v>30</v>
      </c>
    </row>
    <row r="7876" spans="1:10" x14ac:dyDescent="0.25">
      <c r="A7876" t="s">
        <v>27</v>
      </c>
      <c r="B7876" t="s">
        <v>20</v>
      </c>
      <c r="C7876" t="s">
        <v>12</v>
      </c>
      <c r="D7876" t="s">
        <v>15</v>
      </c>
      <c r="E7876">
        <v>4.0396621373485096E-3</v>
      </c>
      <c r="F7876">
        <v>0.75018123515005497</v>
      </c>
      <c r="G7876">
        <v>112401.219862461</v>
      </c>
      <c r="H7876">
        <v>83</v>
      </c>
      <c r="I7876">
        <v>250</v>
      </c>
      <c r="J7876">
        <v>30</v>
      </c>
    </row>
    <row r="7877" spans="1:10" x14ac:dyDescent="0.25">
      <c r="A7877" t="s">
        <v>27</v>
      </c>
      <c r="B7877" t="s">
        <v>20</v>
      </c>
      <c r="C7877" t="s">
        <v>12</v>
      </c>
      <c r="D7877" t="s">
        <v>15</v>
      </c>
      <c r="E7877">
        <v>7.7120822622107899E-3</v>
      </c>
      <c r="F7877">
        <v>0.750319831629085</v>
      </c>
      <c r="G7877">
        <v>112640.44927191699</v>
      </c>
      <c r="H7877">
        <v>82</v>
      </c>
      <c r="I7877">
        <v>250</v>
      </c>
      <c r="J7877">
        <v>30</v>
      </c>
    </row>
    <row r="7878" spans="1:10" x14ac:dyDescent="0.25">
      <c r="A7878" t="s">
        <v>27</v>
      </c>
      <c r="B7878" t="s">
        <v>20</v>
      </c>
      <c r="C7878" t="s">
        <v>12</v>
      </c>
      <c r="D7878" t="s">
        <v>15</v>
      </c>
      <c r="E7878">
        <v>4.0396621373485096E-3</v>
      </c>
      <c r="F7878">
        <v>0.75019188395152403</v>
      </c>
      <c r="G7878">
        <v>117352.612753629</v>
      </c>
      <c r="H7878">
        <v>90</v>
      </c>
      <c r="I7878">
        <v>255</v>
      </c>
      <c r="J7878">
        <v>30</v>
      </c>
    </row>
    <row r="7879" spans="1:10" x14ac:dyDescent="0.25">
      <c r="A7879" t="s">
        <v>27</v>
      </c>
      <c r="B7879" t="s">
        <v>20</v>
      </c>
      <c r="C7879" t="s">
        <v>12</v>
      </c>
      <c r="D7879" t="s">
        <v>15</v>
      </c>
      <c r="E7879">
        <v>4.0396621373485096E-3</v>
      </c>
      <c r="F7879">
        <v>0.75014648737095102</v>
      </c>
      <c r="G7879">
        <v>117523.868340015</v>
      </c>
      <c r="H7879">
        <v>90</v>
      </c>
      <c r="I7879">
        <v>254</v>
      </c>
      <c r="J7879">
        <v>30</v>
      </c>
    </row>
    <row r="7880" spans="1:10" x14ac:dyDescent="0.25">
      <c r="A7880" t="s">
        <v>27</v>
      </c>
      <c r="B7880" t="s">
        <v>20</v>
      </c>
      <c r="C7880" t="s">
        <v>12</v>
      </c>
      <c r="D7880" t="s">
        <v>15</v>
      </c>
      <c r="E7880">
        <v>4.7741461623209596E-3</v>
      </c>
      <c r="F7880">
        <v>0.75020065556779203</v>
      </c>
      <c r="G7880">
        <v>119765.80450081801</v>
      </c>
      <c r="H7880">
        <v>93</v>
      </c>
      <c r="I7880">
        <v>276</v>
      </c>
      <c r="J7880">
        <v>30</v>
      </c>
    </row>
    <row r="7881" spans="1:10" x14ac:dyDescent="0.25">
      <c r="A7881" t="s">
        <v>27</v>
      </c>
      <c r="B7881" t="s">
        <v>20</v>
      </c>
      <c r="C7881" t="s">
        <v>12</v>
      </c>
      <c r="D7881" t="s">
        <v>15</v>
      </c>
      <c r="E7881">
        <v>5.50863018729342E-3</v>
      </c>
      <c r="F7881">
        <v>0.75022032082669798</v>
      </c>
      <c r="G7881">
        <v>123065.21038675299</v>
      </c>
      <c r="H7881">
        <v>97</v>
      </c>
      <c r="I7881">
        <v>277</v>
      </c>
      <c r="J7881">
        <v>30</v>
      </c>
    </row>
    <row r="7882" spans="1:10" x14ac:dyDescent="0.25">
      <c r="A7882" t="s">
        <v>27</v>
      </c>
      <c r="B7882" t="s">
        <v>20</v>
      </c>
      <c r="C7882" t="s">
        <v>12</v>
      </c>
      <c r="D7882" t="s">
        <v>15</v>
      </c>
      <c r="E7882">
        <v>7.7120822622107899E-3</v>
      </c>
      <c r="F7882">
        <v>0.75036354521156801</v>
      </c>
      <c r="G7882">
        <v>123073.686728954</v>
      </c>
      <c r="H7882">
        <v>98</v>
      </c>
      <c r="I7882">
        <v>259</v>
      </c>
      <c r="J7882">
        <v>30</v>
      </c>
    </row>
    <row r="7883" spans="1:10" x14ac:dyDescent="0.25">
      <c r="A7883" t="s">
        <v>27</v>
      </c>
      <c r="B7883" t="s">
        <v>20</v>
      </c>
      <c r="C7883" t="s">
        <v>12</v>
      </c>
      <c r="D7883" t="s">
        <v>15</v>
      </c>
      <c r="E7883">
        <v>7.7120822622107899E-3</v>
      </c>
      <c r="F7883">
        <v>0.75033174268575098</v>
      </c>
      <c r="G7883">
        <v>123116.554065227</v>
      </c>
      <c r="H7883">
        <v>98</v>
      </c>
      <c r="I7883">
        <v>254</v>
      </c>
      <c r="J7883">
        <v>30</v>
      </c>
    </row>
    <row r="7884" spans="1:10" x14ac:dyDescent="0.25">
      <c r="A7884" t="s">
        <v>27</v>
      </c>
      <c r="B7884" t="s">
        <v>20</v>
      </c>
      <c r="C7884" t="s">
        <v>12</v>
      </c>
      <c r="D7884" t="s">
        <v>15</v>
      </c>
      <c r="E7884">
        <v>3.3051781123760501E-3</v>
      </c>
      <c r="F7884">
        <v>0.75013771575468202</v>
      </c>
      <c r="G7884">
        <v>123978.549561023</v>
      </c>
      <c r="H7884">
        <v>87</v>
      </c>
      <c r="I7884">
        <v>267</v>
      </c>
      <c r="J7884">
        <v>30</v>
      </c>
    </row>
    <row r="7885" spans="1:10" x14ac:dyDescent="0.25">
      <c r="A7885" t="s">
        <v>27</v>
      </c>
      <c r="B7885" t="s">
        <v>20</v>
      </c>
      <c r="C7885" t="s">
        <v>12</v>
      </c>
      <c r="D7885" t="s">
        <v>15</v>
      </c>
      <c r="E7885">
        <v>6.9775982372383399E-3</v>
      </c>
      <c r="F7885">
        <v>0.75031215571061305</v>
      </c>
      <c r="G7885">
        <v>128532.20323324201</v>
      </c>
      <c r="H7885">
        <v>109</v>
      </c>
      <c r="I7885">
        <v>312</v>
      </c>
      <c r="J7885">
        <v>30</v>
      </c>
    </row>
    <row r="7886" spans="1:10" x14ac:dyDescent="0.25">
      <c r="A7886" t="s">
        <v>27</v>
      </c>
      <c r="B7886" t="s">
        <v>20</v>
      </c>
      <c r="C7886" t="s">
        <v>12</v>
      </c>
      <c r="D7886" t="s">
        <v>15</v>
      </c>
      <c r="E7886">
        <v>4.0396621373485096E-3</v>
      </c>
      <c r="F7886">
        <v>0.75017260374586803</v>
      </c>
      <c r="G7886">
        <v>128632.40238738</v>
      </c>
      <c r="H7886">
        <v>110</v>
      </c>
      <c r="I7886">
        <v>336</v>
      </c>
      <c r="J7886">
        <v>30</v>
      </c>
    </row>
    <row r="7887" spans="1:10" x14ac:dyDescent="0.25">
      <c r="A7887" t="s">
        <v>27</v>
      </c>
      <c r="B7887" t="s">
        <v>20</v>
      </c>
      <c r="C7887" t="s">
        <v>12</v>
      </c>
      <c r="D7887" t="s">
        <v>15</v>
      </c>
      <c r="E7887">
        <v>1.02827763496143E-2</v>
      </c>
      <c r="F7887">
        <v>0.75046081558329003</v>
      </c>
      <c r="G7887">
        <v>130440.47653889599</v>
      </c>
      <c r="H7887">
        <v>112</v>
      </c>
      <c r="I7887">
        <v>313</v>
      </c>
      <c r="J7887">
        <v>30</v>
      </c>
    </row>
    <row r="7888" spans="1:10" x14ac:dyDescent="0.25">
      <c r="A7888" t="s">
        <v>27</v>
      </c>
      <c r="B7888" t="s">
        <v>20</v>
      </c>
      <c r="C7888" t="s">
        <v>12</v>
      </c>
      <c r="D7888" t="s">
        <v>15</v>
      </c>
      <c r="E7888">
        <v>1.1384502387073E-2</v>
      </c>
      <c r="F7888">
        <v>0.75053520647161198</v>
      </c>
      <c r="G7888">
        <v>137466.98374724301</v>
      </c>
      <c r="H7888">
        <v>153</v>
      </c>
      <c r="I7888">
        <v>437</v>
      </c>
      <c r="J7888">
        <v>30</v>
      </c>
    </row>
    <row r="7889" spans="1:10" x14ac:dyDescent="0.25">
      <c r="A7889" t="s">
        <v>27</v>
      </c>
      <c r="B7889" t="s">
        <v>20</v>
      </c>
      <c r="C7889" t="s">
        <v>12</v>
      </c>
      <c r="D7889" t="s">
        <v>15</v>
      </c>
      <c r="E7889">
        <v>1.39551964744766E-2</v>
      </c>
      <c r="F7889">
        <v>0.750657314440764</v>
      </c>
      <c r="G7889">
        <v>155245.39888262699</v>
      </c>
      <c r="H7889">
        <v>237</v>
      </c>
      <c r="I7889">
        <v>680</v>
      </c>
      <c r="J7889">
        <v>30</v>
      </c>
    </row>
    <row r="7890" spans="1:10" x14ac:dyDescent="0.25">
      <c r="A7890" t="s">
        <v>27</v>
      </c>
      <c r="B7890" t="s">
        <v>20</v>
      </c>
      <c r="C7890" t="s">
        <v>12</v>
      </c>
      <c r="D7890" t="s">
        <v>15</v>
      </c>
      <c r="E7890">
        <v>1.50569225119353E-2</v>
      </c>
      <c r="F7890">
        <v>0.75070408903576902</v>
      </c>
      <c r="G7890">
        <v>156174.459290742</v>
      </c>
      <c r="H7890">
        <v>252</v>
      </c>
      <c r="I7890">
        <v>694</v>
      </c>
      <c r="J7890">
        <v>30</v>
      </c>
    </row>
    <row r="7891" spans="1:10" x14ac:dyDescent="0.25">
      <c r="A7891" t="s">
        <v>27</v>
      </c>
      <c r="B7891" t="s">
        <v>20</v>
      </c>
      <c r="C7891" t="s">
        <v>12</v>
      </c>
      <c r="D7891" t="s">
        <v>15</v>
      </c>
      <c r="E7891">
        <v>2.2034520749173701E-2</v>
      </c>
      <c r="F7891">
        <v>0.75102968908879897</v>
      </c>
      <c r="G7891">
        <v>160346.75420904101</v>
      </c>
      <c r="H7891">
        <v>319</v>
      </c>
      <c r="I7891">
        <v>824</v>
      </c>
      <c r="J7891">
        <v>30</v>
      </c>
    </row>
    <row r="7892" spans="1:10" x14ac:dyDescent="0.25">
      <c r="A7892" t="s">
        <v>27</v>
      </c>
      <c r="B7892" t="s">
        <v>20</v>
      </c>
      <c r="C7892" t="s">
        <v>12</v>
      </c>
      <c r="D7892" t="s">
        <v>16</v>
      </c>
      <c r="E7892">
        <v>0</v>
      </c>
      <c r="F7892">
        <v>0.75</v>
      </c>
      <c r="G7892">
        <v>10.607810020446699</v>
      </c>
      <c r="H7892">
        <v>0</v>
      </c>
      <c r="I7892">
        <v>0</v>
      </c>
      <c r="J7892">
        <v>30</v>
      </c>
    </row>
    <row r="7893" spans="1:10" x14ac:dyDescent="0.25">
      <c r="A7893" t="s">
        <v>27</v>
      </c>
      <c r="B7893" t="s">
        <v>20</v>
      </c>
      <c r="C7893" t="s">
        <v>12</v>
      </c>
      <c r="D7893" t="s">
        <v>16</v>
      </c>
      <c r="E7893">
        <v>0</v>
      </c>
      <c r="F7893">
        <v>0.75</v>
      </c>
      <c r="G7893">
        <v>10.534380197525</v>
      </c>
      <c r="H7893">
        <v>0</v>
      </c>
      <c r="I7893">
        <v>0</v>
      </c>
      <c r="J7893">
        <v>30</v>
      </c>
    </row>
    <row r="7894" spans="1:10" x14ac:dyDescent="0.25">
      <c r="A7894" t="s">
        <v>27</v>
      </c>
      <c r="B7894" t="s">
        <v>20</v>
      </c>
      <c r="C7894" t="s">
        <v>12</v>
      </c>
      <c r="D7894" t="s">
        <v>16</v>
      </c>
      <c r="E7894">
        <v>0</v>
      </c>
      <c r="F7894">
        <v>0.75</v>
      </c>
      <c r="G7894">
        <v>44.858967304229701</v>
      </c>
      <c r="H7894">
        <v>0</v>
      </c>
      <c r="I7894">
        <v>0</v>
      </c>
      <c r="J7894">
        <v>30</v>
      </c>
    </row>
    <row r="7895" spans="1:10" x14ac:dyDescent="0.25">
      <c r="A7895" t="s">
        <v>27</v>
      </c>
      <c r="B7895" t="s">
        <v>20</v>
      </c>
      <c r="C7895" t="s">
        <v>12</v>
      </c>
      <c r="D7895" t="s">
        <v>16</v>
      </c>
      <c r="E7895">
        <v>0</v>
      </c>
      <c r="F7895">
        <v>0.75</v>
      </c>
      <c r="G7895">
        <v>45.569285392761202</v>
      </c>
      <c r="H7895">
        <v>0</v>
      </c>
      <c r="I7895">
        <v>0</v>
      </c>
      <c r="J7895">
        <v>30</v>
      </c>
    </row>
    <row r="7896" spans="1:10" x14ac:dyDescent="0.25">
      <c r="A7896" t="s">
        <v>27</v>
      </c>
      <c r="B7896" t="s">
        <v>20</v>
      </c>
      <c r="C7896" t="s">
        <v>12</v>
      </c>
      <c r="D7896" t="s">
        <v>16</v>
      </c>
      <c r="E7896">
        <v>0</v>
      </c>
      <c r="F7896">
        <v>0.75</v>
      </c>
      <c r="G7896">
        <v>45.800974607467602</v>
      </c>
      <c r="H7896">
        <v>0</v>
      </c>
      <c r="I7896">
        <v>0</v>
      </c>
      <c r="J7896">
        <v>30</v>
      </c>
    </row>
    <row r="7897" spans="1:10" x14ac:dyDescent="0.25">
      <c r="A7897" t="s">
        <v>27</v>
      </c>
      <c r="B7897" t="s">
        <v>20</v>
      </c>
      <c r="C7897" t="s">
        <v>12</v>
      </c>
      <c r="D7897" t="s">
        <v>16</v>
      </c>
      <c r="E7897">
        <v>0</v>
      </c>
      <c r="F7897">
        <v>0.75</v>
      </c>
      <c r="G7897">
        <v>46.0458531379699</v>
      </c>
      <c r="H7897">
        <v>0</v>
      </c>
      <c r="I7897">
        <v>0</v>
      </c>
      <c r="J7897">
        <v>30</v>
      </c>
    </row>
    <row r="7898" spans="1:10" x14ac:dyDescent="0.25">
      <c r="A7898" t="s">
        <v>27</v>
      </c>
      <c r="B7898" t="s">
        <v>20</v>
      </c>
      <c r="C7898" t="s">
        <v>12</v>
      </c>
      <c r="D7898" t="s">
        <v>16</v>
      </c>
      <c r="E7898">
        <v>0</v>
      </c>
      <c r="F7898">
        <v>0.75</v>
      </c>
      <c r="G7898">
        <v>46.712976932525599</v>
      </c>
      <c r="H7898">
        <v>0</v>
      </c>
      <c r="I7898">
        <v>0</v>
      </c>
      <c r="J7898">
        <v>30</v>
      </c>
    </row>
    <row r="7899" spans="1:10" x14ac:dyDescent="0.25">
      <c r="A7899" t="s">
        <v>27</v>
      </c>
      <c r="B7899" t="s">
        <v>20</v>
      </c>
      <c r="C7899" t="s">
        <v>12</v>
      </c>
      <c r="D7899" t="s">
        <v>16</v>
      </c>
      <c r="E7899">
        <v>0</v>
      </c>
      <c r="F7899">
        <v>0.75</v>
      </c>
      <c r="G7899">
        <v>46.6655209064483</v>
      </c>
      <c r="H7899">
        <v>0</v>
      </c>
      <c r="I7899">
        <v>0</v>
      </c>
      <c r="J7899">
        <v>30</v>
      </c>
    </row>
    <row r="7900" spans="1:10" x14ac:dyDescent="0.25">
      <c r="A7900" t="s">
        <v>27</v>
      </c>
      <c r="B7900" t="s">
        <v>20</v>
      </c>
      <c r="C7900" t="s">
        <v>12</v>
      </c>
      <c r="D7900" t="s">
        <v>16</v>
      </c>
      <c r="E7900">
        <v>0</v>
      </c>
      <c r="F7900">
        <v>0.75</v>
      </c>
      <c r="G7900">
        <v>46.838741064071598</v>
      </c>
      <c r="H7900">
        <v>0</v>
      </c>
      <c r="I7900">
        <v>0</v>
      </c>
      <c r="J7900">
        <v>30</v>
      </c>
    </row>
    <row r="7901" spans="1:10" x14ac:dyDescent="0.25">
      <c r="A7901" t="s">
        <v>27</v>
      </c>
      <c r="B7901" t="s">
        <v>20</v>
      </c>
      <c r="C7901" t="s">
        <v>12</v>
      </c>
      <c r="D7901" t="s">
        <v>16</v>
      </c>
      <c r="E7901">
        <v>0</v>
      </c>
      <c r="F7901">
        <v>0.75</v>
      </c>
      <c r="G7901">
        <v>47.093768358230498</v>
      </c>
      <c r="H7901">
        <v>0</v>
      </c>
      <c r="I7901">
        <v>0</v>
      </c>
      <c r="J7901">
        <v>30</v>
      </c>
    </row>
    <row r="7902" spans="1:10" x14ac:dyDescent="0.25">
      <c r="A7902" t="s">
        <v>27</v>
      </c>
      <c r="B7902" t="s">
        <v>20</v>
      </c>
      <c r="C7902" t="s">
        <v>12</v>
      </c>
      <c r="D7902" t="s">
        <v>16</v>
      </c>
      <c r="E7902">
        <v>0</v>
      </c>
      <c r="F7902">
        <v>0.75</v>
      </c>
      <c r="G7902">
        <v>47.143489837646399</v>
      </c>
      <c r="H7902">
        <v>0</v>
      </c>
      <c r="I7902">
        <v>0</v>
      </c>
      <c r="J7902">
        <v>30</v>
      </c>
    </row>
    <row r="7903" spans="1:10" x14ac:dyDescent="0.25">
      <c r="A7903" t="s">
        <v>27</v>
      </c>
      <c r="B7903" t="s">
        <v>20</v>
      </c>
      <c r="C7903" t="s">
        <v>12</v>
      </c>
      <c r="D7903" t="s">
        <v>16</v>
      </c>
      <c r="E7903">
        <v>0</v>
      </c>
      <c r="F7903">
        <v>0.75</v>
      </c>
      <c r="G7903">
        <v>47.200549125671301</v>
      </c>
      <c r="H7903">
        <v>0</v>
      </c>
      <c r="I7903">
        <v>0</v>
      </c>
      <c r="J7903">
        <v>30</v>
      </c>
    </row>
    <row r="7904" spans="1:10" x14ac:dyDescent="0.25">
      <c r="A7904" t="s">
        <v>27</v>
      </c>
      <c r="B7904" t="s">
        <v>20</v>
      </c>
      <c r="C7904" t="s">
        <v>12</v>
      </c>
      <c r="D7904" t="s">
        <v>16</v>
      </c>
      <c r="E7904">
        <v>0</v>
      </c>
      <c r="F7904">
        <v>0.75</v>
      </c>
      <c r="G7904">
        <v>47.229104995727504</v>
      </c>
      <c r="H7904">
        <v>0</v>
      </c>
      <c r="I7904">
        <v>0</v>
      </c>
      <c r="J7904">
        <v>30</v>
      </c>
    </row>
    <row r="7905" spans="1:10" x14ac:dyDescent="0.25">
      <c r="A7905" t="s">
        <v>27</v>
      </c>
      <c r="B7905" t="s">
        <v>20</v>
      </c>
      <c r="C7905" t="s">
        <v>12</v>
      </c>
      <c r="D7905" t="s">
        <v>16</v>
      </c>
      <c r="E7905">
        <v>0</v>
      </c>
      <c r="F7905">
        <v>0.75</v>
      </c>
      <c r="G7905">
        <v>47.318932533264103</v>
      </c>
      <c r="H7905">
        <v>0</v>
      </c>
      <c r="I7905">
        <v>0</v>
      </c>
      <c r="J7905">
        <v>30</v>
      </c>
    </row>
    <row r="7906" spans="1:10" x14ac:dyDescent="0.25">
      <c r="A7906" t="s">
        <v>27</v>
      </c>
      <c r="B7906" t="s">
        <v>20</v>
      </c>
      <c r="C7906" t="s">
        <v>12</v>
      </c>
      <c r="D7906" t="s">
        <v>16</v>
      </c>
      <c r="E7906">
        <v>0</v>
      </c>
      <c r="F7906">
        <v>0.75</v>
      </c>
      <c r="G7906">
        <v>47.594890832901001</v>
      </c>
      <c r="H7906">
        <v>0</v>
      </c>
      <c r="I7906">
        <v>0</v>
      </c>
      <c r="J7906">
        <v>30</v>
      </c>
    </row>
    <row r="7907" spans="1:10" x14ac:dyDescent="0.25">
      <c r="A7907" t="s">
        <v>27</v>
      </c>
      <c r="B7907" t="s">
        <v>20</v>
      </c>
      <c r="C7907" t="s">
        <v>12</v>
      </c>
      <c r="D7907" t="s">
        <v>16</v>
      </c>
      <c r="E7907">
        <v>0</v>
      </c>
      <c r="F7907">
        <v>0.75</v>
      </c>
      <c r="G7907">
        <v>47.742734432220402</v>
      </c>
      <c r="H7907">
        <v>0</v>
      </c>
      <c r="I7907">
        <v>0</v>
      </c>
      <c r="J7907">
        <v>30</v>
      </c>
    </row>
    <row r="7908" spans="1:10" x14ac:dyDescent="0.25">
      <c r="A7908" t="s">
        <v>27</v>
      </c>
      <c r="B7908" t="s">
        <v>20</v>
      </c>
      <c r="C7908" t="s">
        <v>12</v>
      </c>
      <c r="D7908" t="s">
        <v>16</v>
      </c>
      <c r="E7908">
        <v>0</v>
      </c>
      <c r="F7908">
        <v>0.75</v>
      </c>
      <c r="G7908">
        <v>47.832481861114502</v>
      </c>
      <c r="H7908">
        <v>0</v>
      </c>
      <c r="I7908">
        <v>0</v>
      </c>
      <c r="J7908">
        <v>30</v>
      </c>
    </row>
    <row r="7909" spans="1:10" x14ac:dyDescent="0.25">
      <c r="A7909" t="s">
        <v>27</v>
      </c>
      <c r="B7909" t="s">
        <v>20</v>
      </c>
      <c r="C7909" t="s">
        <v>12</v>
      </c>
      <c r="D7909" t="s">
        <v>16</v>
      </c>
      <c r="E7909">
        <v>0</v>
      </c>
      <c r="F7909">
        <v>0.75</v>
      </c>
      <c r="G7909">
        <v>48.147487401962202</v>
      </c>
      <c r="H7909">
        <v>0</v>
      </c>
      <c r="I7909">
        <v>0</v>
      </c>
      <c r="J7909">
        <v>30</v>
      </c>
    </row>
    <row r="7910" spans="1:10" x14ac:dyDescent="0.25">
      <c r="A7910" t="s">
        <v>27</v>
      </c>
      <c r="B7910" t="s">
        <v>20</v>
      </c>
      <c r="C7910" t="s">
        <v>12</v>
      </c>
      <c r="D7910" t="s">
        <v>16</v>
      </c>
      <c r="E7910">
        <v>0</v>
      </c>
      <c r="F7910">
        <v>0.75</v>
      </c>
      <c r="G7910">
        <v>48.253612279891897</v>
      </c>
      <c r="H7910">
        <v>0</v>
      </c>
      <c r="I7910">
        <v>0</v>
      </c>
      <c r="J7910">
        <v>30</v>
      </c>
    </row>
    <row r="7911" spans="1:10" x14ac:dyDescent="0.25">
      <c r="A7911" t="s">
        <v>27</v>
      </c>
      <c r="B7911" t="s">
        <v>20</v>
      </c>
      <c r="C7911" t="s">
        <v>12</v>
      </c>
      <c r="D7911" t="s">
        <v>16</v>
      </c>
      <c r="E7911">
        <v>0</v>
      </c>
      <c r="F7911">
        <v>0.75</v>
      </c>
      <c r="G7911">
        <v>48.333777904510498</v>
      </c>
      <c r="H7911">
        <v>0</v>
      </c>
      <c r="I7911">
        <v>0</v>
      </c>
      <c r="J7911">
        <v>30</v>
      </c>
    </row>
    <row r="7912" spans="1:10" x14ac:dyDescent="0.25">
      <c r="A7912" t="s">
        <v>27</v>
      </c>
      <c r="B7912" t="s">
        <v>20</v>
      </c>
      <c r="C7912" t="s">
        <v>12</v>
      </c>
      <c r="D7912" t="s">
        <v>16</v>
      </c>
      <c r="E7912">
        <v>0</v>
      </c>
      <c r="F7912">
        <v>0.75</v>
      </c>
      <c r="G7912">
        <v>48.575019359588602</v>
      </c>
      <c r="H7912">
        <v>0</v>
      </c>
      <c r="I7912">
        <v>0</v>
      </c>
      <c r="J7912">
        <v>30</v>
      </c>
    </row>
    <row r="7913" spans="1:10" x14ac:dyDescent="0.25">
      <c r="A7913" t="s">
        <v>27</v>
      </c>
      <c r="B7913" t="s">
        <v>20</v>
      </c>
      <c r="C7913" t="s">
        <v>12</v>
      </c>
      <c r="D7913" t="s">
        <v>16</v>
      </c>
      <c r="E7913">
        <v>0</v>
      </c>
      <c r="F7913">
        <v>0.75</v>
      </c>
      <c r="G7913">
        <v>48.5965189933776</v>
      </c>
      <c r="H7913">
        <v>0</v>
      </c>
      <c r="I7913">
        <v>0</v>
      </c>
      <c r="J7913">
        <v>30</v>
      </c>
    </row>
    <row r="7914" spans="1:10" x14ac:dyDescent="0.25">
      <c r="A7914" t="s">
        <v>27</v>
      </c>
      <c r="B7914" t="s">
        <v>20</v>
      </c>
      <c r="C7914" t="s">
        <v>12</v>
      </c>
      <c r="D7914" t="s">
        <v>16</v>
      </c>
      <c r="E7914">
        <v>0</v>
      </c>
      <c r="F7914">
        <v>0.75</v>
      </c>
      <c r="G7914">
        <v>48.674753904342602</v>
      </c>
      <c r="H7914">
        <v>0</v>
      </c>
      <c r="I7914">
        <v>0</v>
      </c>
      <c r="J7914">
        <v>30</v>
      </c>
    </row>
    <row r="7915" spans="1:10" x14ac:dyDescent="0.25">
      <c r="A7915" t="s">
        <v>27</v>
      </c>
      <c r="B7915" t="s">
        <v>20</v>
      </c>
      <c r="C7915" t="s">
        <v>12</v>
      </c>
      <c r="D7915" t="s">
        <v>16</v>
      </c>
      <c r="E7915">
        <v>0</v>
      </c>
      <c r="F7915">
        <v>0.75</v>
      </c>
      <c r="G7915">
        <v>48.631120443344102</v>
      </c>
      <c r="H7915">
        <v>0</v>
      </c>
      <c r="I7915">
        <v>0</v>
      </c>
      <c r="J7915">
        <v>30</v>
      </c>
    </row>
    <row r="7916" spans="1:10" x14ac:dyDescent="0.25">
      <c r="A7916" t="s">
        <v>27</v>
      </c>
      <c r="B7916" t="s">
        <v>20</v>
      </c>
      <c r="C7916" t="s">
        <v>12</v>
      </c>
      <c r="D7916" t="s">
        <v>16</v>
      </c>
      <c r="E7916">
        <v>0</v>
      </c>
      <c r="F7916">
        <v>0.75</v>
      </c>
      <c r="G7916">
        <v>49.207804918289099</v>
      </c>
      <c r="H7916">
        <v>0</v>
      </c>
      <c r="I7916">
        <v>0</v>
      </c>
      <c r="J7916">
        <v>30</v>
      </c>
    </row>
    <row r="7917" spans="1:10" x14ac:dyDescent="0.25">
      <c r="A7917" t="s">
        <v>27</v>
      </c>
      <c r="B7917" t="s">
        <v>20</v>
      </c>
      <c r="C7917" t="s">
        <v>12</v>
      </c>
      <c r="D7917" t="s">
        <v>16</v>
      </c>
      <c r="E7917">
        <v>0</v>
      </c>
      <c r="F7917">
        <v>0.75</v>
      </c>
      <c r="G7917">
        <v>49.271495342254603</v>
      </c>
      <c r="H7917">
        <v>0</v>
      </c>
      <c r="I7917">
        <v>0</v>
      </c>
      <c r="J7917">
        <v>30</v>
      </c>
    </row>
    <row r="7918" spans="1:10" x14ac:dyDescent="0.25">
      <c r="A7918" t="s">
        <v>27</v>
      </c>
      <c r="B7918" t="s">
        <v>20</v>
      </c>
      <c r="C7918" t="s">
        <v>12</v>
      </c>
      <c r="D7918" t="s">
        <v>16</v>
      </c>
      <c r="E7918">
        <v>0</v>
      </c>
      <c r="F7918">
        <v>0.75</v>
      </c>
      <c r="G7918">
        <v>49.292176961898797</v>
      </c>
      <c r="H7918">
        <v>0</v>
      </c>
      <c r="I7918">
        <v>0</v>
      </c>
      <c r="J7918">
        <v>30</v>
      </c>
    </row>
    <row r="7919" spans="1:10" x14ac:dyDescent="0.25">
      <c r="A7919" t="s">
        <v>27</v>
      </c>
      <c r="B7919" t="s">
        <v>20</v>
      </c>
      <c r="C7919" t="s">
        <v>12</v>
      </c>
      <c r="D7919" t="s">
        <v>16</v>
      </c>
      <c r="E7919">
        <v>0</v>
      </c>
      <c r="F7919">
        <v>0.75</v>
      </c>
      <c r="G7919">
        <v>49.910835027694702</v>
      </c>
      <c r="H7919">
        <v>0</v>
      </c>
      <c r="I7919">
        <v>0</v>
      </c>
      <c r="J7919">
        <v>30</v>
      </c>
    </row>
    <row r="7920" spans="1:10" x14ac:dyDescent="0.25">
      <c r="A7920" t="s">
        <v>27</v>
      </c>
      <c r="B7920" t="s">
        <v>20</v>
      </c>
      <c r="C7920" t="s">
        <v>12</v>
      </c>
      <c r="D7920" t="s">
        <v>16</v>
      </c>
      <c r="E7920">
        <v>0</v>
      </c>
      <c r="F7920">
        <v>0.75</v>
      </c>
      <c r="G7920">
        <v>50.7727177143096</v>
      </c>
      <c r="H7920">
        <v>0</v>
      </c>
      <c r="I7920">
        <v>0</v>
      </c>
      <c r="J7920">
        <v>30</v>
      </c>
    </row>
    <row r="7921" spans="1:10" x14ac:dyDescent="0.25">
      <c r="A7921" t="s">
        <v>27</v>
      </c>
      <c r="B7921" t="s">
        <v>20</v>
      </c>
      <c r="C7921" t="s">
        <v>12</v>
      </c>
      <c r="D7921" t="s">
        <v>16</v>
      </c>
      <c r="E7921">
        <v>0</v>
      </c>
      <c r="F7921">
        <v>0.75</v>
      </c>
      <c r="G7921">
        <v>50.993586063385003</v>
      </c>
      <c r="H7921">
        <v>0</v>
      </c>
      <c r="I7921">
        <v>0</v>
      </c>
      <c r="J7921">
        <v>30</v>
      </c>
    </row>
    <row r="7922" spans="1:10" x14ac:dyDescent="0.25">
      <c r="A7922" t="s">
        <v>27</v>
      </c>
      <c r="B7922" t="s">
        <v>20</v>
      </c>
      <c r="C7922" t="s">
        <v>12</v>
      </c>
      <c r="D7922" t="s">
        <v>17</v>
      </c>
      <c r="E7922">
        <v>0.24311421226588301</v>
      </c>
      <c r="F7922">
        <v>0.79966367858615395</v>
      </c>
      <c r="G7922">
        <v>96059.046858072194</v>
      </c>
      <c r="H7922">
        <v>657</v>
      </c>
      <c r="I7922">
        <v>663</v>
      </c>
      <c r="J7922">
        <v>30</v>
      </c>
    </row>
    <row r="7923" spans="1:10" x14ac:dyDescent="0.25">
      <c r="A7923" t="s">
        <v>27</v>
      </c>
      <c r="B7923" t="s">
        <v>20</v>
      </c>
      <c r="C7923" t="s">
        <v>12</v>
      </c>
      <c r="D7923" t="s">
        <v>17</v>
      </c>
      <c r="E7923">
        <v>0.21667278736687401</v>
      </c>
      <c r="F7923">
        <v>0.79270635534946698</v>
      </c>
      <c r="G7923">
        <v>97020.505065441102</v>
      </c>
      <c r="H7923">
        <v>539</v>
      </c>
      <c r="I7923">
        <v>547</v>
      </c>
      <c r="J7923">
        <v>30</v>
      </c>
    </row>
    <row r="7924" spans="1:10" x14ac:dyDescent="0.25">
      <c r="A7924" t="s">
        <v>27</v>
      </c>
      <c r="B7924" t="s">
        <v>20</v>
      </c>
      <c r="C7924" t="s">
        <v>12</v>
      </c>
      <c r="D7924" t="s">
        <v>17</v>
      </c>
      <c r="E7924">
        <v>0.268453911127433</v>
      </c>
      <c r="F7924">
        <v>0.80334573877014404</v>
      </c>
      <c r="G7924">
        <v>108488.354717731</v>
      </c>
      <c r="H7924">
        <v>636</v>
      </c>
      <c r="I7924">
        <v>661</v>
      </c>
      <c r="J7924">
        <v>30</v>
      </c>
    </row>
    <row r="7925" spans="1:10" x14ac:dyDescent="0.25">
      <c r="A7925" t="s">
        <v>27</v>
      </c>
      <c r="B7925" t="s">
        <v>20</v>
      </c>
      <c r="C7925" t="s">
        <v>12</v>
      </c>
      <c r="D7925" t="s">
        <v>17</v>
      </c>
      <c r="E7925">
        <v>0.23319867792875501</v>
      </c>
      <c r="F7925">
        <v>0.79505546729625398</v>
      </c>
      <c r="G7925">
        <v>108633.1787436</v>
      </c>
      <c r="H7925">
        <v>600</v>
      </c>
      <c r="I7925">
        <v>610</v>
      </c>
      <c r="J7925">
        <v>30</v>
      </c>
    </row>
    <row r="7926" spans="1:10" x14ac:dyDescent="0.25">
      <c r="A7926" t="s">
        <v>27</v>
      </c>
      <c r="B7926" t="s">
        <v>20</v>
      </c>
      <c r="C7926" t="s">
        <v>12</v>
      </c>
      <c r="D7926" t="s">
        <v>17</v>
      </c>
      <c r="E7926">
        <v>0.23980903415350699</v>
      </c>
      <c r="F7926">
        <v>0.80006222737910304</v>
      </c>
      <c r="G7926">
        <v>109892.918988943</v>
      </c>
      <c r="H7926">
        <v>654</v>
      </c>
      <c r="I7926">
        <v>662</v>
      </c>
      <c r="J7926">
        <v>30</v>
      </c>
    </row>
    <row r="7927" spans="1:10" x14ac:dyDescent="0.25">
      <c r="A7927" t="s">
        <v>27</v>
      </c>
      <c r="B7927" t="s">
        <v>20</v>
      </c>
      <c r="C7927" t="s">
        <v>12</v>
      </c>
      <c r="D7927" t="s">
        <v>17</v>
      </c>
      <c r="E7927">
        <v>0.20785897906720499</v>
      </c>
      <c r="F7927">
        <v>0.79259952474245299</v>
      </c>
      <c r="G7927">
        <v>112644.716902256</v>
      </c>
      <c r="H7927">
        <v>651</v>
      </c>
      <c r="I7927">
        <v>674</v>
      </c>
      <c r="J7927">
        <v>30</v>
      </c>
    </row>
    <row r="7928" spans="1:10" x14ac:dyDescent="0.25">
      <c r="A7928" t="s">
        <v>27</v>
      </c>
      <c r="B7928" t="s">
        <v>20</v>
      </c>
      <c r="C7928" t="s">
        <v>12</v>
      </c>
      <c r="D7928" t="s">
        <v>17</v>
      </c>
      <c r="E7928">
        <v>0.23870730811604801</v>
      </c>
      <c r="F7928">
        <v>0.79800970143231698</v>
      </c>
      <c r="G7928">
        <v>114855.18842411001</v>
      </c>
      <c r="H7928">
        <v>661</v>
      </c>
      <c r="I7928">
        <v>652</v>
      </c>
      <c r="J7928">
        <v>30</v>
      </c>
    </row>
    <row r="7929" spans="1:10" x14ac:dyDescent="0.25">
      <c r="A7929" t="s">
        <v>27</v>
      </c>
      <c r="B7929" t="s">
        <v>20</v>
      </c>
      <c r="C7929" t="s">
        <v>12</v>
      </c>
      <c r="D7929" t="s">
        <v>17</v>
      </c>
      <c r="E7929">
        <v>0.20785897906720499</v>
      </c>
      <c r="F7929">
        <v>0.78798865664887996</v>
      </c>
      <c r="G7929">
        <v>117082.705509662</v>
      </c>
      <c r="H7929">
        <v>584</v>
      </c>
      <c r="I7929">
        <v>591</v>
      </c>
      <c r="J7929">
        <v>30</v>
      </c>
    </row>
    <row r="7930" spans="1:10" x14ac:dyDescent="0.25">
      <c r="A7930" t="s">
        <v>27</v>
      </c>
      <c r="B7930" t="s">
        <v>20</v>
      </c>
      <c r="C7930" t="s">
        <v>12</v>
      </c>
      <c r="D7930" t="s">
        <v>17</v>
      </c>
      <c r="E7930">
        <v>0.237238340066103</v>
      </c>
      <c r="F7930">
        <v>0.79862135974752102</v>
      </c>
      <c r="G7930">
        <v>118669.907589674</v>
      </c>
      <c r="H7930">
        <v>668</v>
      </c>
      <c r="I7930">
        <v>623</v>
      </c>
      <c r="J7930">
        <v>30</v>
      </c>
    </row>
    <row r="7931" spans="1:10" x14ac:dyDescent="0.25">
      <c r="A7931" t="s">
        <v>27</v>
      </c>
      <c r="B7931" t="s">
        <v>20</v>
      </c>
      <c r="C7931" t="s">
        <v>12</v>
      </c>
      <c r="D7931" t="s">
        <v>17</v>
      </c>
      <c r="E7931">
        <v>0.236136614028644</v>
      </c>
      <c r="F7931">
        <v>0.795469999321887</v>
      </c>
      <c r="G7931">
        <v>118708.638493299</v>
      </c>
      <c r="H7931">
        <v>647</v>
      </c>
      <c r="I7931">
        <v>632</v>
      </c>
      <c r="J7931">
        <v>30</v>
      </c>
    </row>
    <row r="7932" spans="1:10" x14ac:dyDescent="0.25">
      <c r="A7932" t="s">
        <v>27</v>
      </c>
      <c r="B7932" t="s">
        <v>20</v>
      </c>
      <c r="C7932" t="s">
        <v>12</v>
      </c>
      <c r="D7932" t="s">
        <v>17</v>
      </c>
      <c r="E7932">
        <v>0.23540213000367199</v>
      </c>
      <c r="F7932">
        <v>0.79496874030796905</v>
      </c>
      <c r="G7932">
        <v>119197.14324975001</v>
      </c>
      <c r="H7932">
        <v>628</v>
      </c>
      <c r="I7932">
        <v>652</v>
      </c>
      <c r="J7932">
        <v>30</v>
      </c>
    </row>
    <row r="7933" spans="1:10" x14ac:dyDescent="0.25">
      <c r="A7933" t="s">
        <v>27</v>
      </c>
      <c r="B7933" t="s">
        <v>20</v>
      </c>
      <c r="C7933" t="s">
        <v>12</v>
      </c>
      <c r="D7933" t="s">
        <v>17</v>
      </c>
      <c r="E7933">
        <v>0.26404700697759798</v>
      </c>
      <c r="F7933">
        <v>0.80273637658630104</v>
      </c>
      <c r="G7933">
        <v>122193.955945491</v>
      </c>
      <c r="H7933">
        <v>775</v>
      </c>
      <c r="I7933">
        <v>760</v>
      </c>
      <c r="J7933">
        <v>30</v>
      </c>
    </row>
    <row r="7934" spans="1:10" x14ac:dyDescent="0.25">
      <c r="A7934" t="s">
        <v>27</v>
      </c>
      <c r="B7934" t="s">
        <v>20</v>
      </c>
      <c r="C7934" t="s">
        <v>12</v>
      </c>
      <c r="D7934" t="s">
        <v>17</v>
      </c>
      <c r="E7934">
        <v>0.25156077855306602</v>
      </c>
      <c r="F7934">
        <v>0.79955112267499096</v>
      </c>
      <c r="G7934">
        <v>123742.21732687901</v>
      </c>
      <c r="H7934">
        <v>680</v>
      </c>
      <c r="I7934">
        <v>705</v>
      </c>
      <c r="J7934">
        <v>30</v>
      </c>
    </row>
    <row r="7935" spans="1:10" x14ac:dyDescent="0.25">
      <c r="A7935" t="s">
        <v>27</v>
      </c>
      <c r="B7935" t="s">
        <v>20</v>
      </c>
      <c r="C7935" t="s">
        <v>12</v>
      </c>
      <c r="D7935" t="s">
        <v>17</v>
      </c>
      <c r="E7935">
        <v>0.23319867792875501</v>
      </c>
      <c r="F7935">
        <v>0.79621176126889504</v>
      </c>
      <c r="G7935">
        <v>124512.23513507799</v>
      </c>
      <c r="H7935">
        <v>654</v>
      </c>
      <c r="I7935">
        <v>662</v>
      </c>
      <c r="J7935">
        <v>30</v>
      </c>
    </row>
    <row r="7936" spans="1:10" x14ac:dyDescent="0.25">
      <c r="A7936" t="s">
        <v>27</v>
      </c>
      <c r="B7936" t="s">
        <v>20</v>
      </c>
      <c r="C7936" t="s">
        <v>12</v>
      </c>
      <c r="D7936" t="s">
        <v>17</v>
      </c>
      <c r="E7936">
        <v>0.247521116415717</v>
      </c>
      <c r="F7936">
        <v>0.79971145726735204</v>
      </c>
      <c r="G7936">
        <v>124580.46164917899</v>
      </c>
      <c r="H7936">
        <v>700</v>
      </c>
      <c r="I7936">
        <v>704</v>
      </c>
      <c r="J7936">
        <v>30</v>
      </c>
    </row>
    <row r="7937" spans="1:10" x14ac:dyDescent="0.25">
      <c r="A7937" t="s">
        <v>27</v>
      </c>
      <c r="B7937" t="s">
        <v>20</v>
      </c>
      <c r="C7937" t="s">
        <v>12</v>
      </c>
      <c r="D7937" t="s">
        <v>17</v>
      </c>
      <c r="E7937">
        <v>0.23797282409107601</v>
      </c>
      <c r="F7937">
        <v>0.79714058070907101</v>
      </c>
      <c r="G7937">
        <v>125432.42754554701</v>
      </c>
      <c r="H7937">
        <v>714</v>
      </c>
      <c r="I7937">
        <v>723</v>
      </c>
      <c r="J7937">
        <v>30</v>
      </c>
    </row>
    <row r="7938" spans="1:10" x14ac:dyDescent="0.25">
      <c r="A7938" t="s">
        <v>27</v>
      </c>
      <c r="B7938" t="s">
        <v>20</v>
      </c>
      <c r="C7938" t="s">
        <v>12</v>
      </c>
      <c r="D7938" t="s">
        <v>17</v>
      </c>
      <c r="E7938">
        <v>0.23393316195372699</v>
      </c>
      <c r="F7938">
        <v>0.79811088565559996</v>
      </c>
      <c r="G7938">
        <v>126058.502147197</v>
      </c>
      <c r="H7938">
        <v>717</v>
      </c>
      <c r="I7938">
        <v>719</v>
      </c>
      <c r="J7938">
        <v>30</v>
      </c>
    </row>
    <row r="7939" spans="1:10" x14ac:dyDescent="0.25">
      <c r="A7939" t="s">
        <v>27</v>
      </c>
      <c r="B7939" t="s">
        <v>20</v>
      </c>
      <c r="C7939" t="s">
        <v>12</v>
      </c>
      <c r="D7939" t="s">
        <v>17</v>
      </c>
      <c r="E7939">
        <v>0.24568490635328599</v>
      </c>
      <c r="F7939">
        <v>0.79789960983250197</v>
      </c>
      <c r="G7939">
        <v>126881.782813549</v>
      </c>
      <c r="H7939">
        <v>734</v>
      </c>
      <c r="I7939">
        <v>699</v>
      </c>
      <c r="J7939">
        <v>30</v>
      </c>
    </row>
    <row r="7940" spans="1:10" x14ac:dyDescent="0.25">
      <c r="A7940" t="s">
        <v>27</v>
      </c>
      <c r="B7940" t="s">
        <v>20</v>
      </c>
      <c r="C7940" t="s">
        <v>12</v>
      </c>
      <c r="D7940" t="s">
        <v>17</v>
      </c>
      <c r="E7940">
        <v>0.236136614028644</v>
      </c>
      <c r="F7940">
        <v>0.79232421943099496</v>
      </c>
      <c r="G7940">
        <v>127322.047319173</v>
      </c>
      <c r="H7940">
        <v>687</v>
      </c>
      <c r="I7940">
        <v>655</v>
      </c>
      <c r="J7940">
        <v>30</v>
      </c>
    </row>
    <row r="7941" spans="1:10" x14ac:dyDescent="0.25">
      <c r="A7941" t="s">
        <v>27</v>
      </c>
      <c r="B7941" t="s">
        <v>20</v>
      </c>
      <c r="C7941" t="s">
        <v>12</v>
      </c>
      <c r="D7941" t="s">
        <v>17</v>
      </c>
      <c r="E7941">
        <v>0.25339698861549698</v>
      </c>
      <c r="F7941">
        <v>0.79668986882141002</v>
      </c>
      <c r="G7941">
        <v>127486.50560784301</v>
      </c>
      <c r="H7941">
        <v>720</v>
      </c>
      <c r="I7941">
        <v>709</v>
      </c>
      <c r="J7941">
        <v>30</v>
      </c>
    </row>
    <row r="7942" spans="1:10" x14ac:dyDescent="0.25">
      <c r="A7942" t="s">
        <v>27</v>
      </c>
      <c r="B7942" t="s">
        <v>20</v>
      </c>
      <c r="C7942" t="s">
        <v>12</v>
      </c>
      <c r="D7942" t="s">
        <v>17</v>
      </c>
      <c r="E7942">
        <v>0.22438486962908499</v>
      </c>
      <c r="F7942">
        <v>0.79320393024263602</v>
      </c>
      <c r="G7942">
        <v>128359.057898044</v>
      </c>
      <c r="H7942">
        <v>650</v>
      </c>
      <c r="I7942">
        <v>650</v>
      </c>
      <c r="J7942">
        <v>30</v>
      </c>
    </row>
    <row r="7943" spans="1:10" x14ac:dyDescent="0.25">
      <c r="A7943" t="s">
        <v>27</v>
      </c>
      <c r="B7943" t="s">
        <v>20</v>
      </c>
      <c r="C7943" t="s">
        <v>12</v>
      </c>
      <c r="D7943" t="s">
        <v>17</v>
      </c>
      <c r="E7943">
        <v>0.236136614028644</v>
      </c>
      <c r="F7943">
        <v>0.79791779615446101</v>
      </c>
      <c r="G7943">
        <v>129118.87057328199</v>
      </c>
      <c r="H7943">
        <v>711</v>
      </c>
      <c r="I7943">
        <v>669</v>
      </c>
      <c r="J7943">
        <v>30</v>
      </c>
    </row>
    <row r="7944" spans="1:10" x14ac:dyDescent="0.25">
      <c r="A7944" t="s">
        <v>27</v>
      </c>
      <c r="B7944" t="s">
        <v>20</v>
      </c>
      <c r="C7944" t="s">
        <v>12</v>
      </c>
      <c r="D7944" t="s">
        <v>17</v>
      </c>
      <c r="E7944">
        <v>0.21704002937936101</v>
      </c>
      <c r="F7944">
        <v>0.78835747953312496</v>
      </c>
      <c r="G7944">
        <v>130724.575164318</v>
      </c>
      <c r="H7944">
        <v>663</v>
      </c>
      <c r="I7944">
        <v>689</v>
      </c>
      <c r="J7944">
        <v>30</v>
      </c>
    </row>
    <row r="7945" spans="1:10" x14ac:dyDescent="0.25">
      <c r="A7945" t="s">
        <v>27</v>
      </c>
      <c r="B7945" t="s">
        <v>20</v>
      </c>
      <c r="C7945" t="s">
        <v>12</v>
      </c>
      <c r="D7945" t="s">
        <v>17</v>
      </c>
      <c r="E7945">
        <v>0.22181417554168101</v>
      </c>
      <c r="F7945">
        <v>0.79008617343070098</v>
      </c>
      <c r="G7945">
        <v>131892.086707115</v>
      </c>
      <c r="H7945">
        <v>673</v>
      </c>
      <c r="I7945">
        <v>626</v>
      </c>
      <c r="J7945">
        <v>30</v>
      </c>
    </row>
    <row r="7946" spans="1:10" x14ac:dyDescent="0.25">
      <c r="A7946" t="s">
        <v>27</v>
      </c>
      <c r="B7946" t="s">
        <v>20</v>
      </c>
      <c r="C7946" t="s">
        <v>12</v>
      </c>
      <c r="D7946" t="s">
        <v>17</v>
      </c>
      <c r="E7946">
        <v>0.22144693352919501</v>
      </c>
      <c r="F7946">
        <v>0.79352399118887296</v>
      </c>
      <c r="G7946">
        <v>132311.685662031</v>
      </c>
      <c r="H7946">
        <v>693</v>
      </c>
      <c r="I7946">
        <v>615</v>
      </c>
      <c r="J7946">
        <v>30</v>
      </c>
    </row>
    <row r="7947" spans="1:10" x14ac:dyDescent="0.25">
      <c r="A7947" t="s">
        <v>27</v>
      </c>
      <c r="B7947" t="s">
        <v>20</v>
      </c>
      <c r="C7947" t="s">
        <v>12</v>
      </c>
      <c r="D7947" t="s">
        <v>17</v>
      </c>
      <c r="E7947">
        <v>0.23246419390378201</v>
      </c>
      <c r="F7947">
        <v>0.793116647635144</v>
      </c>
      <c r="G7947">
        <v>133714.001262426</v>
      </c>
      <c r="H7947">
        <v>710</v>
      </c>
      <c r="I7947">
        <v>696</v>
      </c>
      <c r="J7947">
        <v>30</v>
      </c>
    </row>
    <row r="7948" spans="1:10" x14ac:dyDescent="0.25">
      <c r="A7948" t="s">
        <v>27</v>
      </c>
      <c r="B7948" t="s">
        <v>20</v>
      </c>
      <c r="C7948" t="s">
        <v>12</v>
      </c>
      <c r="D7948" t="s">
        <v>17</v>
      </c>
      <c r="E7948">
        <v>0.21079691516709501</v>
      </c>
      <c r="F7948">
        <v>0.78748157646261396</v>
      </c>
      <c r="G7948">
        <v>134440.55098938901</v>
      </c>
      <c r="H7948">
        <v>661</v>
      </c>
      <c r="I7948">
        <v>633</v>
      </c>
      <c r="J7948">
        <v>30</v>
      </c>
    </row>
    <row r="7949" spans="1:10" x14ac:dyDescent="0.25">
      <c r="A7949" t="s">
        <v>27</v>
      </c>
      <c r="B7949" t="s">
        <v>20</v>
      </c>
      <c r="C7949" t="s">
        <v>12</v>
      </c>
      <c r="D7949" t="s">
        <v>17</v>
      </c>
      <c r="E7949">
        <v>0.24972456849063501</v>
      </c>
      <c r="F7949">
        <v>0.79916412405556303</v>
      </c>
      <c r="G7949">
        <v>135152.39131259901</v>
      </c>
      <c r="H7949">
        <v>760</v>
      </c>
      <c r="I7949">
        <v>704</v>
      </c>
      <c r="J7949">
        <v>30</v>
      </c>
    </row>
    <row r="7950" spans="1:10" x14ac:dyDescent="0.25">
      <c r="A7950" t="s">
        <v>27</v>
      </c>
      <c r="B7950" t="s">
        <v>20</v>
      </c>
      <c r="C7950" t="s">
        <v>12</v>
      </c>
      <c r="D7950" t="s">
        <v>17</v>
      </c>
      <c r="E7950">
        <v>0.27139184722732201</v>
      </c>
      <c r="F7950">
        <v>0.79921606005339696</v>
      </c>
      <c r="G7950">
        <v>135859.74096417401</v>
      </c>
      <c r="H7950">
        <v>894</v>
      </c>
      <c r="I7950">
        <v>840</v>
      </c>
      <c r="J7950">
        <v>30</v>
      </c>
    </row>
    <row r="7951" spans="1:10" x14ac:dyDescent="0.25">
      <c r="A7951" t="s">
        <v>27</v>
      </c>
      <c r="B7951" t="s">
        <v>20</v>
      </c>
      <c r="C7951" t="s">
        <v>12</v>
      </c>
      <c r="D7951" t="s">
        <v>17</v>
      </c>
      <c r="E7951">
        <v>0.236136614028644</v>
      </c>
      <c r="F7951">
        <v>0.79474220430326903</v>
      </c>
      <c r="G7951">
        <v>136032.66044783499</v>
      </c>
      <c r="H7951">
        <v>773</v>
      </c>
      <c r="I7951">
        <v>614</v>
      </c>
      <c r="J7951">
        <v>30</v>
      </c>
    </row>
    <row r="7952" spans="1:10" x14ac:dyDescent="0.25">
      <c r="A7952" t="s">
        <v>27</v>
      </c>
      <c r="B7952" t="s">
        <v>20</v>
      </c>
      <c r="C7952" t="s">
        <v>18</v>
      </c>
      <c r="D7952" t="s">
        <v>13</v>
      </c>
      <c r="E7952">
        <v>0.17994858611825101</v>
      </c>
      <c r="F7952">
        <v>0.79106292871810502</v>
      </c>
      <c r="G7952">
        <v>4506.3224134445099</v>
      </c>
      <c r="H7952">
        <v>11</v>
      </c>
      <c r="I7952">
        <v>22</v>
      </c>
      <c r="J7952">
        <v>30</v>
      </c>
    </row>
    <row r="7953" spans="1:10" x14ac:dyDescent="0.25">
      <c r="A7953" t="s">
        <v>27</v>
      </c>
      <c r="B7953" t="s">
        <v>20</v>
      </c>
      <c r="C7953" t="s">
        <v>18</v>
      </c>
      <c r="D7953" t="s">
        <v>13</v>
      </c>
      <c r="E7953">
        <v>0.171869261843554</v>
      </c>
      <c r="F7953">
        <v>0.78972018082096995</v>
      </c>
      <c r="G7953">
        <v>4618.2057323455801</v>
      </c>
      <c r="H7953">
        <v>12</v>
      </c>
      <c r="I7953">
        <v>28</v>
      </c>
      <c r="J7953">
        <v>30</v>
      </c>
    </row>
    <row r="7954" spans="1:10" x14ac:dyDescent="0.25">
      <c r="A7954" t="s">
        <v>27</v>
      </c>
      <c r="B7954" t="s">
        <v>20</v>
      </c>
      <c r="C7954" t="s">
        <v>18</v>
      </c>
      <c r="D7954" t="s">
        <v>13</v>
      </c>
      <c r="E7954">
        <v>0.16525890561880199</v>
      </c>
      <c r="F7954">
        <v>0.78796201729481996</v>
      </c>
      <c r="G7954">
        <v>4656.9665873050599</v>
      </c>
      <c r="H7954">
        <v>10</v>
      </c>
      <c r="I7954">
        <v>24</v>
      </c>
      <c r="J7954">
        <v>30</v>
      </c>
    </row>
    <row r="7955" spans="1:10" x14ac:dyDescent="0.25">
      <c r="A7955" t="s">
        <v>27</v>
      </c>
      <c r="B7955" t="s">
        <v>20</v>
      </c>
      <c r="C7955" t="s">
        <v>18</v>
      </c>
      <c r="D7955" t="s">
        <v>13</v>
      </c>
      <c r="E7955">
        <v>0.16452442159382999</v>
      </c>
      <c r="F7955">
        <v>0.78812558998787996</v>
      </c>
      <c r="G7955">
        <v>4822.9816007614099</v>
      </c>
      <c r="H7955">
        <v>16</v>
      </c>
      <c r="I7955">
        <v>40</v>
      </c>
      <c r="J7955">
        <v>30</v>
      </c>
    </row>
    <row r="7956" spans="1:10" x14ac:dyDescent="0.25">
      <c r="A7956" t="s">
        <v>27</v>
      </c>
      <c r="B7956" t="s">
        <v>20</v>
      </c>
      <c r="C7956" t="s">
        <v>18</v>
      </c>
      <c r="D7956" t="s">
        <v>13</v>
      </c>
      <c r="E7956">
        <v>0.18582445831803099</v>
      </c>
      <c r="F7956">
        <v>0.79329684471002604</v>
      </c>
      <c r="G7956">
        <v>4861.9411387443497</v>
      </c>
      <c r="H7956">
        <v>21</v>
      </c>
      <c r="I7956">
        <v>50</v>
      </c>
      <c r="J7956">
        <v>30</v>
      </c>
    </row>
    <row r="7957" spans="1:10" x14ac:dyDescent="0.25">
      <c r="A7957" t="s">
        <v>27</v>
      </c>
      <c r="B7957" t="s">
        <v>20</v>
      </c>
      <c r="C7957" t="s">
        <v>18</v>
      </c>
      <c r="D7957" t="s">
        <v>13</v>
      </c>
      <c r="E7957">
        <v>0.16819684171869201</v>
      </c>
      <c r="F7957">
        <v>0.78922202931861896</v>
      </c>
      <c r="G7957">
        <v>4994.0215442180597</v>
      </c>
      <c r="H7957">
        <v>18</v>
      </c>
      <c r="I7957">
        <v>40</v>
      </c>
      <c r="J7957">
        <v>30</v>
      </c>
    </row>
    <row r="7958" spans="1:10" x14ac:dyDescent="0.25">
      <c r="A7958" t="s">
        <v>27</v>
      </c>
      <c r="B7958" t="s">
        <v>20</v>
      </c>
      <c r="C7958" t="s">
        <v>18</v>
      </c>
      <c r="D7958" t="s">
        <v>13</v>
      </c>
      <c r="E7958">
        <v>0.17076753580609599</v>
      </c>
      <c r="F7958">
        <v>0.78981063178843203</v>
      </c>
      <c r="G7958">
        <v>5022.2393081188202</v>
      </c>
      <c r="H7958">
        <v>13</v>
      </c>
      <c r="I7958">
        <v>27</v>
      </c>
      <c r="J7958">
        <v>30</v>
      </c>
    </row>
    <row r="7959" spans="1:10" x14ac:dyDescent="0.25">
      <c r="A7959" t="s">
        <v>27</v>
      </c>
      <c r="B7959" t="s">
        <v>20</v>
      </c>
      <c r="C7959" t="s">
        <v>18</v>
      </c>
      <c r="D7959" t="s">
        <v>13</v>
      </c>
      <c r="E7959">
        <v>0.16489166360631599</v>
      </c>
      <c r="F7959">
        <v>0.78843601342188796</v>
      </c>
      <c r="G7959">
        <v>5120.1618068218204</v>
      </c>
      <c r="H7959">
        <v>15</v>
      </c>
      <c r="I7959">
        <v>30</v>
      </c>
      <c r="J7959">
        <v>30</v>
      </c>
    </row>
    <row r="7960" spans="1:10" x14ac:dyDescent="0.25">
      <c r="A7960" t="s">
        <v>27</v>
      </c>
      <c r="B7960" t="s">
        <v>20</v>
      </c>
      <c r="C7960" t="s">
        <v>18</v>
      </c>
      <c r="D7960" t="s">
        <v>13</v>
      </c>
      <c r="E7960">
        <v>0.17921410209327901</v>
      </c>
      <c r="F7960">
        <v>0.79105251788824904</v>
      </c>
      <c r="G7960">
        <v>5142.8748776912598</v>
      </c>
      <c r="H7960">
        <v>11</v>
      </c>
      <c r="I7960">
        <v>22</v>
      </c>
      <c r="J7960">
        <v>30</v>
      </c>
    </row>
    <row r="7961" spans="1:10" x14ac:dyDescent="0.25">
      <c r="A7961" t="s">
        <v>27</v>
      </c>
      <c r="B7961" t="s">
        <v>20</v>
      </c>
      <c r="C7961" t="s">
        <v>18</v>
      </c>
      <c r="D7961" t="s">
        <v>13</v>
      </c>
      <c r="E7961">
        <v>0.167095115681233</v>
      </c>
      <c r="F7961">
        <v>0.78981759930620599</v>
      </c>
      <c r="G7961">
        <v>5174.6844792366001</v>
      </c>
      <c r="H7961">
        <v>19</v>
      </c>
      <c r="I7961">
        <v>39</v>
      </c>
      <c r="J7961">
        <v>30</v>
      </c>
    </row>
    <row r="7962" spans="1:10" x14ac:dyDescent="0.25">
      <c r="A7962" t="s">
        <v>27</v>
      </c>
      <c r="B7962" t="s">
        <v>20</v>
      </c>
      <c r="C7962" t="s">
        <v>18</v>
      </c>
      <c r="D7962" t="s">
        <v>13</v>
      </c>
      <c r="E7962">
        <v>0.17884686008079301</v>
      </c>
      <c r="F7962">
        <v>0.79180764793900305</v>
      </c>
      <c r="G7962">
        <v>5206.2682070732099</v>
      </c>
      <c r="H7962">
        <v>11</v>
      </c>
      <c r="I7962">
        <v>25</v>
      </c>
      <c r="J7962">
        <v>30</v>
      </c>
    </row>
    <row r="7963" spans="1:10" x14ac:dyDescent="0.25">
      <c r="A7963" t="s">
        <v>27</v>
      </c>
      <c r="B7963" t="s">
        <v>20</v>
      </c>
      <c r="C7963" t="s">
        <v>18</v>
      </c>
      <c r="D7963" t="s">
        <v>13</v>
      </c>
      <c r="E7963">
        <v>0.176643408005875</v>
      </c>
      <c r="F7963">
        <v>0.79231737151619597</v>
      </c>
      <c r="G7963">
        <v>5393.5841798782303</v>
      </c>
      <c r="H7963">
        <v>17</v>
      </c>
      <c r="I7963">
        <v>37</v>
      </c>
      <c r="J7963">
        <v>30</v>
      </c>
    </row>
    <row r="7964" spans="1:10" x14ac:dyDescent="0.25">
      <c r="A7964" t="s">
        <v>27</v>
      </c>
      <c r="B7964" t="s">
        <v>20</v>
      </c>
      <c r="C7964" t="s">
        <v>18</v>
      </c>
      <c r="D7964" t="s">
        <v>13</v>
      </c>
      <c r="E7964">
        <v>0.17443995593095801</v>
      </c>
      <c r="F7964">
        <v>0.79057715331465395</v>
      </c>
      <c r="G7964">
        <v>5448.5420310497202</v>
      </c>
      <c r="H7964">
        <v>10</v>
      </c>
      <c r="I7964">
        <v>24</v>
      </c>
      <c r="J7964">
        <v>30</v>
      </c>
    </row>
    <row r="7965" spans="1:10" x14ac:dyDescent="0.25">
      <c r="A7965" t="s">
        <v>27</v>
      </c>
      <c r="B7965" t="s">
        <v>20</v>
      </c>
      <c r="C7965" t="s">
        <v>18</v>
      </c>
      <c r="D7965" t="s">
        <v>13</v>
      </c>
      <c r="E7965">
        <v>0.165993389643775</v>
      </c>
      <c r="F7965">
        <v>0.78847863936562501</v>
      </c>
      <c r="G7965">
        <v>5451.91055560112</v>
      </c>
      <c r="H7965">
        <v>13</v>
      </c>
      <c r="I7965">
        <v>28</v>
      </c>
      <c r="J7965">
        <v>30</v>
      </c>
    </row>
    <row r="7966" spans="1:10" x14ac:dyDescent="0.25">
      <c r="A7966" t="s">
        <v>27</v>
      </c>
      <c r="B7966" t="s">
        <v>20</v>
      </c>
      <c r="C7966" t="s">
        <v>18</v>
      </c>
      <c r="D7966" t="s">
        <v>13</v>
      </c>
      <c r="E7966">
        <v>0.171134777818582</v>
      </c>
      <c r="F7966">
        <v>0.78943692053455805</v>
      </c>
      <c r="G7966">
        <v>5509.0378317832901</v>
      </c>
      <c r="H7966">
        <v>15</v>
      </c>
      <c r="I7966">
        <v>33</v>
      </c>
      <c r="J7966">
        <v>30</v>
      </c>
    </row>
    <row r="7967" spans="1:10" x14ac:dyDescent="0.25">
      <c r="A7967" t="s">
        <v>27</v>
      </c>
      <c r="B7967" t="s">
        <v>20</v>
      </c>
      <c r="C7967" t="s">
        <v>18</v>
      </c>
      <c r="D7967" t="s">
        <v>13</v>
      </c>
      <c r="E7967">
        <v>0.177745134043334</v>
      </c>
      <c r="F7967">
        <v>0.79194018373172903</v>
      </c>
      <c r="G7967">
        <v>5509.8181374073001</v>
      </c>
      <c r="H7967">
        <v>11</v>
      </c>
      <c r="I7967">
        <v>30</v>
      </c>
      <c r="J7967">
        <v>30</v>
      </c>
    </row>
    <row r="7968" spans="1:10" x14ac:dyDescent="0.25">
      <c r="A7968" t="s">
        <v>27</v>
      </c>
      <c r="B7968" t="s">
        <v>20</v>
      </c>
      <c r="C7968" t="s">
        <v>18</v>
      </c>
      <c r="D7968" t="s">
        <v>13</v>
      </c>
      <c r="E7968">
        <v>0.16856408373117801</v>
      </c>
      <c r="F7968">
        <v>0.79011582007308101</v>
      </c>
      <c r="G7968">
        <v>5521.3054263591703</v>
      </c>
      <c r="H7968">
        <v>14</v>
      </c>
      <c r="I7968">
        <v>34</v>
      </c>
      <c r="J7968">
        <v>30</v>
      </c>
    </row>
    <row r="7969" spans="1:10" x14ac:dyDescent="0.25">
      <c r="A7969" t="s">
        <v>27</v>
      </c>
      <c r="B7969" t="s">
        <v>20</v>
      </c>
      <c r="C7969" t="s">
        <v>18</v>
      </c>
      <c r="D7969" t="s">
        <v>13</v>
      </c>
      <c r="E7969">
        <v>0.16929856775615101</v>
      </c>
      <c r="F7969">
        <v>0.78996614054542802</v>
      </c>
      <c r="G7969">
        <v>5689.13423752784</v>
      </c>
      <c r="H7969">
        <v>17</v>
      </c>
      <c r="I7969">
        <v>41</v>
      </c>
      <c r="J7969">
        <v>30</v>
      </c>
    </row>
    <row r="7970" spans="1:10" x14ac:dyDescent="0.25">
      <c r="A7970" t="s">
        <v>27</v>
      </c>
      <c r="B7970" t="s">
        <v>20</v>
      </c>
      <c r="C7970" t="s">
        <v>18</v>
      </c>
      <c r="D7970" t="s">
        <v>13</v>
      </c>
      <c r="E7970">
        <v>0.16819684171869201</v>
      </c>
      <c r="F7970">
        <v>0.79001918463404197</v>
      </c>
      <c r="G7970">
        <v>5696.1610882282203</v>
      </c>
      <c r="H7970">
        <v>15</v>
      </c>
      <c r="I7970">
        <v>35</v>
      </c>
      <c r="J7970">
        <v>30</v>
      </c>
    </row>
    <row r="7971" spans="1:10" x14ac:dyDescent="0.25">
      <c r="A7971" t="s">
        <v>27</v>
      </c>
      <c r="B7971" t="s">
        <v>20</v>
      </c>
      <c r="C7971" t="s">
        <v>18</v>
      </c>
      <c r="D7971" t="s">
        <v>13</v>
      </c>
      <c r="E7971">
        <v>0.171134777818582</v>
      </c>
      <c r="F7971">
        <v>0.79090151115424301</v>
      </c>
      <c r="G7971">
        <v>5720.2068362235996</v>
      </c>
      <c r="H7971">
        <v>15</v>
      </c>
      <c r="I7971">
        <v>35</v>
      </c>
      <c r="J7971">
        <v>30</v>
      </c>
    </row>
    <row r="7972" spans="1:10" x14ac:dyDescent="0.25">
      <c r="A7972" t="s">
        <v>27</v>
      </c>
      <c r="B7972" t="s">
        <v>20</v>
      </c>
      <c r="C7972" t="s">
        <v>18</v>
      </c>
      <c r="D7972" t="s">
        <v>13</v>
      </c>
      <c r="E7972">
        <v>0.187293426367976</v>
      </c>
      <c r="F7972">
        <v>0.79420449048655894</v>
      </c>
      <c r="G7972">
        <v>5737.1314017772602</v>
      </c>
      <c r="H7972">
        <v>17</v>
      </c>
      <c r="I7972">
        <v>39</v>
      </c>
      <c r="J7972">
        <v>30</v>
      </c>
    </row>
    <row r="7973" spans="1:10" x14ac:dyDescent="0.25">
      <c r="A7973" t="s">
        <v>27</v>
      </c>
      <c r="B7973" t="s">
        <v>20</v>
      </c>
      <c r="C7973" t="s">
        <v>18</v>
      </c>
      <c r="D7973" t="s">
        <v>13</v>
      </c>
      <c r="E7973">
        <v>0.17443995593095801</v>
      </c>
      <c r="F7973">
        <v>0.79119507119555599</v>
      </c>
      <c r="G7973">
        <v>5866.38375687599</v>
      </c>
      <c r="H7973">
        <v>18</v>
      </c>
      <c r="I7973">
        <v>41</v>
      </c>
      <c r="J7973">
        <v>30</v>
      </c>
    </row>
    <row r="7974" spans="1:10" x14ac:dyDescent="0.25">
      <c r="A7974" t="s">
        <v>27</v>
      </c>
      <c r="B7974" t="s">
        <v>20</v>
      </c>
      <c r="C7974" t="s">
        <v>18</v>
      </c>
      <c r="D7974" t="s">
        <v>13</v>
      </c>
      <c r="E7974">
        <v>0.16232096951891201</v>
      </c>
      <c r="F7974">
        <v>0.78683816280837304</v>
      </c>
      <c r="G7974">
        <v>5867.1371307373001</v>
      </c>
      <c r="H7974">
        <v>16</v>
      </c>
      <c r="I7974">
        <v>40</v>
      </c>
      <c r="J7974">
        <v>30</v>
      </c>
    </row>
    <row r="7975" spans="1:10" x14ac:dyDescent="0.25">
      <c r="A7975" t="s">
        <v>27</v>
      </c>
      <c r="B7975" t="s">
        <v>20</v>
      </c>
      <c r="C7975" t="s">
        <v>18</v>
      </c>
      <c r="D7975" t="s">
        <v>13</v>
      </c>
      <c r="E7975">
        <v>0.165993389643775</v>
      </c>
      <c r="F7975">
        <v>0.78775075213797197</v>
      </c>
      <c r="G7975">
        <v>5869.0008251667005</v>
      </c>
      <c r="H7975">
        <v>17</v>
      </c>
      <c r="I7975">
        <v>39</v>
      </c>
      <c r="J7975">
        <v>30</v>
      </c>
    </row>
    <row r="7976" spans="1:10" x14ac:dyDescent="0.25">
      <c r="A7976" t="s">
        <v>27</v>
      </c>
      <c r="B7976" t="s">
        <v>20</v>
      </c>
      <c r="C7976" t="s">
        <v>18</v>
      </c>
      <c r="D7976" t="s">
        <v>13</v>
      </c>
      <c r="E7976">
        <v>0.16819684171869201</v>
      </c>
      <c r="F7976">
        <v>0.78866573783855898</v>
      </c>
      <c r="G7976">
        <v>5884.8571019172596</v>
      </c>
      <c r="H7976">
        <v>17</v>
      </c>
      <c r="I7976">
        <v>36</v>
      </c>
      <c r="J7976">
        <v>30</v>
      </c>
    </row>
    <row r="7977" spans="1:10" x14ac:dyDescent="0.25">
      <c r="A7977" t="s">
        <v>27</v>
      </c>
      <c r="B7977" t="s">
        <v>20</v>
      </c>
      <c r="C7977" t="s">
        <v>18</v>
      </c>
      <c r="D7977" t="s">
        <v>13</v>
      </c>
      <c r="E7977">
        <v>0.177010650018362</v>
      </c>
      <c r="F7977">
        <v>0.79198855569371895</v>
      </c>
      <c r="G7977">
        <v>5890.2110848426801</v>
      </c>
      <c r="H7977">
        <v>17</v>
      </c>
      <c r="I7977">
        <v>33</v>
      </c>
      <c r="J7977">
        <v>30</v>
      </c>
    </row>
    <row r="7978" spans="1:10" x14ac:dyDescent="0.25">
      <c r="A7978" t="s">
        <v>27</v>
      </c>
      <c r="B7978" t="s">
        <v>20</v>
      </c>
      <c r="C7978" t="s">
        <v>18</v>
      </c>
      <c r="D7978" t="s">
        <v>13</v>
      </c>
      <c r="E7978">
        <v>0.16378993756885701</v>
      </c>
      <c r="F7978">
        <v>0.78770775122901104</v>
      </c>
      <c r="G7978">
        <v>5974.7060515880503</v>
      </c>
      <c r="H7978">
        <v>21</v>
      </c>
      <c r="I7978">
        <v>45</v>
      </c>
      <c r="J7978">
        <v>30</v>
      </c>
    </row>
    <row r="7979" spans="1:10" x14ac:dyDescent="0.25">
      <c r="A7979" t="s">
        <v>27</v>
      </c>
      <c r="B7979" t="s">
        <v>20</v>
      </c>
      <c r="C7979" t="s">
        <v>18</v>
      </c>
      <c r="D7979" t="s">
        <v>13</v>
      </c>
      <c r="E7979">
        <v>0.172236503856041</v>
      </c>
      <c r="F7979">
        <v>0.78993979014718896</v>
      </c>
      <c r="G7979">
        <v>6007.5128931999197</v>
      </c>
      <c r="H7979">
        <v>24</v>
      </c>
      <c r="I7979">
        <v>54</v>
      </c>
      <c r="J7979">
        <v>30</v>
      </c>
    </row>
    <row r="7980" spans="1:10" x14ac:dyDescent="0.25">
      <c r="A7980" t="s">
        <v>27</v>
      </c>
      <c r="B7980" t="s">
        <v>20</v>
      </c>
      <c r="C7980" t="s">
        <v>18</v>
      </c>
      <c r="D7980" t="s">
        <v>13</v>
      </c>
      <c r="E7980">
        <v>0.177010650018362</v>
      </c>
      <c r="F7980">
        <v>0.79021622672482705</v>
      </c>
      <c r="G7980">
        <v>6013.0910141468003</v>
      </c>
      <c r="H7980">
        <v>21</v>
      </c>
      <c r="I7980">
        <v>56</v>
      </c>
      <c r="J7980">
        <v>30</v>
      </c>
    </row>
    <row r="7981" spans="1:10" x14ac:dyDescent="0.25">
      <c r="A7981" t="s">
        <v>27</v>
      </c>
      <c r="B7981" t="s">
        <v>20</v>
      </c>
      <c r="C7981" t="s">
        <v>18</v>
      </c>
      <c r="D7981" t="s">
        <v>13</v>
      </c>
      <c r="E7981">
        <v>0.16893132574366501</v>
      </c>
      <c r="F7981">
        <v>0.788228167702129</v>
      </c>
      <c r="G7981">
        <v>6017.6836464404996</v>
      </c>
      <c r="H7981">
        <v>25</v>
      </c>
      <c r="I7981">
        <v>51</v>
      </c>
      <c r="J7981">
        <v>30</v>
      </c>
    </row>
    <row r="7982" spans="1:10" x14ac:dyDescent="0.25">
      <c r="A7982" t="s">
        <v>27</v>
      </c>
      <c r="B7982" t="s">
        <v>20</v>
      </c>
      <c r="C7982" t="s">
        <v>18</v>
      </c>
      <c r="D7982" t="s">
        <v>14</v>
      </c>
      <c r="E7982">
        <v>4.0029379360998901E-2</v>
      </c>
      <c r="F7982">
        <v>0.76000277043888997</v>
      </c>
      <c r="G7982">
        <v>25.685533046722401</v>
      </c>
      <c r="H7982">
        <v>1</v>
      </c>
      <c r="I7982">
        <v>1</v>
      </c>
      <c r="J7982">
        <v>30</v>
      </c>
    </row>
    <row r="7983" spans="1:10" x14ac:dyDescent="0.25">
      <c r="A7983" t="s">
        <v>27</v>
      </c>
      <c r="B7983" t="s">
        <v>20</v>
      </c>
      <c r="C7983" t="s">
        <v>18</v>
      </c>
      <c r="D7983" t="s">
        <v>14</v>
      </c>
      <c r="E7983">
        <v>3.7825927286081501E-2</v>
      </c>
      <c r="F7983">
        <v>0.75945227967873596</v>
      </c>
      <c r="G7983">
        <v>26.854722976684499</v>
      </c>
      <c r="H7983">
        <v>1</v>
      </c>
      <c r="I7983">
        <v>1</v>
      </c>
      <c r="J7983">
        <v>30</v>
      </c>
    </row>
    <row r="7984" spans="1:10" x14ac:dyDescent="0.25">
      <c r="A7984" t="s">
        <v>27</v>
      </c>
      <c r="B7984" t="s">
        <v>20</v>
      </c>
      <c r="C7984" t="s">
        <v>18</v>
      </c>
      <c r="D7984" t="s">
        <v>14</v>
      </c>
      <c r="E7984">
        <v>3.8560411311053901E-2</v>
      </c>
      <c r="F7984">
        <v>0.75963577835089902</v>
      </c>
      <c r="G7984">
        <v>26.879749774932801</v>
      </c>
      <c r="H7984">
        <v>1</v>
      </c>
      <c r="I7984">
        <v>1</v>
      </c>
      <c r="J7984">
        <v>30</v>
      </c>
    </row>
    <row r="7985" spans="1:10" x14ac:dyDescent="0.25">
      <c r="A7985" t="s">
        <v>27</v>
      </c>
      <c r="B7985" t="s">
        <v>20</v>
      </c>
      <c r="C7985" t="s">
        <v>18</v>
      </c>
      <c r="D7985" t="s">
        <v>14</v>
      </c>
      <c r="E7985">
        <v>4.0029379360998901E-2</v>
      </c>
      <c r="F7985">
        <v>0.76000277043888997</v>
      </c>
      <c r="G7985">
        <v>26.9489970207214</v>
      </c>
      <c r="H7985">
        <v>1</v>
      </c>
      <c r="I7985">
        <v>1</v>
      </c>
      <c r="J7985">
        <v>30</v>
      </c>
    </row>
    <row r="7986" spans="1:10" x14ac:dyDescent="0.25">
      <c r="A7986" t="s">
        <v>27</v>
      </c>
      <c r="B7986" t="s">
        <v>20</v>
      </c>
      <c r="C7986" t="s">
        <v>18</v>
      </c>
      <c r="D7986" t="s">
        <v>14</v>
      </c>
      <c r="E7986">
        <v>3.8927653323540201E-2</v>
      </c>
      <c r="F7986">
        <v>0.75972753116320202</v>
      </c>
      <c r="G7986">
        <v>28.489159584045399</v>
      </c>
      <c r="H7986">
        <v>1</v>
      </c>
      <c r="I7986">
        <v>1</v>
      </c>
      <c r="J7986">
        <v>30</v>
      </c>
    </row>
    <row r="7987" spans="1:10" x14ac:dyDescent="0.25">
      <c r="A7987" t="s">
        <v>27</v>
      </c>
      <c r="B7987" t="s">
        <v>20</v>
      </c>
      <c r="C7987" t="s">
        <v>18</v>
      </c>
      <c r="D7987" t="s">
        <v>14</v>
      </c>
      <c r="E7987">
        <v>3.4153507161219197E-2</v>
      </c>
      <c r="F7987">
        <v>0.75853475344472998</v>
      </c>
      <c r="G7987">
        <v>27.223803520202601</v>
      </c>
      <c r="H7987">
        <v>1</v>
      </c>
      <c r="I7987">
        <v>1</v>
      </c>
      <c r="J7987">
        <v>30</v>
      </c>
    </row>
    <row r="7988" spans="1:10" x14ac:dyDescent="0.25">
      <c r="A7988" t="s">
        <v>27</v>
      </c>
      <c r="B7988" t="s">
        <v>20</v>
      </c>
      <c r="C7988" t="s">
        <v>18</v>
      </c>
      <c r="D7988" t="s">
        <v>14</v>
      </c>
      <c r="E7988">
        <v>4.3701799485861101E-2</v>
      </c>
      <c r="F7988">
        <v>0.76092020991645204</v>
      </c>
      <c r="G7988">
        <v>29.008675813674898</v>
      </c>
      <c r="H7988">
        <v>1</v>
      </c>
      <c r="I7988">
        <v>1</v>
      </c>
      <c r="J7988">
        <v>30</v>
      </c>
    </row>
    <row r="7989" spans="1:10" x14ac:dyDescent="0.25">
      <c r="A7989" t="s">
        <v>27</v>
      </c>
      <c r="B7989" t="s">
        <v>20</v>
      </c>
      <c r="C7989" t="s">
        <v>18</v>
      </c>
      <c r="D7989" t="s">
        <v>14</v>
      </c>
      <c r="E7989">
        <v>3.4887991186191701E-2</v>
      </c>
      <c r="F7989">
        <v>0.75871826772603701</v>
      </c>
      <c r="G7989">
        <v>27.573492050170898</v>
      </c>
      <c r="H7989">
        <v>1</v>
      </c>
      <c r="I7989">
        <v>1</v>
      </c>
      <c r="J7989">
        <v>30</v>
      </c>
    </row>
    <row r="7990" spans="1:10" x14ac:dyDescent="0.25">
      <c r="A7990" t="s">
        <v>27</v>
      </c>
      <c r="B7990" t="s">
        <v>20</v>
      </c>
      <c r="C7990" t="s">
        <v>18</v>
      </c>
      <c r="D7990" t="s">
        <v>14</v>
      </c>
      <c r="E7990">
        <v>3.8560411311053901E-2</v>
      </c>
      <c r="F7990">
        <v>0.75963577835089902</v>
      </c>
      <c r="G7990">
        <v>29.124338388442901</v>
      </c>
      <c r="H7990">
        <v>1</v>
      </c>
      <c r="I7990">
        <v>1</v>
      </c>
      <c r="J7990">
        <v>30</v>
      </c>
    </row>
    <row r="7991" spans="1:10" x14ac:dyDescent="0.25">
      <c r="A7991" t="s">
        <v>27</v>
      </c>
      <c r="B7991" t="s">
        <v>20</v>
      </c>
      <c r="C7991" t="s">
        <v>18</v>
      </c>
      <c r="D7991" t="s">
        <v>14</v>
      </c>
      <c r="E7991">
        <v>3.1582813073815601E-2</v>
      </c>
      <c r="F7991">
        <v>0.75789245593624699</v>
      </c>
      <c r="G7991">
        <v>29.100240230560299</v>
      </c>
      <c r="H7991">
        <v>1</v>
      </c>
      <c r="I7991">
        <v>1</v>
      </c>
      <c r="J7991">
        <v>30</v>
      </c>
    </row>
    <row r="7992" spans="1:10" x14ac:dyDescent="0.25">
      <c r="A7992" t="s">
        <v>27</v>
      </c>
      <c r="B7992" t="s">
        <v>20</v>
      </c>
      <c r="C7992" t="s">
        <v>18</v>
      </c>
      <c r="D7992" t="s">
        <v>14</v>
      </c>
      <c r="E7992">
        <v>3.7825927286081501E-2</v>
      </c>
      <c r="F7992">
        <v>0.75918454883349196</v>
      </c>
      <c r="G7992">
        <v>28.073423862457201</v>
      </c>
      <c r="H7992">
        <v>1</v>
      </c>
      <c r="I7992">
        <v>1</v>
      </c>
      <c r="J7992">
        <v>30</v>
      </c>
    </row>
    <row r="7993" spans="1:10" x14ac:dyDescent="0.25">
      <c r="A7993" t="s">
        <v>27</v>
      </c>
      <c r="B7993" t="s">
        <v>20</v>
      </c>
      <c r="C7993" t="s">
        <v>18</v>
      </c>
      <c r="D7993" t="s">
        <v>14</v>
      </c>
      <c r="E7993">
        <v>3.7825927286081501E-2</v>
      </c>
      <c r="F7993">
        <v>0.75945227967873596</v>
      </c>
      <c r="G7993">
        <v>29.167780637741</v>
      </c>
      <c r="H7993">
        <v>1</v>
      </c>
      <c r="I7993">
        <v>1</v>
      </c>
      <c r="J7993">
        <v>30</v>
      </c>
    </row>
    <row r="7994" spans="1:10" x14ac:dyDescent="0.25">
      <c r="A7994" t="s">
        <v>27</v>
      </c>
      <c r="B7994" t="s">
        <v>20</v>
      </c>
      <c r="C7994" t="s">
        <v>18</v>
      </c>
      <c r="D7994" t="s">
        <v>14</v>
      </c>
      <c r="E7994">
        <v>3.8193169298567697E-2</v>
      </c>
      <c r="F7994">
        <v>0.75954403326683695</v>
      </c>
      <c r="G7994">
        <v>28.3803744316101</v>
      </c>
      <c r="H7994">
        <v>1</v>
      </c>
      <c r="I7994">
        <v>1</v>
      </c>
      <c r="J7994">
        <v>30</v>
      </c>
    </row>
    <row r="7995" spans="1:10" x14ac:dyDescent="0.25">
      <c r="A7995" t="s">
        <v>27</v>
      </c>
      <c r="B7995" t="s">
        <v>20</v>
      </c>
      <c r="C7995" t="s">
        <v>18</v>
      </c>
      <c r="D7995" t="s">
        <v>14</v>
      </c>
      <c r="E7995">
        <v>4.0029379360998901E-2</v>
      </c>
      <c r="F7995">
        <v>0.76000277043888997</v>
      </c>
      <c r="G7995">
        <v>28.442476749420099</v>
      </c>
      <c r="H7995">
        <v>1</v>
      </c>
      <c r="I7995">
        <v>1</v>
      </c>
      <c r="J7995">
        <v>30</v>
      </c>
    </row>
    <row r="7996" spans="1:10" x14ac:dyDescent="0.25">
      <c r="A7996" t="s">
        <v>27</v>
      </c>
      <c r="B7996" t="s">
        <v>20</v>
      </c>
      <c r="C7996" t="s">
        <v>18</v>
      </c>
      <c r="D7996" t="s">
        <v>14</v>
      </c>
      <c r="E7996">
        <v>3.6724201248622801E-2</v>
      </c>
      <c r="F7996">
        <v>0.75917702457216296</v>
      </c>
      <c r="G7996">
        <v>29.163928508758499</v>
      </c>
      <c r="H7996">
        <v>1</v>
      </c>
      <c r="I7996">
        <v>1</v>
      </c>
      <c r="J7996">
        <v>30</v>
      </c>
    </row>
    <row r="7997" spans="1:10" x14ac:dyDescent="0.25">
      <c r="A7997" t="s">
        <v>27</v>
      </c>
      <c r="B7997" t="s">
        <v>20</v>
      </c>
      <c r="C7997" t="s">
        <v>18</v>
      </c>
      <c r="D7997" t="s">
        <v>14</v>
      </c>
      <c r="E7997">
        <v>3.2684539111274301E-2</v>
      </c>
      <c r="F7997">
        <v>0.75816773427836903</v>
      </c>
      <c r="G7997">
        <v>30.460806608199999</v>
      </c>
      <c r="H7997">
        <v>1</v>
      </c>
      <c r="I7997">
        <v>1</v>
      </c>
      <c r="J7997">
        <v>30</v>
      </c>
    </row>
    <row r="7998" spans="1:10" x14ac:dyDescent="0.25">
      <c r="A7998" t="s">
        <v>27</v>
      </c>
      <c r="B7998" t="s">
        <v>20</v>
      </c>
      <c r="C7998" t="s">
        <v>18</v>
      </c>
      <c r="D7998" t="s">
        <v>14</v>
      </c>
      <c r="E7998">
        <v>0.13587954461990401</v>
      </c>
      <c r="F7998">
        <v>0.78359227511714902</v>
      </c>
      <c r="G7998">
        <v>46.819166898727403</v>
      </c>
      <c r="H7998">
        <v>5</v>
      </c>
      <c r="I7998">
        <v>5</v>
      </c>
      <c r="J7998">
        <v>30</v>
      </c>
    </row>
    <row r="7999" spans="1:10" x14ac:dyDescent="0.25">
      <c r="A7999" t="s">
        <v>27</v>
      </c>
      <c r="B7999" t="s">
        <v>20</v>
      </c>
      <c r="C7999" t="s">
        <v>18</v>
      </c>
      <c r="D7999" t="s">
        <v>14</v>
      </c>
      <c r="E7999">
        <v>0.13551230260741801</v>
      </c>
      <c r="F7999">
        <v>0.78328940982996698</v>
      </c>
      <c r="G7999">
        <v>48.162435293197603</v>
      </c>
      <c r="H7999">
        <v>5</v>
      </c>
      <c r="I7999">
        <v>5</v>
      </c>
      <c r="J7999">
        <v>30</v>
      </c>
    </row>
    <row r="8000" spans="1:10" x14ac:dyDescent="0.25">
      <c r="A8000" t="s">
        <v>27</v>
      </c>
      <c r="B8000" t="s">
        <v>20</v>
      </c>
      <c r="C8000" t="s">
        <v>18</v>
      </c>
      <c r="D8000" t="s">
        <v>14</v>
      </c>
      <c r="E8000">
        <v>0.135145060594932</v>
      </c>
      <c r="F8000">
        <v>0.78216205613863299</v>
      </c>
      <c r="G8000">
        <v>47.166748285293501</v>
      </c>
      <c r="H8000">
        <v>5</v>
      </c>
      <c r="I8000">
        <v>5</v>
      </c>
      <c r="J8000">
        <v>30</v>
      </c>
    </row>
    <row r="8001" spans="1:10" x14ac:dyDescent="0.25">
      <c r="A8001" t="s">
        <v>27</v>
      </c>
      <c r="B8001" t="s">
        <v>20</v>
      </c>
      <c r="C8001" t="s">
        <v>18</v>
      </c>
      <c r="D8001" t="s">
        <v>14</v>
      </c>
      <c r="E8001">
        <v>0.150936467131839</v>
      </c>
      <c r="F8001">
        <v>0.78391557604612505</v>
      </c>
      <c r="G8001">
        <v>49.231036663055399</v>
      </c>
      <c r="H8001">
        <v>5</v>
      </c>
      <c r="I8001">
        <v>5</v>
      </c>
      <c r="J8001">
        <v>30</v>
      </c>
    </row>
    <row r="8002" spans="1:10" x14ac:dyDescent="0.25">
      <c r="A8002" t="s">
        <v>27</v>
      </c>
      <c r="B8002" t="s">
        <v>20</v>
      </c>
      <c r="C8002" t="s">
        <v>18</v>
      </c>
      <c r="D8002" t="s">
        <v>14</v>
      </c>
      <c r="E8002">
        <v>0.12706573632023499</v>
      </c>
      <c r="F8002">
        <v>0.78146248598450097</v>
      </c>
      <c r="G8002">
        <v>49.176552772521902</v>
      </c>
      <c r="H8002">
        <v>5</v>
      </c>
      <c r="I8002">
        <v>5</v>
      </c>
      <c r="J8002">
        <v>30</v>
      </c>
    </row>
    <row r="8003" spans="1:10" x14ac:dyDescent="0.25">
      <c r="A8003" t="s">
        <v>27</v>
      </c>
      <c r="B8003" t="s">
        <v>20</v>
      </c>
      <c r="C8003" t="s">
        <v>18</v>
      </c>
      <c r="D8003" t="s">
        <v>14</v>
      </c>
      <c r="E8003">
        <v>0.134777818582445</v>
      </c>
      <c r="F8003">
        <v>0.78303513831788496</v>
      </c>
      <c r="G8003">
        <v>48.430899143218902</v>
      </c>
      <c r="H8003">
        <v>5</v>
      </c>
      <c r="I8003">
        <v>5</v>
      </c>
      <c r="J8003">
        <v>30</v>
      </c>
    </row>
    <row r="8004" spans="1:10" x14ac:dyDescent="0.25">
      <c r="A8004" t="s">
        <v>27</v>
      </c>
      <c r="B8004" t="s">
        <v>20</v>
      </c>
      <c r="C8004" t="s">
        <v>18</v>
      </c>
      <c r="D8004" t="s">
        <v>14</v>
      </c>
      <c r="E8004">
        <v>0.1226588321704</v>
      </c>
      <c r="F8004">
        <v>0.78030912749181003</v>
      </c>
      <c r="G8004">
        <v>50.062813282012897</v>
      </c>
      <c r="H8004">
        <v>5</v>
      </c>
      <c r="I8004">
        <v>5</v>
      </c>
      <c r="J8004">
        <v>30</v>
      </c>
    </row>
    <row r="8005" spans="1:10" x14ac:dyDescent="0.25">
      <c r="A8005" t="s">
        <v>27</v>
      </c>
      <c r="B8005" t="s">
        <v>20</v>
      </c>
      <c r="C8005" t="s">
        <v>18</v>
      </c>
      <c r="D8005" t="s">
        <v>14</v>
      </c>
      <c r="E8005">
        <v>0.13734851266984899</v>
      </c>
      <c r="F8005">
        <v>0.78334241232508195</v>
      </c>
      <c r="G8005">
        <v>49.316487073898301</v>
      </c>
      <c r="H8005">
        <v>5</v>
      </c>
      <c r="I8005">
        <v>5</v>
      </c>
      <c r="J8005">
        <v>30</v>
      </c>
    </row>
    <row r="8006" spans="1:10" x14ac:dyDescent="0.25">
      <c r="A8006" t="s">
        <v>27</v>
      </c>
      <c r="B8006" t="s">
        <v>20</v>
      </c>
      <c r="C8006" t="s">
        <v>18</v>
      </c>
      <c r="D8006" t="s">
        <v>14</v>
      </c>
      <c r="E8006">
        <v>0.145427836944546</v>
      </c>
      <c r="F8006">
        <v>0.78344911188619204</v>
      </c>
      <c r="G8006">
        <v>51.9603333473205</v>
      </c>
      <c r="H8006">
        <v>6</v>
      </c>
      <c r="I8006">
        <v>6</v>
      </c>
      <c r="J8006">
        <v>30</v>
      </c>
    </row>
    <row r="8007" spans="1:10" x14ac:dyDescent="0.25">
      <c r="A8007" t="s">
        <v>27</v>
      </c>
      <c r="B8007" t="s">
        <v>20</v>
      </c>
      <c r="C8007" t="s">
        <v>18</v>
      </c>
      <c r="D8007" t="s">
        <v>14</v>
      </c>
      <c r="E8007">
        <v>0.13073815644509701</v>
      </c>
      <c r="F8007">
        <v>0.78128813627249205</v>
      </c>
      <c r="G8007">
        <v>52.138876914977999</v>
      </c>
      <c r="H8007">
        <v>6</v>
      </c>
      <c r="I8007">
        <v>6</v>
      </c>
      <c r="J8007">
        <v>30</v>
      </c>
    </row>
    <row r="8008" spans="1:10" x14ac:dyDescent="0.25">
      <c r="A8008" t="s">
        <v>27</v>
      </c>
      <c r="B8008" t="s">
        <v>20</v>
      </c>
      <c r="C8008" t="s">
        <v>18</v>
      </c>
      <c r="D8008" t="s">
        <v>14</v>
      </c>
      <c r="E8008">
        <v>0.13845023870730799</v>
      </c>
      <c r="F8008">
        <v>0.78388459954237899</v>
      </c>
      <c r="G8008">
        <v>53.475354194641099</v>
      </c>
      <c r="H8008">
        <v>6</v>
      </c>
      <c r="I8008">
        <v>6</v>
      </c>
      <c r="J8008">
        <v>30</v>
      </c>
    </row>
    <row r="8009" spans="1:10" x14ac:dyDescent="0.25">
      <c r="A8009" t="s">
        <v>27</v>
      </c>
      <c r="B8009" t="s">
        <v>20</v>
      </c>
      <c r="C8009" t="s">
        <v>18</v>
      </c>
      <c r="D8009" t="s">
        <v>14</v>
      </c>
      <c r="E8009">
        <v>0.124127800220345</v>
      </c>
      <c r="F8009">
        <v>0.78004021364450904</v>
      </c>
      <c r="G8009">
        <v>52.808053493499699</v>
      </c>
      <c r="H8009">
        <v>6</v>
      </c>
      <c r="I8009">
        <v>6</v>
      </c>
      <c r="J8009">
        <v>30</v>
      </c>
    </row>
    <row r="8010" spans="1:10" x14ac:dyDescent="0.25">
      <c r="A8010" t="s">
        <v>27</v>
      </c>
      <c r="B8010" t="s">
        <v>20</v>
      </c>
      <c r="C8010" t="s">
        <v>18</v>
      </c>
      <c r="D8010" t="s">
        <v>14</v>
      </c>
      <c r="E8010">
        <v>0.13037091443261101</v>
      </c>
      <c r="F8010">
        <v>0.78235452161814101</v>
      </c>
      <c r="G8010">
        <v>53.261685371398897</v>
      </c>
      <c r="H8010">
        <v>6</v>
      </c>
      <c r="I8010">
        <v>6</v>
      </c>
      <c r="J8010">
        <v>30</v>
      </c>
    </row>
    <row r="8011" spans="1:10" x14ac:dyDescent="0.25">
      <c r="A8011" t="s">
        <v>27</v>
      </c>
      <c r="B8011" t="s">
        <v>20</v>
      </c>
      <c r="C8011" t="s">
        <v>18</v>
      </c>
      <c r="D8011" t="s">
        <v>14</v>
      </c>
      <c r="E8011">
        <v>0.13294160852001399</v>
      </c>
      <c r="F8011">
        <v>0.78212274946551497</v>
      </c>
      <c r="G8011">
        <v>55.817443370818999</v>
      </c>
      <c r="H8011">
        <v>7</v>
      </c>
      <c r="I8011">
        <v>7</v>
      </c>
      <c r="J8011">
        <v>30</v>
      </c>
    </row>
    <row r="8012" spans="1:10" x14ac:dyDescent="0.25">
      <c r="A8012" t="s">
        <v>27</v>
      </c>
      <c r="B8012" t="s">
        <v>20</v>
      </c>
      <c r="C8012" t="s">
        <v>18</v>
      </c>
      <c r="D8012" t="s">
        <v>15</v>
      </c>
      <c r="E8012">
        <v>0</v>
      </c>
      <c r="F8012">
        <v>0.75</v>
      </c>
      <c r="G8012">
        <v>2539.7383410930602</v>
      </c>
      <c r="H8012">
        <v>1</v>
      </c>
      <c r="I8012">
        <v>2</v>
      </c>
      <c r="J8012">
        <v>30</v>
      </c>
    </row>
    <row r="8013" spans="1:10" x14ac:dyDescent="0.25">
      <c r="A8013" t="s">
        <v>27</v>
      </c>
      <c r="B8013" t="s">
        <v>20</v>
      </c>
      <c r="C8013" t="s">
        <v>18</v>
      </c>
      <c r="D8013" t="s">
        <v>15</v>
      </c>
      <c r="E8013">
        <v>0</v>
      </c>
      <c r="F8013">
        <v>0.75</v>
      </c>
      <c r="G8013">
        <v>5296.9697806835102</v>
      </c>
      <c r="H8013">
        <v>3</v>
      </c>
      <c r="I8013">
        <v>10</v>
      </c>
      <c r="J8013">
        <v>30</v>
      </c>
    </row>
    <row r="8014" spans="1:10" x14ac:dyDescent="0.25">
      <c r="A8014" t="s">
        <v>27</v>
      </c>
      <c r="B8014" t="s">
        <v>20</v>
      </c>
      <c r="C8014" t="s">
        <v>18</v>
      </c>
      <c r="D8014" t="s">
        <v>15</v>
      </c>
      <c r="E8014">
        <v>0</v>
      </c>
      <c r="F8014">
        <v>0.75</v>
      </c>
      <c r="G8014">
        <v>8793.0230221748297</v>
      </c>
      <c r="H8014">
        <v>4</v>
      </c>
      <c r="I8014">
        <v>15</v>
      </c>
      <c r="J8014">
        <v>30</v>
      </c>
    </row>
    <row r="8015" spans="1:10" x14ac:dyDescent="0.25">
      <c r="A8015" t="s">
        <v>27</v>
      </c>
      <c r="B8015" t="s">
        <v>20</v>
      </c>
      <c r="C8015" t="s">
        <v>18</v>
      </c>
      <c r="D8015" t="s">
        <v>15</v>
      </c>
      <c r="E8015">
        <v>0</v>
      </c>
      <c r="F8015">
        <v>0.75</v>
      </c>
      <c r="G8015">
        <v>10104.337313652</v>
      </c>
      <c r="H8015">
        <v>4</v>
      </c>
      <c r="I8015">
        <v>14</v>
      </c>
      <c r="J8015">
        <v>30</v>
      </c>
    </row>
    <row r="8016" spans="1:10" x14ac:dyDescent="0.25">
      <c r="A8016" t="s">
        <v>27</v>
      </c>
      <c r="B8016" t="s">
        <v>20</v>
      </c>
      <c r="C8016" t="s">
        <v>18</v>
      </c>
      <c r="D8016" t="s">
        <v>15</v>
      </c>
      <c r="E8016">
        <v>3.6724201248622803E-4</v>
      </c>
      <c r="F8016">
        <v>0.750017443995593</v>
      </c>
      <c r="G8016">
        <v>10510.829288720999</v>
      </c>
      <c r="H8016">
        <v>5</v>
      </c>
      <c r="I8016">
        <v>16</v>
      </c>
      <c r="J8016">
        <v>30</v>
      </c>
    </row>
    <row r="8017" spans="1:10" x14ac:dyDescent="0.25">
      <c r="A8017" t="s">
        <v>27</v>
      </c>
      <c r="B8017" t="s">
        <v>20</v>
      </c>
      <c r="C8017" t="s">
        <v>18</v>
      </c>
      <c r="D8017" t="s">
        <v>15</v>
      </c>
      <c r="E8017">
        <v>3.6724201248622803E-4</v>
      </c>
      <c r="F8017">
        <v>0.750017443995593</v>
      </c>
      <c r="G8017">
        <v>12989.756187438899</v>
      </c>
      <c r="H8017">
        <v>6</v>
      </c>
      <c r="I8017">
        <v>21</v>
      </c>
      <c r="J8017">
        <v>30</v>
      </c>
    </row>
    <row r="8018" spans="1:10" x14ac:dyDescent="0.25">
      <c r="A8018" t="s">
        <v>27</v>
      </c>
      <c r="B8018" t="s">
        <v>20</v>
      </c>
      <c r="C8018" t="s">
        <v>18</v>
      </c>
      <c r="D8018" t="s">
        <v>15</v>
      </c>
      <c r="E8018">
        <v>0</v>
      </c>
      <c r="F8018">
        <v>0.75</v>
      </c>
      <c r="G8018">
        <v>23801.491529941501</v>
      </c>
      <c r="H8018">
        <v>15</v>
      </c>
      <c r="I8018">
        <v>50</v>
      </c>
      <c r="J8018">
        <v>30</v>
      </c>
    </row>
    <row r="8019" spans="1:10" x14ac:dyDescent="0.25">
      <c r="A8019" t="s">
        <v>27</v>
      </c>
      <c r="B8019" t="s">
        <v>20</v>
      </c>
      <c r="C8019" t="s">
        <v>18</v>
      </c>
      <c r="D8019" t="s">
        <v>15</v>
      </c>
      <c r="E8019">
        <v>7.3448402497245605E-4</v>
      </c>
      <c r="F8019">
        <v>0.75003488799118601</v>
      </c>
      <c r="G8019">
        <v>31731.7839972972</v>
      </c>
      <c r="H8019">
        <v>22</v>
      </c>
      <c r="I8019">
        <v>66</v>
      </c>
      <c r="J8019">
        <v>30</v>
      </c>
    </row>
    <row r="8020" spans="1:10" x14ac:dyDescent="0.25">
      <c r="A8020" t="s">
        <v>27</v>
      </c>
      <c r="B8020" t="s">
        <v>20</v>
      </c>
      <c r="C8020" t="s">
        <v>18</v>
      </c>
      <c r="D8020" t="s">
        <v>15</v>
      </c>
      <c r="E8020">
        <v>7.3448402497245605E-4</v>
      </c>
      <c r="F8020">
        <v>0.75003488799118601</v>
      </c>
      <c r="G8020">
        <v>47110.832301616603</v>
      </c>
      <c r="H8020">
        <v>28</v>
      </c>
      <c r="I8020">
        <v>91</v>
      </c>
      <c r="J8020">
        <v>30</v>
      </c>
    </row>
    <row r="8021" spans="1:10" x14ac:dyDescent="0.25">
      <c r="A8021" t="s">
        <v>27</v>
      </c>
      <c r="B8021" t="s">
        <v>20</v>
      </c>
      <c r="C8021" t="s">
        <v>18</v>
      </c>
      <c r="D8021" t="s">
        <v>15</v>
      </c>
      <c r="E8021">
        <v>2.2034520749173699E-3</v>
      </c>
      <c r="F8021">
        <v>0.75010466397355802</v>
      </c>
      <c r="G8021">
        <v>49185.259235620499</v>
      </c>
      <c r="H8021">
        <v>35</v>
      </c>
      <c r="I8021">
        <v>101</v>
      </c>
      <c r="J8021">
        <v>30</v>
      </c>
    </row>
    <row r="8022" spans="1:10" x14ac:dyDescent="0.25">
      <c r="A8022" t="s">
        <v>27</v>
      </c>
      <c r="B8022" t="s">
        <v>20</v>
      </c>
      <c r="C8022" t="s">
        <v>18</v>
      </c>
      <c r="D8022" t="s">
        <v>15</v>
      </c>
      <c r="E8022">
        <v>2.5706940874035901E-3</v>
      </c>
      <c r="F8022">
        <v>0.75012210796915102</v>
      </c>
      <c r="G8022">
        <v>49588.725281238498</v>
      </c>
      <c r="H8022">
        <v>33</v>
      </c>
      <c r="I8022">
        <v>101</v>
      </c>
      <c r="J8022">
        <v>30</v>
      </c>
    </row>
    <row r="8023" spans="1:10" x14ac:dyDescent="0.25">
      <c r="A8023" t="s">
        <v>27</v>
      </c>
      <c r="B8023" t="s">
        <v>20</v>
      </c>
      <c r="C8023" t="s">
        <v>18</v>
      </c>
      <c r="D8023" t="s">
        <v>15</v>
      </c>
      <c r="E8023">
        <v>7.3448402497245605E-4</v>
      </c>
      <c r="F8023">
        <v>0.75001560778553</v>
      </c>
      <c r="G8023">
        <v>51594.299837112398</v>
      </c>
      <c r="H8023">
        <v>35</v>
      </c>
      <c r="I8023">
        <v>108</v>
      </c>
      <c r="J8023">
        <v>30</v>
      </c>
    </row>
    <row r="8024" spans="1:10" x14ac:dyDescent="0.25">
      <c r="A8024" t="s">
        <v>27</v>
      </c>
      <c r="B8024" t="s">
        <v>20</v>
      </c>
      <c r="C8024" t="s">
        <v>18</v>
      </c>
      <c r="D8024" t="s">
        <v>15</v>
      </c>
      <c r="E8024">
        <v>4.0396621373485096E-3</v>
      </c>
      <c r="F8024">
        <v>0.75015332354021302</v>
      </c>
      <c r="G8024">
        <v>54139.514008998798</v>
      </c>
      <c r="H8024">
        <v>36</v>
      </c>
      <c r="I8024">
        <v>122</v>
      </c>
      <c r="J8024">
        <v>30</v>
      </c>
    </row>
    <row r="8025" spans="1:10" x14ac:dyDescent="0.25">
      <c r="A8025" t="s">
        <v>27</v>
      </c>
      <c r="B8025" t="s">
        <v>20</v>
      </c>
      <c r="C8025" t="s">
        <v>18</v>
      </c>
      <c r="D8025" t="s">
        <v>15</v>
      </c>
      <c r="E8025">
        <v>2.5706940874035901E-3</v>
      </c>
      <c r="F8025">
        <v>0.75010139927366803</v>
      </c>
      <c r="G8025">
        <v>58379.651541471401</v>
      </c>
      <c r="H8025">
        <v>39</v>
      </c>
      <c r="I8025">
        <v>116</v>
      </c>
      <c r="J8025">
        <v>30</v>
      </c>
    </row>
    <row r="8026" spans="1:10" x14ac:dyDescent="0.25">
      <c r="A8026" t="s">
        <v>27</v>
      </c>
      <c r="B8026" t="s">
        <v>20</v>
      </c>
      <c r="C8026" t="s">
        <v>18</v>
      </c>
      <c r="D8026" t="s">
        <v>15</v>
      </c>
      <c r="E8026">
        <v>1.10172603745868E-3</v>
      </c>
      <c r="F8026">
        <v>0.75005233198677901</v>
      </c>
      <c r="G8026">
        <v>59869.236429929697</v>
      </c>
      <c r="H8026">
        <v>40</v>
      </c>
      <c r="I8026">
        <v>111</v>
      </c>
      <c r="J8026">
        <v>30</v>
      </c>
    </row>
    <row r="8027" spans="1:10" x14ac:dyDescent="0.25">
      <c r="A8027" t="s">
        <v>27</v>
      </c>
      <c r="B8027" t="s">
        <v>20</v>
      </c>
      <c r="C8027" t="s">
        <v>18</v>
      </c>
      <c r="D8027" t="s">
        <v>15</v>
      </c>
      <c r="E8027">
        <v>1.10172603745868E-3</v>
      </c>
      <c r="F8027">
        <v>0.75004955329089196</v>
      </c>
      <c r="G8027">
        <v>65525.908066034302</v>
      </c>
      <c r="H8027">
        <v>48</v>
      </c>
      <c r="I8027">
        <v>127</v>
      </c>
      <c r="J8027">
        <v>30</v>
      </c>
    </row>
    <row r="8028" spans="1:10" x14ac:dyDescent="0.25">
      <c r="A8028" t="s">
        <v>27</v>
      </c>
      <c r="B8028" t="s">
        <v>20</v>
      </c>
      <c r="C8028" t="s">
        <v>18</v>
      </c>
      <c r="D8028" t="s">
        <v>15</v>
      </c>
      <c r="E8028">
        <v>4.0396621373485096E-3</v>
      </c>
      <c r="F8028">
        <v>0.75018632655975004</v>
      </c>
      <c r="G8028">
        <v>68026.107040882096</v>
      </c>
      <c r="H8028">
        <v>52</v>
      </c>
      <c r="I8028">
        <v>146</v>
      </c>
      <c r="J8028">
        <v>30</v>
      </c>
    </row>
    <row r="8029" spans="1:10" x14ac:dyDescent="0.25">
      <c r="A8029" t="s">
        <v>27</v>
      </c>
      <c r="B8029" t="s">
        <v>20</v>
      </c>
      <c r="C8029" t="s">
        <v>18</v>
      </c>
      <c r="D8029" t="s">
        <v>15</v>
      </c>
      <c r="E8029">
        <v>3.6724201248622798E-3</v>
      </c>
      <c r="F8029">
        <v>0.75017443995593103</v>
      </c>
      <c r="G8029">
        <v>69002.921815395297</v>
      </c>
      <c r="H8029">
        <v>52</v>
      </c>
      <c r="I8029">
        <v>164</v>
      </c>
      <c r="J8029">
        <v>30</v>
      </c>
    </row>
    <row r="8030" spans="1:10" x14ac:dyDescent="0.25">
      <c r="A8030" t="s">
        <v>27</v>
      </c>
      <c r="B8030" t="s">
        <v>20</v>
      </c>
      <c r="C8030" t="s">
        <v>18</v>
      </c>
      <c r="D8030" t="s">
        <v>15</v>
      </c>
      <c r="E8030">
        <v>3.3051781123760501E-3</v>
      </c>
      <c r="F8030">
        <v>0.75015699596033703</v>
      </c>
      <c r="G8030">
        <v>73634.059129714893</v>
      </c>
      <c r="H8030">
        <v>55</v>
      </c>
      <c r="I8030">
        <v>171</v>
      </c>
      <c r="J8030">
        <v>30</v>
      </c>
    </row>
    <row r="8031" spans="1:10" x14ac:dyDescent="0.25">
      <c r="A8031" t="s">
        <v>27</v>
      </c>
      <c r="B8031" t="s">
        <v>20</v>
      </c>
      <c r="C8031" t="s">
        <v>18</v>
      </c>
      <c r="D8031" t="s">
        <v>15</v>
      </c>
      <c r="E8031">
        <v>5.1413881748071898E-3</v>
      </c>
      <c r="F8031">
        <v>0.75024421593830304</v>
      </c>
      <c r="G8031">
        <v>76749.613481283101</v>
      </c>
      <c r="H8031">
        <v>63</v>
      </c>
      <c r="I8031">
        <v>180</v>
      </c>
      <c r="J8031">
        <v>30</v>
      </c>
    </row>
    <row r="8032" spans="1:10" x14ac:dyDescent="0.25">
      <c r="A8032" t="s">
        <v>27</v>
      </c>
      <c r="B8032" t="s">
        <v>20</v>
      </c>
      <c r="C8032" t="s">
        <v>18</v>
      </c>
      <c r="D8032" t="s">
        <v>15</v>
      </c>
      <c r="E8032">
        <v>4.7741461623209596E-3</v>
      </c>
      <c r="F8032">
        <v>0.75022677194271004</v>
      </c>
      <c r="G8032">
        <v>93375.323183298096</v>
      </c>
      <c r="H8032">
        <v>88</v>
      </c>
      <c r="I8032">
        <v>265</v>
      </c>
      <c r="J8032">
        <v>30</v>
      </c>
    </row>
    <row r="8033" spans="1:10" x14ac:dyDescent="0.25">
      <c r="A8033" t="s">
        <v>27</v>
      </c>
      <c r="B8033" t="s">
        <v>20</v>
      </c>
      <c r="C8033" t="s">
        <v>18</v>
      </c>
      <c r="D8033" t="s">
        <v>15</v>
      </c>
      <c r="E8033">
        <v>5.50863018729342E-3</v>
      </c>
      <c r="F8033">
        <v>0.75024294058839502</v>
      </c>
      <c r="G8033">
        <v>96425.516599655093</v>
      </c>
      <c r="H8033">
        <v>94</v>
      </c>
      <c r="I8033">
        <v>265</v>
      </c>
      <c r="J8033">
        <v>30</v>
      </c>
    </row>
    <row r="8034" spans="1:10" x14ac:dyDescent="0.25">
      <c r="A8034" t="s">
        <v>27</v>
      </c>
      <c r="B8034" t="s">
        <v>20</v>
      </c>
      <c r="C8034" t="s">
        <v>18</v>
      </c>
      <c r="D8034" t="s">
        <v>15</v>
      </c>
      <c r="E8034">
        <v>9.5482923246419295E-3</v>
      </c>
      <c r="F8034">
        <v>0.75042592759210403</v>
      </c>
      <c r="G8034">
        <v>97645.131141901002</v>
      </c>
      <c r="H8034">
        <v>102</v>
      </c>
      <c r="I8034">
        <v>289</v>
      </c>
      <c r="J8034">
        <v>30</v>
      </c>
    </row>
    <row r="8035" spans="1:10" x14ac:dyDescent="0.25">
      <c r="A8035" t="s">
        <v>27</v>
      </c>
      <c r="B8035" t="s">
        <v>20</v>
      </c>
      <c r="C8035" t="s">
        <v>18</v>
      </c>
      <c r="D8035" t="s">
        <v>15</v>
      </c>
      <c r="E8035">
        <v>5.8758721997796502E-3</v>
      </c>
      <c r="F8035">
        <v>0.75025982372383404</v>
      </c>
      <c r="G8035">
        <v>98110.741233825596</v>
      </c>
      <c r="H8035">
        <v>100</v>
      </c>
      <c r="I8035">
        <v>301</v>
      </c>
      <c r="J8035">
        <v>30</v>
      </c>
    </row>
    <row r="8036" spans="1:10" x14ac:dyDescent="0.25">
      <c r="A8036" t="s">
        <v>27</v>
      </c>
      <c r="B8036" t="s">
        <v>20</v>
      </c>
      <c r="C8036" t="s">
        <v>18</v>
      </c>
      <c r="D8036" t="s">
        <v>15</v>
      </c>
      <c r="E8036">
        <v>7.7120822622107899E-3</v>
      </c>
      <c r="F8036">
        <v>0.75036632390745495</v>
      </c>
      <c r="G8036">
        <v>102510.925938129</v>
      </c>
      <c r="H8036">
        <v>121</v>
      </c>
      <c r="I8036">
        <v>363</v>
      </c>
      <c r="J8036">
        <v>30</v>
      </c>
    </row>
    <row r="8037" spans="1:10" x14ac:dyDescent="0.25">
      <c r="A8037" t="s">
        <v>27</v>
      </c>
      <c r="B8037" t="s">
        <v>20</v>
      </c>
      <c r="C8037" t="s">
        <v>18</v>
      </c>
      <c r="D8037" t="s">
        <v>15</v>
      </c>
      <c r="E8037">
        <v>8.8138082996694796E-3</v>
      </c>
      <c r="F8037">
        <v>0.75035915830168898</v>
      </c>
      <c r="G8037">
        <v>111043.228876829</v>
      </c>
      <c r="H8037">
        <v>149</v>
      </c>
      <c r="I8037">
        <v>384</v>
      </c>
      <c r="J8037">
        <v>30</v>
      </c>
    </row>
    <row r="8038" spans="1:10" x14ac:dyDescent="0.25">
      <c r="A8038" t="s">
        <v>27</v>
      </c>
      <c r="B8038" t="s">
        <v>20</v>
      </c>
      <c r="C8038" t="s">
        <v>18</v>
      </c>
      <c r="D8038" t="s">
        <v>15</v>
      </c>
      <c r="E8038">
        <v>1.06500183621006E-2</v>
      </c>
      <c r="F8038">
        <v>0.75050850485574705</v>
      </c>
      <c r="G8038">
        <v>112045.620549678</v>
      </c>
      <c r="H8038">
        <v>153</v>
      </c>
      <c r="I8038">
        <v>465</v>
      </c>
      <c r="J8038">
        <v>30</v>
      </c>
    </row>
    <row r="8039" spans="1:10" x14ac:dyDescent="0.25">
      <c r="A8039" t="s">
        <v>27</v>
      </c>
      <c r="B8039" t="s">
        <v>20</v>
      </c>
      <c r="C8039" t="s">
        <v>18</v>
      </c>
      <c r="D8039" t="s">
        <v>15</v>
      </c>
      <c r="E8039">
        <v>9.9155343371281606E-3</v>
      </c>
      <c r="F8039">
        <v>0.75037904812908496</v>
      </c>
      <c r="G8039">
        <v>114929.50798487601</v>
      </c>
      <c r="H8039">
        <v>170</v>
      </c>
      <c r="I8039">
        <v>475</v>
      </c>
      <c r="J8039">
        <v>30</v>
      </c>
    </row>
    <row r="8040" spans="1:10" x14ac:dyDescent="0.25">
      <c r="A8040" t="s">
        <v>27</v>
      </c>
      <c r="B8040" t="s">
        <v>20</v>
      </c>
      <c r="C8040" t="s">
        <v>18</v>
      </c>
      <c r="D8040" t="s">
        <v>15</v>
      </c>
      <c r="E8040">
        <v>1.83621006243114E-2</v>
      </c>
      <c r="F8040">
        <v>0.75083697892438495</v>
      </c>
      <c r="G8040">
        <v>120724.00983452699</v>
      </c>
      <c r="H8040">
        <v>213</v>
      </c>
      <c r="I8040">
        <v>574</v>
      </c>
      <c r="J8040">
        <v>30</v>
      </c>
    </row>
    <row r="8041" spans="1:10" x14ac:dyDescent="0.25">
      <c r="A8041" t="s">
        <v>27</v>
      </c>
      <c r="B8041" t="s">
        <v>20</v>
      </c>
      <c r="C8041" t="s">
        <v>18</v>
      </c>
      <c r="D8041" t="s">
        <v>15</v>
      </c>
      <c r="E8041">
        <v>1.54241645244215E-2</v>
      </c>
      <c r="F8041">
        <v>0.75071058891336695</v>
      </c>
      <c r="G8041">
        <v>124002.764706134</v>
      </c>
      <c r="H8041">
        <v>265</v>
      </c>
      <c r="I8041">
        <v>683</v>
      </c>
      <c r="J8041">
        <v>30</v>
      </c>
    </row>
    <row r="8042" spans="1:10" x14ac:dyDescent="0.25">
      <c r="A8042" t="s">
        <v>27</v>
      </c>
      <c r="B8042" t="s">
        <v>20</v>
      </c>
      <c r="C8042" t="s">
        <v>18</v>
      </c>
      <c r="D8042" t="s">
        <v>16</v>
      </c>
      <c r="E8042">
        <v>0</v>
      </c>
      <c r="F8042">
        <v>0.75</v>
      </c>
      <c r="G8042">
        <v>10.156940937042201</v>
      </c>
      <c r="H8042">
        <v>0</v>
      </c>
      <c r="I8042">
        <v>0</v>
      </c>
      <c r="J8042">
        <v>30</v>
      </c>
    </row>
    <row r="8043" spans="1:10" x14ac:dyDescent="0.25">
      <c r="A8043" t="s">
        <v>27</v>
      </c>
      <c r="B8043" t="s">
        <v>20</v>
      </c>
      <c r="C8043" t="s">
        <v>18</v>
      </c>
      <c r="D8043" t="s">
        <v>16</v>
      </c>
      <c r="E8043">
        <v>0</v>
      </c>
      <c r="F8043">
        <v>0.75</v>
      </c>
      <c r="G8043">
        <v>10.1059200763702</v>
      </c>
      <c r="H8043">
        <v>0</v>
      </c>
      <c r="I8043">
        <v>0</v>
      </c>
      <c r="J8043">
        <v>30</v>
      </c>
    </row>
    <row r="8044" spans="1:10" x14ac:dyDescent="0.25">
      <c r="A8044" t="s">
        <v>27</v>
      </c>
      <c r="B8044" t="s">
        <v>20</v>
      </c>
      <c r="C8044" t="s">
        <v>18</v>
      </c>
      <c r="D8044" t="s">
        <v>16</v>
      </c>
      <c r="E8044">
        <v>0</v>
      </c>
      <c r="F8044">
        <v>0.75</v>
      </c>
      <c r="G8044">
        <v>47.714327096939002</v>
      </c>
      <c r="H8044">
        <v>0</v>
      </c>
      <c r="I8044">
        <v>0</v>
      </c>
      <c r="J8044">
        <v>30</v>
      </c>
    </row>
    <row r="8045" spans="1:10" x14ac:dyDescent="0.25">
      <c r="A8045" t="s">
        <v>27</v>
      </c>
      <c r="B8045" t="s">
        <v>20</v>
      </c>
      <c r="C8045" t="s">
        <v>18</v>
      </c>
      <c r="D8045" t="s">
        <v>16</v>
      </c>
      <c r="E8045">
        <v>0</v>
      </c>
      <c r="F8045">
        <v>0.75</v>
      </c>
      <c r="G8045">
        <v>47.893068075179997</v>
      </c>
      <c r="H8045">
        <v>0</v>
      </c>
      <c r="I8045">
        <v>0</v>
      </c>
      <c r="J8045">
        <v>30</v>
      </c>
    </row>
    <row r="8046" spans="1:10" x14ac:dyDescent="0.25">
      <c r="A8046" t="s">
        <v>27</v>
      </c>
      <c r="B8046" t="s">
        <v>20</v>
      </c>
      <c r="C8046" t="s">
        <v>18</v>
      </c>
      <c r="D8046" t="s">
        <v>16</v>
      </c>
      <c r="E8046">
        <v>0</v>
      </c>
      <c r="F8046">
        <v>0.75</v>
      </c>
      <c r="G8046">
        <v>48.278894186019897</v>
      </c>
      <c r="H8046">
        <v>0</v>
      </c>
      <c r="I8046">
        <v>0</v>
      </c>
      <c r="J8046">
        <v>30</v>
      </c>
    </row>
    <row r="8047" spans="1:10" x14ac:dyDescent="0.25">
      <c r="A8047" t="s">
        <v>27</v>
      </c>
      <c r="B8047" t="s">
        <v>20</v>
      </c>
      <c r="C8047" t="s">
        <v>18</v>
      </c>
      <c r="D8047" t="s">
        <v>16</v>
      </c>
      <c r="E8047">
        <v>0</v>
      </c>
      <c r="F8047">
        <v>0.75</v>
      </c>
      <c r="G8047">
        <v>48.465984582901001</v>
      </c>
      <c r="H8047">
        <v>0</v>
      </c>
      <c r="I8047">
        <v>0</v>
      </c>
      <c r="J8047">
        <v>30</v>
      </c>
    </row>
    <row r="8048" spans="1:10" x14ac:dyDescent="0.25">
      <c r="A8048" t="s">
        <v>27</v>
      </c>
      <c r="B8048" t="s">
        <v>20</v>
      </c>
      <c r="C8048" t="s">
        <v>18</v>
      </c>
      <c r="D8048" t="s">
        <v>16</v>
      </c>
      <c r="E8048">
        <v>0</v>
      </c>
      <c r="F8048">
        <v>0.75</v>
      </c>
      <c r="G8048">
        <v>48.543732404708798</v>
      </c>
      <c r="H8048">
        <v>0</v>
      </c>
      <c r="I8048">
        <v>0</v>
      </c>
      <c r="J8048">
        <v>30</v>
      </c>
    </row>
    <row r="8049" spans="1:10" x14ac:dyDescent="0.25">
      <c r="A8049" t="s">
        <v>27</v>
      </c>
      <c r="B8049" t="s">
        <v>20</v>
      </c>
      <c r="C8049" t="s">
        <v>18</v>
      </c>
      <c r="D8049" t="s">
        <v>16</v>
      </c>
      <c r="E8049">
        <v>0</v>
      </c>
      <c r="F8049">
        <v>0.75</v>
      </c>
      <c r="G8049">
        <v>49.094732761383</v>
      </c>
      <c r="H8049">
        <v>0</v>
      </c>
      <c r="I8049">
        <v>0</v>
      </c>
      <c r="J8049">
        <v>30</v>
      </c>
    </row>
    <row r="8050" spans="1:10" x14ac:dyDescent="0.25">
      <c r="A8050" t="s">
        <v>27</v>
      </c>
      <c r="B8050" t="s">
        <v>20</v>
      </c>
      <c r="C8050" t="s">
        <v>18</v>
      </c>
      <c r="D8050" t="s">
        <v>16</v>
      </c>
      <c r="E8050">
        <v>0</v>
      </c>
      <c r="F8050">
        <v>0.75</v>
      </c>
      <c r="G8050">
        <v>49.231591463088897</v>
      </c>
      <c r="H8050">
        <v>0</v>
      </c>
      <c r="I8050">
        <v>0</v>
      </c>
      <c r="J8050">
        <v>30</v>
      </c>
    </row>
    <row r="8051" spans="1:10" x14ac:dyDescent="0.25">
      <c r="A8051" t="s">
        <v>27</v>
      </c>
      <c r="B8051" t="s">
        <v>20</v>
      </c>
      <c r="C8051" t="s">
        <v>18</v>
      </c>
      <c r="D8051" t="s">
        <v>16</v>
      </c>
      <c r="E8051">
        <v>0</v>
      </c>
      <c r="F8051">
        <v>0.75</v>
      </c>
      <c r="G8051">
        <v>49.367398738860999</v>
      </c>
      <c r="H8051">
        <v>0</v>
      </c>
      <c r="I8051">
        <v>0</v>
      </c>
      <c r="J8051">
        <v>30</v>
      </c>
    </row>
    <row r="8052" spans="1:10" x14ac:dyDescent="0.25">
      <c r="A8052" t="s">
        <v>27</v>
      </c>
      <c r="B8052" t="s">
        <v>20</v>
      </c>
      <c r="C8052" t="s">
        <v>18</v>
      </c>
      <c r="D8052" t="s">
        <v>16</v>
      </c>
      <c r="E8052">
        <v>0</v>
      </c>
      <c r="F8052">
        <v>0.75</v>
      </c>
      <c r="G8052">
        <v>49.3348965644836</v>
      </c>
      <c r="H8052">
        <v>0</v>
      </c>
      <c r="I8052">
        <v>0</v>
      </c>
      <c r="J8052">
        <v>30</v>
      </c>
    </row>
    <row r="8053" spans="1:10" x14ac:dyDescent="0.25">
      <c r="A8053" t="s">
        <v>27</v>
      </c>
      <c r="B8053" t="s">
        <v>20</v>
      </c>
      <c r="C8053" t="s">
        <v>18</v>
      </c>
      <c r="D8053" t="s">
        <v>16</v>
      </c>
      <c r="E8053">
        <v>0</v>
      </c>
      <c r="F8053">
        <v>0.75</v>
      </c>
      <c r="G8053">
        <v>49.960710525512603</v>
      </c>
      <c r="H8053">
        <v>0</v>
      </c>
      <c r="I8053">
        <v>0</v>
      </c>
      <c r="J8053">
        <v>30</v>
      </c>
    </row>
    <row r="8054" spans="1:10" x14ac:dyDescent="0.25">
      <c r="A8054" t="s">
        <v>27</v>
      </c>
      <c r="B8054" t="s">
        <v>20</v>
      </c>
      <c r="C8054" t="s">
        <v>18</v>
      </c>
      <c r="D8054" t="s">
        <v>16</v>
      </c>
      <c r="E8054">
        <v>0</v>
      </c>
      <c r="F8054">
        <v>0.75</v>
      </c>
      <c r="G8054">
        <v>49.957108259201</v>
      </c>
      <c r="H8054">
        <v>0</v>
      </c>
      <c r="I8054">
        <v>0</v>
      </c>
      <c r="J8054">
        <v>30</v>
      </c>
    </row>
    <row r="8055" spans="1:10" x14ac:dyDescent="0.25">
      <c r="A8055" t="s">
        <v>27</v>
      </c>
      <c r="B8055" t="s">
        <v>20</v>
      </c>
      <c r="C8055" t="s">
        <v>18</v>
      </c>
      <c r="D8055" t="s">
        <v>16</v>
      </c>
      <c r="E8055">
        <v>0</v>
      </c>
      <c r="F8055">
        <v>0.75</v>
      </c>
      <c r="G8055">
        <v>50.034220218658398</v>
      </c>
      <c r="H8055">
        <v>0</v>
      </c>
      <c r="I8055">
        <v>0</v>
      </c>
      <c r="J8055">
        <v>30</v>
      </c>
    </row>
    <row r="8056" spans="1:10" x14ac:dyDescent="0.25">
      <c r="A8056" t="s">
        <v>27</v>
      </c>
      <c r="B8056" t="s">
        <v>20</v>
      </c>
      <c r="C8056" t="s">
        <v>18</v>
      </c>
      <c r="D8056" t="s">
        <v>16</v>
      </c>
      <c r="E8056">
        <v>0</v>
      </c>
      <c r="F8056">
        <v>0.75</v>
      </c>
      <c r="G8056">
        <v>50.169466733932403</v>
      </c>
      <c r="H8056">
        <v>0</v>
      </c>
      <c r="I8056">
        <v>0</v>
      </c>
      <c r="J8056">
        <v>30</v>
      </c>
    </row>
    <row r="8057" spans="1:10" x14ac:dyDescent="0.25">
      <c r="A8057" t="s">
        <v>27</v>
      </c>
      <c r="B8057" t="s">
        <v>20</v>
      </c>
      <c r="C8057" t="s">
        <v>18</v>
      </c>
      <c r="D8057" t="s">
        <v>16</v>
      </c>
      <c r="E8057">
        <v>0</v>
      </c>
      <c r="F8057">
        <v>0.75</v>
      </c>
      <c r="G8057">
        <v>50.144375801086397</v>
      </c>
      <c r="H8057">
        <v>0</v>
      </c>
      <c r="I8057">
        <v>0</v>
      </c>
      <c r="J8057">
        <v>30</v>
      </c>
    </row>
    <row r="8058" spans="1:10" x14ac:dyDescent="0.25">
      <c r="A8058" t="s">
        <v>27</v>
      </c>
      <c r="B8058" t="s">
        <v>20</v>
      </c>
      <c r="C8058" t="s">
        <v>18</v>
      </c>
      <c r="D8058" t="s">
        <v>16</v>
      </c>
      <c r="E8058">
        <v>0</v>
      </c>
      <c r="F8058">
        <v>0.75</v>
      </c>
      <c r="G8058">
        <v>50.345387935638399</v>
      </c>
      <c r="H8058">
        <v>0</v>
      </c>
      <c r="I8058">
        <v>0</v>
      </c>
      <c r="J8058">
        <v>30</v>
      </c>
    </row>
    <row r="8059" spans="1:10" x14ac:dyDescent="0.25">
      <c r="A8059" t="s">
        <v>27</v>
      </c>
      <c r="B8059" t="s">
        <v>20</v>
      </c>
      <c r="C8059" t="s">
        <v>18</v>
      </c>
      <c r="D8059" t="s">
        <v>16</v>
      </c>
      <c r="E8059">
        <v>0</v>
      </c>
      <c r="F8059">
        <v>0.75</v>
      </c>
      <c r="G8059">
        <v>50.378997564315704</v>
      </c>
      <c r="H8059">
        <v>0</v>
      </c>
      <c r="I8059">
        <v>0</v>
      </c>
      <c r="J8059">
        <v>30</v>
      </c>
    </row>
    <row r="8060" spans="1:10" x14ac:dyDescent="0.25">
      <c r="A8060" t="s">
        <v>27</v>
      </c>
      <c r="B8060" t="s">
        <v>20</v>
      </c>
      <c r="C8060" t="s">
        <v>18</v>
      </c>
      <c r="D8060" t="s">
        <v>16</v>
      </c>
      <c r="E8060">
        <v>0</v>
      </c>
      <c r="F8060">
        <v>0.75</v>
      </c>
      <c r="G8060">
        <v>50.456646680831902</v>
      </c>
      <c r="H8060">
        <v>0</v>
      </c>
      <c r="I8060">
        <v>0</v>
      </c>
      <c r="J8060">
        <v>30</v>
      </c>
    </row>
    <row r="8061" spans="1:10" x14ac:dyDescent="0.25">
      <c r="A8061" t="s">
        <v>27</v>
      </c>
      <c r="B8061" t="s">
        <v>20</v>
      </c>
      <c r="C8061" t="s">
        <v>18</v>
      </c>
      <c r="D8061" t="s">
        <v>16</v>
      </c>
      <c r="E8061">
        <v>0</v>
      </c>
      <c r="F8061">
        <v>0.75</v>
      </c>
      <c r="G8061">
        <v>50.735383987426701</v>
      </c>
      <c r="H8061">
        <v>0</v>
      </c>
      <c r="I8061">
        <v>0</v>
      </c>
      <c r="J8061">
        <v>30</v>
      </c>
    </row>
    <row r="8062" spans="1:10" x14ac:dyDescent="0.25">
      <c r="A8062" t="s">
        <v>27</v>
      </c>
      <c r="B8062" t="s">
        <v>20</v>
      </c>
      <c r="C8062" t="s">
        <v>18</v>
      </c>
      <c r="D8062" t="s">
        <v>16</v>
      </c>
      <c r="E8062">
        <v>0</v>
      </c>
      <c r="F8062">
        <v>0.75</v>
      </c>
      <c r="G8062">
        <v>51.240364313125603</v>
      </c>
      <c r="H8062">
        <v>0</v>
      </c>
      <c r="I8062">
        <v>0</v>
      </c>
      <c r="J8062">
        <v>30</v>
      </c>
    </row>
    <row r="8063" spans="1:10" x14ac:dyDescent="0.25">
      <c r="A8063" t="s">
        <v>27</v>
      </c>
      <c r="B8063" t="s">
        <v>20</v>
      </c>
      <c r="C8063" t="s">
        <v>18</v>
      </c>
      <c r="D8063" t="s">
        <v>16</v>
      </c>
      <c r="E8063">
        <v>0</v>
      </c>
      <c r="F8063">
        <v>0.75</v>
      </c>
      <c r="G8063">
        <v>51.2664055824279</v>
      </c>
      <c r="H8063">
        <v>0</v>
      </c>
      <c r="I8063">
        <v>0</v>
      </c>
      <c r="J8063">
        <v>30</v>
      </c>
    </row>
    <row r="8064" spans="1:10" x14ac:dyDescent="0.25">
      <c r="A8064" t="s">
        <v>27</v>
      </c>
      <c r="B8064" t="s">
        <v>20</v>
      </c>
      <c r="C8064" t="s">
        <v>18</v>
      </c>
      <c r="D8064" t="s">
        <v>16</v>
      </c>
      <c r="E8064">
        <v>0</v>
      </c>
      <c r="F8064">
        <v>0.75</v>
      </c>
      <c r="G8064">
        <v>51.334110736846903</v>
      </c>
      <c r="H8064">
        <v>0</v>
      </c>
      <c r="I8064">
        <v>0</v>
      </c>
      <c r="J8064">
        <v>30</v>
      </c>
    </row>
    <row r="8065" spans="1:10" x14ac:dyDescent="0.25">
      <c r="A8065" t="s">
        <v>27</v>
      </c>
      <c r="B8065" t="s">
        <v>20</v>
      </c>
      <c r="C8065" t="s">
        <v>18</v>
      </c>
      <c r="D8065" t="s">
        <v>16</v>
      </c>
      <c r="E8065">
        <v>0</v>
      </c>
      <c r="F8065">
        <v>0.75</v>
      </c>
      <c r="G8065">
        <v>51.336822032928403</v>
      </c>
      <c r="H8065">
        <v>0</v>
      </c>
      <c r="I8065">
        <v>0</v>
      </c>
      <c r="J8065">
        <v>30</v>
      </c>
    </row>
    <row r="8066" spans="1:10" x14ac:dyDescent="0.25">
      <c r="A8066" t="s">
        <v>27</v>
      </c>
      <c r="B8066" t="s">
        <v>20</v>
      </c>
      <c r="C8066" t="s">
        <v>18</v>
      </c>
      <c r="D8066" t="s">
        <v>16</v>
      </c>
      <c r="E8066">
        <v>0</v>
      </c>
      <c r="F8066">
        <v>0.75</v>
      </c>
      <c r="G8066">
        <v>51.511839628219597</v>
      </c>
      <c r="H8066">
        <v>0</v>
      </c>
      <c r="I8066">
        <v>0</v>
      </c>
      <c r="J8066">
        <v>30</v>
      </c>
    </row>
    <row r="8067" spans="1:10" x14ac:dyDescent="0.25">
      <c r="A8067" t="s">
        <v>27</v>
      </c>
      <c r="B8067" t="s">
        <v>20</v>
      </c>
      <c r="C8067" t="s">
        <v>18</v>
      </c>
      <c r="D8067" t="s">
        <v>16</v>
      </c>
      <c r="E8067">
        <v>0</v>
      </c>
      <c r="F8067">
        <v>0.75</v>
      </c>
      <c r="G8067">
        <v>51.656811475753699</v>
      </c>
      <c r="H8067">
        <v>0</v>
      </c>
      <c r="I8067">
        <v>0</v>
      </c>
      <c r="J8067">
        <v>30</v>
      </c>
    </row>
    <row r="8068" spans="1:10" x14ac:dyDescent="0.25">
      <c r="A8068" t="s">
        <v>27</v>
      </c>
      <c r="B8068" t="s">
        <v>20</v>
      </c>
      <c r="C8068" t="s">
        <v>18</v>
      </c>
      <c r="D8068" t="s">
        <v>16</v>
      </c>
      <c r="E8068">
        <v>0</v>
      </c>
      <c r="F8068">
        <v>0.75</v>
      </c>
      <c r="G8068">
        <v>51.705580711364703</v>
      </c>
      <c r="H8068">
        <v>0</v>
      </c>
      <c r="I8068">
        <v>0</v>
      </c>
      <c r="J8068">
        <v>30</v>
      </c>
    </row>
    <row r="8069" spans="1:10" x14ac:dyDescent="0.25">
      <c r="A8069" t="s">
        <v>27</v>
      </c>
      <c r="B8069" t="s">
        <v>20</v>
      </c>
      <c r="C8069" t="s">
        <v>18</v>
      </c>
      <c r="D8069" t="s">
        <v>16</v>
      </c>
      <c r="E8069">
        <v>0</v>
      </c>
      <c r="F8069">
        <v>0.75</v>
      </c>
      <c r="G8069">
        <v>52.026467561721802</v>
      </c>
      <c r="H8069">
        <v>0</v>
      </c>
      <c r="I8069">
        <v>0</v>
      </c>
      <c r="J8069">
        <v>30</v>
      </c>
    </row>
    <row r="8070" spans="1:10" x14ac:dyDescent="0.25">
      <c r="A8070" t="s">
        <v>27</v>
      </c>
      <c r="B8070" t="s">
        <v>20</v>
      </c>
      <c r="C8070" t="s">
        <v>18</v>
      </c>
      <c r="D8070" t="s">
        <v>16</v>
      </c>
      <c r="E8070">
        <v>0</v>
      </c>
      <c r="F8070">
        <v>0.75</v>
      </c>
      <c r="G8070">
        <v>53.076145410537698</v>
      </c>
      <c r="H8070">
        <v>0</v>
      </c>
      <c r="I8070">
        <v>0</v>
      </c>
      <c r="J8070">
        <v>30</v>
      </c>
    </row>
    <row r="8071" spans="1:10" x14ac:dyDescent="0.25">
      <c r="A8071" t="s">
        <v>27</v>
      </c>
      <c r="B8071" t="s">
        <v>20</v>
      </c>
      <c r="C8071" t="s">
        <v>18</v>
      </c>
      <c r="D8071" t="s">
        <v>16</v>
      </c>
      <c r="E8071">
        <v>0</v>
      </c>
      <c r="F8071">
        <v>0.75</v>
      </c>
      <c r="G8071">
        <v>53.538743734359699</v>
      </c>
      <c r="H8071">
        <v>0</v>
      </c>
      <c r="I8071">
        <v>0</v>
      </c>
      <c r="J8071">
        <v>30</v>
      </c>
    </row>
    <row r="8072" spans="1:10" x14ac:dyDescent="0.25">
      <c r="A8072" t="s">
        <v>27</v>
      </c>
      <c r="B8072" t="s">
        <v>20</v>
      </c>
      <c r="C8072" t="s">
        <v>18</v>
      </c>
      <c r="D8072" t="s">
        <v>17</v>
      </c>
      <c r="E8072">
        <v>0.22438486962908499</v>
      </c>
      <c r="F8072">
        <v>0.79698694846107199</v>
      </c>
      <c r="G8072">
        <v>96581.698153972597</v>
      </c>
      <c r="H8072">
        <v>217</v>
      </c>
      <c r="I8072">
        <v>230</v>
      </c>
      <c r="J8072">
        <v>30</v>
      </c>
    </row>
    <row r="8073" spans="1:10" x14ac:dyDescent="0.25">
      <c r="A8073" t="s">
        <v>27</v>
      </c>
      <c r="B8073" t="s">
        <v>20</v>
      </c>
      <c r="C8073" t="s">
        <v>18</v>
      </c>
      <c r="D8073" t="s">
        <v>17</v>
      </c>
      <c r="E8073">
        <v>0.24017627616599299</v>
      </c>
      <c r="F8073">
        <v>0.79660469219386698</v>
      </c>
      <c r="G8073">
        <v>97393.950039625095</v>
      </c>
      <c r="H8073">
        <v>243</v>
      </c>
      <c r="I8073">
        <v>261</v>
      </c>
      <c r="J8073">
        <v>30</v>
      </c>
    </row>
    <row r="8074" spans="1:10" x14ac:dyDescent="0.25">
      <c r="A8074" t="s">
        <v>27</v>
      </c>
      <c r="B8074" t="s">
        <v>20</v>
      </c>
      <c r="C8074" t="s">
        <v>18</v>
      </c>
      <c r="D8074" t="s">
        <v>17</v>
      </c>
      <c r="E8074">
        <v>0.240910760190965</v>
      </c>
      <c r="F8074">
        <v>0.80081017360403906</v>
      </c>
      <c r="G8074">
        <v>99317.073949575395</v>
      </c>
      <c r="H8074">
        <v>243</v>
      </c>
      <c r="I8074">
        <v>247</v>
      </c>
      <c r="J8074">
        <v>30</v>
      </c>
    </row>
    <row r="8075" spans="1:10" x14ac:dyDescent="0.25">
      <c r="A8075" t="s">
        <v>27</v>
      </c>
      <c r="B8075" t="s">
        <v>20</v>
      </c>
      <c r="C8075" t="s">
        <v>18</v>
      </c>
      <c r="D8075" t="s">
        <v>17</v>
      </c>
      <c r="E8075">
        <v>0.22732280572897501</v>
      </c>
      <c r="F8075">
        <v>0.792568470399448</v>
      </c>
      <c r="G8075">
        <v>102269.562877655</v>
      </c>
      <c r="H8075">
        <v>269</v>
      </c>
      <c r="I8075">
        <v>292</v>
      </c>
      <c r="J8075">
        <v>30</v>
      </c>
    </row>
    <row r="8076" spans="1:10" x14ac:dyDescent="0.25">
      <c r="A8076" t="s">
        <v>27</v>
      </c>
      <c r="B8076" t="s">
        <v>20</v>
      </c>
      <c r="C8076" t="s">
        <v>18</v>
      </c>
      <c r="D8076" t="s">
        <v>17</v>
      </c>
      <c r="E8076">
        <v>0.24311421226588301</v>
      </c>
      <c r="F8076">
        <v>0.79929630799463802</v>
      </c>
      <c r="G8076">
        <v>104223.074013948</v>
      </c>
      <c r="H8076">
        <v>277</v>
      </c>
      <c r="I8076">
        <v>301</v>
      </c>
      <c r="J8076">
        <v>30</v>
      </c>
    </row>
    <row r="8077" spans="1:10" x14ac:dyDescent="0.25">
      <c r="A8077" t="s">
        <v>27</v>
      </c>
      <c r="B8077" t="s">
        <v>20</v>
      </c>
      <c r="C8077" t="s">
        <v>18</v>
      </c>
      <c r="D8077" t="s">
        <v>17</v>
      </c>
      <c r="E8077">
        <v>0.224752111641571</v>
      </c>
      <c r="F8077">
        <v>0.79362324533275797</v>
      </c>
      <c r="G8077">
        <v>107931.82268667201</v>
      </c>
      <c r="H8077">
        <v>256</v>
      </c>
      <c r="I8077">
        <v>260</v>
      </c>
      <c r="J8077">
        <v>30</v>
      </c>
    </row>
    <row r="8078" spans="1:10" x14ac:dyDescent="0.25">
      <c r="A8078" t="s">
        <v>27</v>
      </c>
      <c r="B8078" t="s">
        <v>20</v>
      </c>
      <c r="C8078" t="s">
        <v>18</v>
      </c>
      <c r="D8078" t="s">
        <v>17</v>
      </c>
      <c r="E8078">
        <v>0.22989349981637899</v>
      </c>
      <c r="F8078">
        <v>0.79761636363213295</v>
      </c>
      <c r="G8078">
        <v>108369.00018238999</v>
      </c>
      <c r="H8078">
        <v>261</v>
      </c>
      <c r="I8078">
        <v>270</v>
      </c>
      <c r="J8078">
        <v>30</v>
      </c>
    </row>
    <row r="8079" spans="1:10" x14ac:dyDescent="0.25">
      <c r="A8079" t="s">
        <v>27</v>
      </c>
      <c r="B8079" t="s">
        <v>20</v>
      </c>
      <c r="C8079" t="s">
        <v>18</v>
      </c>
      <c r="D8079" t="s">
        <v>17</v>
      </c>
      <c r="E8079">
        <v>0.23797282409107601</v>
      </c>
      <c r="F8079">
        <v>0.79467137637157503</v>
      </c>
      <c r="G8079">
        <v>109081.393491029</v>
      </c>
      <c r="H8079">
        <v>271</v>
      </c>
      <c r="I8079">
        <v>280</v>
      </c>
      <c r="J8079">
        <v>30</v>
      </c>
    </row>
    <row r="8080" spans="1:10" x14ac:dyDescent="0.25">
      <c r="A8080" t="s">
        <v>27</v>
      </c>
      <c r="B8080" t="s">
        <v>20</v>
      </c>
      <c r="C8080" t="s">
        <v>18</v>
      </c>
      <c r="D8080" t="s">
        <v>17</v>
      </c>
      <c r="E8080">
        <v>0.23466764597869899</v>
      </c>
      <c r="F8080">
        <v>0.79886617052449405</v>
      </c>
      <c r="G8080">
        <v>109514.327482938</v>
      </c>
      <c r="H8080">
        <v>253</v>
      </c>
      <c r="I8080">
        <v>249</v>
      </c>
      <c r="J8080">
        <v>30</v>
      </c>
    </row>
    <row r="8081" spans="1:10" x14ac:dyDescent="0.25">
      <c r="A8081" t="s">
        <v>27</v>
      </c>
      <c r="B8081" t="s">
        <v>20</v>
      </c>
      <c r="C8081" t="s">
        <v>18</v>
      </c>
      <c r="D8081" t="s">
        <v>17</v>
      </c>
      <c r="E8081">
        <v>0.23980903415350699</v>
      </c>
      <c r="F8081">
        <v>0.79640582494784995</v>
      </c>
      <c r="G8081">
        <v>110702.132404804</v>
      </c>
      <c r="H8081">
        <v>273</v>
      </c>
      <c r="I8081">
        <v>295</v>
      </c>
      <c r="J8081">
        <v>30</v>
      </c>
    </row>
    <row r="8082" spans="1:10" x14ac:dyDescent="0.25">
      <c r="A8082" t="s">
        <v>27</v>
      </c>
      <c r="B8082" t="s">
        <v>20</v>
      </c>
      <c r="C8082" t="s">
        <v>18</v>
      </c>
      <c r="D8082" t="s">
        <v>17</v>
      </c>
      <c r="E8082">
        <v>0.240910760190965</v>
      </c>
      <c r="F8082">
        <v>0.799108261888689</v>
      </c>
      <c r="G8082">
        <v>112679.770769357</v>
      </c>
      <c r="H8082">
        <v>277</v>
      </c>
      <c r="I8082">
        <v>280</v>
      </c>
      <c r="J8082">
        <v>30</v>
      </c>
    </row>
    <row r="8083" spans="1:10" x14ac:dyDescent="0.25">
      <c r="A8083" t="s">
        <v>27</v>
      </c>
      <c r="B8083" t="s">
        <v>20</v>
      </c>
      <c r="C8083" t="s">
        <v>18</v>
      </c>
      <c r="D8083" t="s">
        <v>17</v>
      </c>
      <c r="E8083">
        <v>0.22365038560411299</v>
      </c>
      <c r="F8083">
        <v>0.79324822428942199</v>
      </c>
      <c r="G8083">
        <v>113112.56889295499</v>
      </c>
      <c r="H8083">
        <v>287</v>
      </c>
      <c r="I8083">
        <v>282</v>
      </c>
      <c r="J8083">
        <v>30</v>
      </c>
    </row>
    <row r="8084" spans="1:10" x14ac:dyDescent="0.25">
      <c r="A8084" t="s">
        <v>27</v>
      </c>
      <c r="B8084" t="s">
        <v>20</v>
      </c>
      <c r="C8084" t="s">
        <v>18</v>
      </c>
      <c r="D8084" t="s">
        <v>17</v>
      </c>
      <c r="E8084">
        <v>0.225486595666544</v>
      </c>
      <c r="F8084">
        <v>0.79358535373654004</v>
      </c>
      <c r="G8084">
        <v>113946.039332628</v>
      </c>
      <c r="H8084">
        <v>287</v>
      </c>
      <c r="I8084">
        <v>296</v>
      </c>
      <c r="J8084">
        <v>30</v>
      </c>
    </row>
    <row r="8085" spans="1:10" x14ac:dyDescent="0.25">
      <c r="A8085" t="s">
        <v>27</v>
      </c>
      <c r="B8085" t="s">
        <v>20</v>
      </c>
      <c r="C8085" t="s">
        <v>18</v>
      </c>
      <c r="D8085" t="s">
        <v>17</v>
      </c>
      <c r="E8085">
        <v>0.22328314359162599</v>
      </c>
      <c r="F8085">
        <v>0.79171652977039897</v>
      </c>
      <c r="G8085">
        <v>115334.254553794</v>
      </c>
      <c r="H8085">
        <v>294</v>
      </c>
      <c r="I8085">
        <v>295</v>
      </c>
      <c r="J8085">
        <v>30</v>
      </c>
    </row>
    <row r="8086" spans="1:10" x14ac:dyDescent="0.25">
      <c r="A8086" t="s">
        <v>27</v>
      </c>
      <c r="B8086" t="s">
        <v>20</v>
      </c>
      <c r="C8086" t="s">
        <v>18</v>
      </c>
      <c r="D8086" t="s">
        <v>17</v>
      </c>
      <c r="E8086">
        <v>0.23319867792875501</v>
      </c>
      <c r="F8086">
        <v>0.79401403550918004</v>
      </c>
      <c r="G8086">
        <v>117567.824885368</v>
      </c>
      <c r="H8086">
        <v>303</v>
      </c>
      <c r="I8086">
        <v>300</v>
      </c>
      <c r="J8086">
        <v>30</v>
      </c>
    </row>
    <row r="8087" spans="1:10" x14ac:dyDescent="0.25">
      <c r="A8087" t="s">
        <v>27</v>
      </c>
      <c r="B8087" t="s">
        <v>20</v>
      </c>
      <c r="C8087" t="s">
        <v>18</v>
      </c>
      <c r="D8087" t="s">
        <v>17</v>
      </c>
      <c r="E8087">
        <v>0.247521116415717</v>
      </c>
      <c r="F8087">
        <v>0.79813209012545006</v>
      </c>
      <c r="G8087">
        <v>117642.23567295</v>
      </c>
      <c r="H8087">
        <v>291</v>
      </c>
      <c r="I8087">
        <v>310</v>
      </c>
      <c r="J8087">
        <v>30</v>
      </c>
    </row>
    <row r="8088" spans="1:10" x14ac:dyDescent="0.25">
      <c r="A8088" t="s">
        <v>27</v>
      </c>
      <c r="B8088" t="s">
        <v>20</v>
      </c>
      <c r="C8088" t="s">
        <v>18</v>
      </c>
      <c r="D8088" t="s">
        <v>17</v>
      </c>
      <c r="E8088">
        <v>0.22989349981637899</v>
      </c>
      <c r="F8088">
        <v>0.79578035483037102</v>
      </c>
      <c r="G8088">
        <v>121727.896205186</v>
      </c>
      <c r="H8088">
        <v>314</v>
      </c>
      <c r="I8088">
        <v>316</v>
      </c>
      <c r="J8088">
        <v>30</v>
      </c>
    </row>
    <row r="8089" spans="1:10" x14ac:dyDescent="0.25">
      <c r="A8089" t="s">
        <v>27</v>
      </c>
      <c r="B8089" t="s">
        <v>20</v>
      </c>
      <c r="C8089" t="s">
        <v>18</v>
      </c>
      <c r="D8089" t="s">
        <v>17</v>
      </c>
      <c r="E8089">
        <v>0.25302974660301097</v>
      </c>
      <c r="F8089">
        <v>0.80052457465537896</v>
      </c>
      <c r="G8089">
        <v>122089.014456748</v>
      </c>
      <c r="H8089">
        <v>306</v>
      </c>
      <c r="I8089">
        <v>302</v>
      </c>
      <c r="J8089">
        <v>30</v>
      </c>
    </row>
    <row r="8090" spans="1:10" x14ac:dyDescent="0.25">
      <c r="A8090" t="s">
        <v>27</v>
      </c>
      <c r="B8090" t="s">
        <v>20</v>
      </c>
      <c r="C8090" t="s">
        <v>18</v>
      </c>
      <c r="D8090" t="s">
        <v>17</v>
      </c>
      <c r="E8090">
        <v>0.25266250459052497</v>
      </c>
      <c r="F8090">
        <v>0.79690335389331601</v>
      </c>
      <c r="G8090">
        <v>123435.91788268001</v>
      </c>
      <c r="H8090">
        <v>325</v>
      </c>
      <c r="I8090">
        <v>323</v>
      </c>
      <c r="J8090">
        <v>30</v>
      </c>
    </row>
    <row r="8091" spans="1:10" x14ac:dyDescent="0.25">
      <c r="A8091" t="s">
        <v>27</v>
      </c>
      <c r="B8091" t="s">
        <v>20</v>
      </c>
      <c r="C8091" t="s">
        <v>18</v>
      </c>
      <c r="D8091" t="s">
        <v>17</v>
      </c>
      <c r="E8091">
        <v>0.236871098053617</v>
      </c>
      <c r="F8091">
        <v>0.79507521299364603</v>
      </c>
      <c r="G8091">
        <v>124076.883757352</v>
      </c>
      <c r="H8091">
        <v>334</v>
      </c>
      <c r="I8091">
        <v>351</v>
      </c>
      <c r="J8091">
        <v>30</v>
      </c>
    </row>
    <row r="8092" spans="1:10" x14ac:dyDescent="0.25">
      <c r="A8092" t="s">
        <v>27</v>
      </c>
      <c r="B8092" t="s">
        <v>20</v>
      </c>
      <c r="C8092" t="s">
        <v>18</v>
      </c>
      <c r="D8092" t="s">
        <v>17</v>
      </c>
      <c r="E8092">
        <v>0.247888358428204</v>
      </c>
      <c r="F8092">
        <v>0.80007352987098801</v>
      </c>
      <c r="G8092">
        <v>124153.599869012</v>
      </c>
      <c r="H8092">
        <v>343</v>
      </c>
      <c r="I8092">
        <v>336</v>
      </c>
      <c r="J8092">
        <v>30</v>
      </c>
    </row>
    <row r="8093" spans="1:10" x14ac:dyDescent="0.25">
      <c r="A8093" t="s">
        <v>27</v>
      </c>
      <c r="B8093" t="s">
        <v>20</v>
      </c>
      <c r="C8093" t="s">
        <v>18</v>
      </c>
      <c r="D8093" t="s">
        <v>17</v>
      </c>
      <c r="E8093">
        <v>0.23283143591626801</v>
      </c>
      <c r="F8093">
        <v>0.79494749940635301</v>
      </c>
      <c r="G8093">
        <v>124501.24929404201</v>
      </c>
      <c r="H8093">
        <v>338</v>
      </c>
      <c r="I8093">
        <v>329</v>
      </c>
      <c r="J8093">
        <v>30</v>
      </c>
    </row>
    <row r="8094" spans="1:10" x14ac:dyDescent="0.25">
      <c r="A8094" t="s">
        <v>27</v>
      </c>
      <c r="B8094" t="s">
        <v>20</v>
      </c>
      <c r="C8094" t="s">
        <v>18</v>
      </c>
      <c r="D8094" t="s">
        <v>17</v>
      </c>
      <c r="E8094">
        <v>0.23246419390378201</v>
      </c>
      <c r="F8094">
        <v>0.79648425742052997</v>
      </c>
      <c r="G8094">
        <v>125684.07424569099</v>
      </c>
      <c r="H8094">
        <v>353</v>
      </c>
      <c r="I8094">
        <v>340</v>
      </c>
      <c r="J8094">
        <v>30</v>
      </c>
    </row>
    <row r="8095" spans="1:10" x14ac:dyDescent="0.25">
      <c r="A8095" t="s">
        <v>27</v>
      </c>
      <c r="B8095" t="s">
        <v>20</v>
      </c>
      <c r="C8095" t="s">
        <v>18</v>
      </c>
      <c r="D8095" t="s">
        <v>17</v>
      </c>
      <c r="E8095">
        <v>0.25449871465295598</v>
      </c>
      <c r="F8095">
        <v>0.80019945783198598</v>
      </c>
      <c r="G8095">
        <v>125835.865638494</v>
      </c>
      <c r="H8095">
        <v>339</v>
      </c>
      <c r="I8095">
        <v>348</v>
      </c>
      <c r="J8095">
        <v>30</v>
      </c>
    </row>
    <row r="8096" spans="1:10" x14ac:dyDescent="0.25">
      <c r="A8096" t="s">
        <v>27</v>
      </c>
      <c r="B8096" t="s">
        <v>20</v>
      </c>
      <c r="C8096" t="s">
        <v>18</v>
      </c>
      <c r="D8096" t="s">
        <v>17</v>
      </c>
      <c r="E8096">
        <v>0.26257803892765302</v>
      </c>
      <c r="F8096">
        <v>0.80099596232412795</v>
      </c>
      <c r="G8096">
        <v>126538.403949022</v>
      </c>
      <c r="H8096">
        <v>362</v>
      </c>
      <c r="I8096">
        <v>336</v>
      </c>
      <c r="J8096">
        <v>30</v>
      </c>
    </row>
    <row r="8097" spans="1:10" x14ac:dyDescent="0.25">
      <c r="A8097" t="s">
        <v>27</v>
      </c>
      <c r="B8097" t="s">
        <v>20</v>
      </c>
      <c r="C8097" t="s">
        <v>18</v>
      </c>
      <c r="D8097" t="s">
        <v>17</v>
      </c>
      <c r="E8097">
        <v>0.242012486228424</v>
      </c>
      <c r="F8097">
        <v>0.79892877429276499</v>
      </c>
      <c r="G8097">
        <v>126738.13510370201</v>
      </c>
      <c r="H8097">
        <v>337</v>
      </c>
      <c r="I8097">
        <v>364</v>
      </c>
      <c r="J8097">
        <v>30</v>
      </c>
    </row>
    <row r="8098" spans="1:10" x14ac:dyDescent="0.25">
      <c r="A8098" t="s">
        <v>27</v>
      </c>
      <c r="B8098" t="s">
        <v>20</v>
      </c>
      <c r="C8098" t="s">
        <v>18</v>
      </c>
      <c r="D8098" t="s">
        <v>17</v>
      </c>
      <c r="E8098">
        <v>0.24899008446566201</v>
      </c>
      <c r="F8098">
        <v>0.79955365555853797</v>
      </c>
      <c r="G8098">
        <v>126953.607728242</v>
      </c>
      <c r="H8098">
        <v>388</v>
      </c>
      <c r="I8098">
        <v>370</v>
      </c>
      <c r="J8098">
        <v>30</v>
      </c>
    </row>
    <row r="8099" spans="1:10" x14ac:dyDescent="0.25">
      <c r="A8099" t="s">
        <v>27</v>
      </c>
      <c r="B8099" t="s">
        <v>20</v>
      </c>
      <c r="C8099" t="s">
        <v>18</v>
      </c>
      <c r="D8099" t="s">
        <v>17</v>
      </c>
      <c r="E8099">
        <v>0.23760558207858901</v>
      </c>
      <c r="F8099">
        <v>0.79177728945446202</v>
      </c>
      <c r="G8099">
        <v>127485.50473666099</v>
      </c>
      <c r="H8099">
        <v>365</v>
      </c>
      <c r="I8099">
        <v>367</v>
      </c>
      <c r="J8099">
        <v>30</v>
      </c>
    </row>
    <row r="8100" spans="1:10" x14ac:dyDescent="0.25">
      <c r="A8100" t="s">
        <v>27</v>
      </c>
      <c r="B8100" t="s">
        <v>20</v>
      </c>
      <c r="C8100" t="s">
        <v>18</v>
      </c>
      <c r="D8100" t="s">
        <v>17</v>
      </c>
      <c r="E8100">
        <v>0.22218141755416801</v>
      </c>
      <c r="F8100">
        <v>0.79178773715806094</v>
      </c>
      <c r="G8100">
        <v>127970.41105365699</v>
      </c>
      <c r="H8100">
        <v>332</v>
      </c>
      <c r="I8100">
        <v>323</v>
      </c>
      <c r="J8100">
        <v>30</v>
      </c>
    </row>
    <row r="8101" spans="1:10" x14ac:dyDescent="0.25">
      <c r="A8101" t="s">
        <v>27</v>
      </c>
      <c r="B8101" t="s">
        <v>20</v>
      </c>
      <c r="C8101" t="s">
        <v>18</v>
      </c>
      <c r="D8101" t="s">
        <v>17</v>
      </c>
      <c r="E8101">
        <v>0.225119353654058</v>
      </c>
      <c r="F8101">
        <v>0.79151831034873299</v>
      </c>
      <c r="G8101">
        <v>128114.020401954</v>
      </c>
      <c r="H8101">
        <v>406</v>
      </c>
      <c r="I8101">
        <v>349</v>
      </c>
      <c r="J8101">
        <v>30</v>
      </c>
    </row>
    <row r="8102" spans="1:10" x14ac:dyDescent="0.25">
      <c r="A8102" t="s">
        <v>27</v>
      </c>
      <c r="B8102" t="s">
        <v>21</v>
      </c>
      <c r="C8102" t="s">
        <v>12</v>
      </c>
      <c r="D8102" t="s">
        <v>13</v>
      </c>
      <c r="E8102">
        <v>0.87550495776716797</v>
      </c>
      <c r="F8102">
        <v>0.92085028770257105</v>
      </c>
      <c r="G8102">
        <v>38.961618185043299</v>
      </c>
      <c r="H8102">
        <v>103</v>
      </c>
      <c r="I8102">
        <v>193</v>
      </c>
      <c r="J8102">
        <v>30</v>
      </c>
    </row>
    <row r="8103" spans="1:10" x14ac:dyDescent="0.25">
      <c r="A8103" t="s">
        <v>27</v>
      </c>
      <c r="B8103" t="s">
        <v>21</v>
      </c>
      <c r="C8103" t="s">
        <v>12</v>
      </c>
      <c r="D8103" t="s">
        <v>13</v>
      </c>
      <c r="E8103">
        <v>0.90598604480352496</v>
      </c>
      <c r="F8103">
        <v>0.91693866835986004</v>
      </c>
      <c r="G8103">
        <v>46.3485107421875</v>
      </c>
      <c r="H8103">
        <v>182</v>
      </c>
      <c r="I8103">
        <v>322</v>
      </c>
      <c r="J8103">
        <v>30</v>
      </c>
    </row>
    <row r="8104" spans="1:10" x14ac:dyDescent="0.25">
      <c r="A8104" t="s">
        <v>27</v>
      </c>
      <c r="B8104" t="s">
        <v>21</v>
      </c>
      <c r="C8104" t="s">
        <v>12</v>
      </c>
      <c r="D8104" t="s">
        <v>13</v>
      </c>
      <c r="E8104">
        <v>0.90855673889092903</v>
      </c>
      <c r="F8104">
        <v>0.91800449362886405</v>
      </c>
      <c r="G8104">
        <v>766.50522184371903</v>
      </c>
      <c r="H8104">
        <v>131</v>
      </c>
      <c r="I8104">
        <v>229</v>
      </c>
      <c r="J8104">
        <v>30</v>
      </c>
    </row>
    <row r="8105" spans="1:10" x14ac:dyDescent="0.25">
      <c r="A8105" t="s">
        <v>27</v>
      </c>
      <c r="B8105" t="s">
        <v>21</v>
      </c>
      <c r="C8105" t="s">
        <v>12</v>
      </c>
      <c r="D8105" t="s">
        <v>13</v>
      </c>
      <c r="E8105">
        <v>0.90561880279103901</v>
      </c>
      <c r="F8105">
        <v>0.91603485655203798</v>
      </c>
      <c r="G8105">
        <v>774.336260557174</v>
      </c>
      <c r="H8105">
        <v>126</v>
      </c>
      <c r="I8105">
        <v>233</v>
      </c>
      <c r="J8105">
        <v>30</v>
      </c>
    </row>
    <row r="8106" spans="1:10" x14ac:dyDescent="0.25">
      <c r="A8106" t="s">
        <v>27</v>
      </c>
      <c r="B8106" t="s">
        <v>21</v>
      </c>
      <c r="C8106" t="s">
        <v>12</v>
      </c>
      <c r="D8106" t="s">
        <v>13</v>
      </c>
      <c r="E8106">
        <v>0.914799853103195</v>
      </c>
      <c r="F8106">
        <v>0.92387752749445395</v>
      </c>
      <c r="G8106">
        <v>779.80716633796601</v>
      </c>
      <c r="H8106">
        <v>128</v>
      </c>
      <c r="I8106">
        <v>242</v>
      </c>
      <c r="J8106">
        <v>30</v>
      </c>
    </row>
    <row r="8107" spans="1:10" x14ac:dyDescent="0.25">
      <c r="A8107" t="s">
        <v>27</v>
      </c>
      <c r="B8107" t="s">
        <v>21</v>
      </c>
      <c r="C8107" t="s">
        <v>12</v>
      </c>
      <c r="D8107" t="s">
        <v>13</v>
      </c>
      <c r="E8107">
        <v>0.91994124127800203</v>
      </c>
      <c r="F8107">
        <v>0.929293525323723</v>
      </c>
      <c r="G8107">
        <v>813.78597569465603</v>
      </c>
      <c r="H8107">
        <v>157</v>
      </c>
      <c r="I8107">
        <v>289</v>
      </c>
      <c r="J8107">
        <v>30</v>
      </c>
    </row>
    <row r="8108" spans="1:10" x14ac:dyDescent="0.25">
      <c r="A8108" t="s">
        <v>27</v>
      </c>
      <c r="B8108" t="s">
        <v>21</v>
      </c>
      <c r="C8108" t="s">
        <v>12</v>
      </c>
      <c r="D8108" t="s">
        <v>13</v>
      </c>
      <c r="E8108">
        <v>0.91222915901579105</v>
      </c>
      <c r="F8108">
        <v>0.92091750368802805</v>
      </c>
      <c r="G8108">
        <v>823.13924479484501</v>
      </c>
      <c r="H8108">
        <v>137</v>
      </c>
      <c r="I8108">
        <v>229</v>
      </c>
      <c r="J8108">
        <v>30</v>
      </c>
    </row>
    <row r="8109" spans="1:10" x14ac:dyDescent="0.25">
      <c r="A8109" t="s">
        <v>27</v>
      </c>
      <c r="B8109" t="s">
        <v>21</v>
      </c>
      <c r="C8109" t="s">
        <v>12</v>
      </c>
      <c r="D8109" t="s">
        <v>13</v>
      </c>
      <c r="E8109">
        <v>0.90598604480352496</v>
      </c>
      <c r="F8109">
        <v>0.91630134860759804</v>
      </c>
      <c r="G8109">
        <v>828.26719784736599</v>
      </c>
      <c r="H8109">
        <v>135</v>
      </c>
      <c r="I8109">
        <v>235</v>
      </c>
      <c r="J8109">
        <v>30</v>
      </c>
    </row>
    <row r="8110" spans="1:10" x14ac:dyDescent="0.25">
      <c r="A8110" t="s">
        <v>27</v>
      </c>
      <c r="B8110" t="s">
        <v>21</v>
      </c>
      <c r="C8110" t="s">
        <v>12</v>
      </c>
      <c r="D8110" t="s">
        <v>13</v>
      </c>
      <c r="E8110">
        <v>0.92067572530297404</v>
      </c>
      <c r="F8110">
        <v>0.930293910477342</v>
      </c>
      <c r="G8110">
        <v>831.11689686775196</v>
      </c>
      <c r="H8110">
        <v>175</v>
      </c>
      <c r="I8110">
        <v>323</v>
      </c>
      <c r="J8110">
        <v>30</v>
      </c>
    </row>
    <row r="8111" spans="1:10" x14ac:dyDescent="0.25">
      <c r="A8111" t="s">
        <v>27</v>
      </c>
      <c r="B8111" t="s">
        <v>21</v>
      </c>
      <c r="C8111" t="s">
        <v>12</v>
      </c>
      <c r="D8111" t="s">
        <v>13</v>
      </c>
      <c r="E8111">
        <v>0.91296364304076305</v>
      </c>
      <c r="F8111">
        <v>0.92544982542199605</v>
      </c>
      <c r="G8111">
        <v>832.619560480117</v>
      </c>
      <c r="H8111">
        <v>146</v>
      </c>
      <c r="I8111">
        <v>248</v>
      </c>
      <c r="J8111">
        <v>30</v>
      </c>
    </row>
    <row r="8112" spans="1:10" x14ac:dyDescent="0.25">
      <c r="A8112" t="s">
        <v>27</v>
      </c>
      <c r="B8112" t="s">
        <v>21</v>
      </c>
      <c r="C8112" t="s">
        <v>12</v>
      </c>
      <c r="D8112" t="s">
        <v>13</v>
      </c>
      <c r="E8112">
        <v>0.91516709511568095</v>
      </c>
      <c r="F8112">
        <v>0.92275874112970802</v>
      </c>
      <c r="G8112">
        <v>838.25075054168701</v>
      </c>
      <c r="H8112">
        <v>143</v>
      </c>
      <c r="I8112">
        <v>254</v>
      </c>
      <c r="J8112">
        <v>30</v>
      </c>
    </row>
    <row r="8113" spans="1:10" x14ac:dyDescent="0.25">
      <c r="A8113" t="s">
        <v>27</v>
      </c>
      <c r="B8113" t="s">
        <v>21</v>
      </c>
      <c r="C8113" t="s">
        <v>12</v>
      </c>
      <c r="D8113" t="s">
        <v>13</v>
      </c>
      <c r="E8113">
        <v>0.90488431876606601</v>
      </c>
      <c r="F8113">
        <v>0.91468127170271796</v>
      </c>
      <c r="G8113">
        <v>838.76420903205803</v>
      </c>
      <c r="H8113">
        <v>152</v>
      </c>
      <c r="I8113">
        <v>281</v>
      </c>
      <c r="J8113">
        <v>30</v>
      </c>
    </row>
    <row r="8114" spans="1:10" x14ac:dyDescent="0.25">
      <c r="A8114" t="s">
        <v>27</v>
      </c>
      <c r="B8114" t="s">
        <v>21</v>
      </c>
      <c r="C8114" t="s">
        <v>12</v>
      </c>
      <c r="D8114" t="s">
        <v>13</v>
      </c>
      <c r="E8114">
        <v>0.91112743297833199</v>
      </c>
      <c r="F8114">
        <v>0.92426047198035199</v>
      </c>
      <c r="G8114">
        <v>850.59116935729901</v>
      </c>
      <c r="H8114">
        <v>154</v>
      </c>
      <c r="I8114">
        <v>286</v>
      </c>
      <c r="J8114">
        <v>30</v>
      </c>
    </row>
    <row r="8115" spans="1:10" x14ac:dyDescent="0.25">
      <c r="A8115" t="s">
        <v>27</v>
      </c>
      <c r="B8115" t="s">
        <v>21</v>
      </c>
      <c r="C8115" t="s">
        <v>12</v>
      </c>
      <c r="D8115" t="s">
        <v>13</v>
      </c>
      <c r="E8115">
        <v>0.90121189864120399</v>
      </c>
      <c r="F8115">
        <v>0.91779855503676</v>
      </c>
      <c r="G8115">
        <v>853.40277123451199</v>
      </c>
      <c r="H8115">
        <v>150</v>
      </c>
      <c r="I8115">
        <v>285</v>
      </c>
      <c r="J8115">
        <v>30</v>
      </c>
    </row>
    <row r="8116" spans="1:10" x14ac:dyDescent="0.25">
      <c r="A8116" t="s">
        <v>27</v>
      </c>
      <c r="B8116" t="s">
        <v>21</v>
      </c>
      <c r="C8116" t="s">
        <v>12</v>
      </c>
      <c r="D8116" t="s">
        <v>13</v>
      </c>
      <c r="E8116">
        <v>0.91186191700330499</v>
      </c>
      <c r="F8116">
        <v>0.92036860761671102</v>
      </c>
      <c r="G8116">
        <v>854.49888586997895</v>
      </c>
      <c r="H8116">
        <v>143</v>
      </c>
      <c r="I8116">
        <v>254</v>
      </c>
      <c r="J8116">
        <v>30</v>
      </c>
    </row>
    <row r="8117" spans="1:10" x14ac:dyDescent="0.25">
      <c r="A8117" t="s">
        <v>27</v>
      </c>
      <c r="B8117" t="s">
        <v>21</v>
      </c>
      <c r="C8117" t="s">
        <v>12</v>
      </c>
      <c r="D8117" t="s">
        <v>13</v>
      </c>
      <c r="E8117">
        <v>0.90598604480352496</v>
      </c>
      <c r="F8117">
        <v>0.92022557921755399</v>
      </c>
      <c r="G8117">
        <v>859.84166502952496</v>
      </c>
      <c r="H8117">
        <v>157</v>
      </c>
      <c r="I8117">
        <v>280</v>
      </c>
      <c r="J8117">
        <v>30</v>
      </c>
    </row>
    <row r="8118" spans="1:10" x14ac:dyDescent="0.25">
      <c r="A8118" t="s">
        <v>27</v>
      </c>
      <c r="B8118" t="s">
        <v>21</v>
      </c>
      <c r="C8118" t="s">
        <v>12</v>
      </c>
      <c r="D8118" t="s">
        <v>13</v>
      </c>
      <c r="E8118">
        <v>0.91259640102827699</v>
      </c>
      <c r="F8118">
        <v>0.92227822522108005</v>
      </c>
      <c r="G8118">
        <v>865.82568645477295</v>
      </c>
      <c r="H8118">
        <v>145</v>
      </c>
      <c r="I8118">
        <v>266</v>
      </c>
      <c r="J8118">
        <v>30</v>
      </c>
    </row>
    <row r="8119" spans="1:10" x14ac:dyDescent="0.25">
      <c r="A8119" t="s">
        <v>27</v>
      </c>
      <c r="B8119" t="s">
        <v>21</v>
      </c>
      <c r="C8119" t="s">
        <v>12</v>
      </c>
      <c r="D8119" t="s">
        <v>13</v>
      </c>
      <c r="E8119">
        <v>0.89974293059125898</v>
      </c>
      <c r="F8119">
        <v>0.90982546641439399</v>
      </c>
      <c r="G8119">
        <v>870.91281628608704</v>
      </c>
      <c r="H8119">
        <v>140</v>
      </c>
      <c r="I8119">
        <v>254</v>
      </c>
      <c r="J8119">
        <v>30</v>
      </c>
    </row>
    <row r="8120" spans="1:10" x14ac:dyDescent="0.25">
      <c r="A8120" t="s">
        <v>27</v>
      </c>
      <c r="B8120" t="s">
        <v>21</v>
      </c>
      <c r="C8120" t="s">
        <v>12</v>
      </c>
      <c r="D8120" t="s">
        <v>13</v>
      </c>
      <c r="E8120">
        <v>0.90818949687844197</v>
      </c>
      <c r="F8120">
        <v>0.91796512288729104</v>
      </c>
      <c r="G8120">
        <v>871.214594125747</v>
      </c>
      <c r="H8120">
        <v>166</v>
      </c>
      <c r="I8120">
        <v>290</v>
      </c>
      <c r="J8120">
        <v>30</v>
      </c>
    </row>
    <row r="8121" spans="1:10" x14ac:dyDescent="0.25">
      <c r="A8121" t="s">
        <v>27</v>
      </c>
      <c r="B8121" t="s">
        <v>21</v>
      </c>
      <c r="C8121" t="s">
        <v>12</v>
      </c>
      <c r="D8121" t="s">
        <v>13</v>
      </c>
      <c r="E8121">
        <v>0.91626882115313901</v>
      </c>
      <c r="F8121">
        <v>0.92464587964953904</v>
      </c>
      <c r="G8121">
        <v>880.43986630439701</v>
      </c>
      <c r="H8121">
        <v>144</v>
      </c>
      <c r="I8121">
        <v>279</v>
      </c>
      <c r="J8121">
        <v>30</v>
      </c>
    </row>
    <row r="8122" spans="1:10" x14ac:dyDescent="0.25">
      <c r="A8122" t="s">
        <v>27</v>
      </c>
      <c r="B8122" t="s">
        <v>21</v>
      </c>
      <c r="C8122" t="s">
        <v>12</v>
      </c>
      <c r="D8122" t="s">
        <v>13</v>
      </c>
      <c r="E8122">
        <v>0.91516709511568095</v>
      </c>
      <c r="F8122">
        <v>0.92440805352952504</v>
      </c>
      <c r="G8122">
        <v>890.08440613746598</v>
      </c>
      <c r="H8122">
        <v>197</v>
      </c>
      <c r="I8122">
        <v>370</v>
      </c>
      <c r="J8122">
        <v>30</v>
      </c>
    </row>
    <row r="8123" spans="1:10" x14ac:dyDescent="0.25">
      <c r="A8123" t="s">
        <v>27</v>
      </c>
      <c r="B8123" t="s">
        <v>21</v>
      </c>
      <c r="C8123" t="s">
        <v>12</v>
      </c>
      <c r="D8123" t="s">
        <v>13</v>
      </c>
      <c r="E8123">
        <v>0.90194638266617699</v>
      </c>
      <c r="F8123">
        <v>0.91272419743698097</v>
      </c>
      <c r="G8123">
        <v>908.84009170532204</v>
      </c>
      <c r="H8123">
        <v>168</v>
      </c>
      <c r="I8123">
        <v>314</v>
      </c>
      <c r="J8123">
        <v>30</v>
      </c>
    </row>
    <row r="8124" spans="1:10" x14ac:dyDescent="0.25">
      <c r="A8124" t="s">
        <v>27</v>
      </c>
      <c r="B8124" t="s">
        <v>21</v>
      </c>
      <c r="C8124" t="s">
        <v>12</v>
      </c>
      <c r="D8124" t="s">
        <v>13</v>
      </c>
      <c r="E8124">
        <v>0.91333088505325</v>
      </c>
      <c r="F8124">
        <v>0.92569705177763495</v>
      </c>
      <c r="G8124">
        <v>910.79953432083096</v>
      </c>
      <c r="H8124">
        <v>170</v>
      </c>
      <c r="I8124">
        <v>320</v>
      </c>
      <c r="J8124">
        <v>30</v>
      </c>
    </row>
    <row r="8125" spans="1:10" x14ac:dyDescent="0.25">
      <c r="A8125" t="s">
        <v>27</v>
      </c>
      <c r="B8125" t="s">
        <v>21</v>
      </c>
      <c r="C8125" t="s">
        <v>12</v>
      </c>
      <c r="D8125" t="s">
        <v>13</v>
      </c>
      <c r="E8125">
        <v>0.90818949687844197</v>
      </c>
      <c r="F8125">
        <v>0.92215267889008501</v>
      </c>
      <c r="G8125">
        <v>910.99214196205105</v>
      </c>
      <c r="H8125">
        <v>194</v>
      </c>
      <c r="I8125">
        <v>373</v>
      </c>
      <c r="J8125">
        <v>30</v>
      </c>
    </row>
    <row r="8126" spans="1:10" x14ac:dyDescent="0.25">
      <c r="A8126" t="s">
        <v>27</v>
      </c>
      <c r="B8126" t="s">
        <v>21</v>
      </c>
      <c r="C8126" t="s">
        <v>12</v>
      </c>
      <c r="D8126" t="s">
        <v>13</v>
      </c>
      <c r="E8126">
        <v>0.90561880279103901</v>
      </c>
      <c r="F8126">
        <v>0.91539758992456699</v>
      </c>
      <c r="G8126">
        <v>919.69818687438897</v>
      </c>
      <c r="H8126">
        <v>175</v>
      </c>
      <c r="I8126">
        <v>321</v>
      </c>
      <c r="J8126">
        <v>30</v>
      </c>
    </row>
    <row r="8127" spans="1:10" x14ac:dyDescent="0.25">
      <c r="A8127" t="s">
        <v>27</v>
      </c>
      <c r="B8127" t="s">
        <v>21</v>
      </c>
      <c r="C8127" t="s">
        <v>12</v>
      </c>
      <c r="D8127" t="s">
        <v>13</v>
      </c>
      <c r="E8127">
        <v>0.91663606316562596</v>
      </c>
      <c r="F8127">
        <v>0.93063273001153302</v>
      </c>
      <c r="G8127">
        <v>923.39155173301697</v>
      </c>
      <c r="H8127">
        <v>168</v>
      </c>
      <c r="I8127">
        <v>309</v>
      </c>
      <c r="J8127">
        <v>30</v>
      </c>
    </row>
    <row r="8128" spans="1:10" x14ac:dyDescent="0.25">
      <c r="A8128" t="s">
        <v>27</v>
      </c>
      <c r="B8128" t="s">
        <v>21</v>
      </c>
      <c r="C8128" t="s">
        <v>12</v>
      </c>
      <c r="D8128" t="s">
        <v>13</v>
      </c>
      <c r="E8128">
        <v>0.91149467499081804</v>
      </c>
      <c r="F8128">
        <v>0.91990118067007098</v>
      </c>
      <c r="G8128">
        <v>929.27943301200798</v>
      </c>
      <c r="H8128">
        <v>168</v>
      </c>
      <c r="I8128">
        <v>329</v>
      </c>
      <c r="J8128">
        <v>30</v>
      </c>
    </row>
    <row r="8129" spans="1:10" x14ac:dyDescent="0.25">
      <c r="A8129" t="s">
        <v>27</v>
      </c>
      <c r="B8129" t="s">
        <v>21</v>
      </c>
      <c r="C8129" t="s">
        <v>12</v>
      </c>
      <c r="D8129" t="s">
        <v>13</v>
      </c>
      <c r="E8129">
        <v>0.90561880279103901</v>
      </c>
      <c r="F8129">
        <v>0.91662350140459004</v>
      </c>
      <c r="G8129">
        <v>929.35216689109802</v>
      </c>
      <c r="H8129">
        <v>182</v>
      </c>
      <c r="I8129">
        <v>342</v>
      </c>
      <c r="J8129">
        <v>30</v>
      </c>
    </row>
    <row r="8130" spans="1:10" x14ac:dyDescent="0.25">
      <c r="A8130" t="s">
        <v>27</v>
      </c>
      <c r="B8130" t="s">
        <v>21</v>
      </c>
      <c r="C8130" t="s">
        <v>12</v>
      </c>
      <c r="D8130" t="s">
        <v>13</v>
      </c>
      <c r="E8130">
        <v>0.90818949687844197</v>
      </c>
      <c r="F8130">
        <v>0.91952324987781997</v>
      </c>
      <c r="G8130">
        <v>929.84182381629898</v>
      </c>
      <c r="H8130">
        <v>186</v>
      </c>
      <c r="I8130">
        <v>367</v>
      </c>
      <c r="J8130">
        <v>30</v>
      </c>
    </row>
    <row r="8131" spans="1:10" x14ac:dyDescent="0.25">
      <c r="A8131" t="s">
        <v>27</v>
      </c>
      <c r="B8131" t="s">
        <v>21</v>
      </c>
      <c r="C8131" t="s">
        <v>12</v>
      </c>
      <c r="D8131" t="s">
        <v>13</v>
      </c>
      <c r="E8131">
        <v>0.914065369078222</v>
      </c>
      <c r="F8131">
        <v>0.92277572862004997</v>
      </c>
      <c r="G8131">
        <v>932.39275574684098</v>
      </c>
      <c r="H8131">
        <v>187</v>
      </c>
      <c r="I8131">
        <v>356</v>
      </c>
      <c r="J8131">
        <v>30</v>
      </c>
    </row>
    <row r="8132" spans="1:10" x14ac:dyDescent="0.25">
      <c r="A8132" t="s">
        <v>27</v>
      </c>
      <c r="B8132" t="s">
        <v>21</v>
      </c>
      <c r="C8132" t="s">
        <v>12</v>
      </c>
      <c r="D8132" t="s">
        <v>14</v>
      </c>
      <c r="E8132">
        <v>9.8053617333822896E-2</v>
      </c>
      <c r="F8132">
        <v>0.77451185892019703</v>
      </c>
      <c r="G8132">
        <v>7.5049707889556796</v>
      </c>
      <c r="H8132">
        <v>2</v>
      </c>
      <c r="I8132">
        <v>2</v>
      </c>
      <c r="J8132">
        <v>30</v>
      </c>
    </row>
    <row r="8133" spans="1:10" x14ac:dyDescent="0.25">
      <c r="A8133" t="s">
        <v>27</v>
      </c>
      <c r="B8133" t="s">
        <v>21</v>
      </c>
      <c r="C8133" t="s">
        <v>12</v>
      </c>
      <c r="D8133" t="s">
        <v>14</v>
      </c>
      <c r="E8133">
        <v>0.11935365405802401</v>
      </c>
      <c r="F8133">
        <v>0.77956387636371605</v>
      </c>
      <c r="G8133">
        <v>7.7283351421356201</v>
      </c>
      <c r="H8133">
        <v>2</v>
      </c>
      <c r="I8133">
        <v>2</v>
      </c>
      <c r="J8133">
        <v>30</v>
      </c>
    </row>
    <row r="8134" spans="1:10" x14ac:dyDescent="0.25">
      <c r="A8134" t="s">
        <v>27</v>
      </c>
      <c r="B8134" t="s">
        <v>21</v>
      </c>
      <c r="C8134" t="s">
        <v>12</v>
      </c>
      <c r="D8134" t="s">
        <v>14</v>
      </c>
      <c r="E8134">
        <v>0.11090708777084</v>
      </c>
      <c r="F8134">
        <v>0.77745217175266301</v>
      </c>
      <c r="G8134">
        <v>7.6299121379852197</v>
      </c>
      <c r="H8134">
        <v>2</v>
      </c>
      <c r="I8134">
        <v>2</v>
      </c>
      <c r="J8134">
        <v>30</v>
      </c>
    </row>
    <row r="8135" spans="1:10" x14ac:dyDescent="0.25">
      <c r="A8135" t="s">
        <v>27</v>
      </c>
      <c r="B8135" t="s">
        <v>21</v>
      </c>
      <c r="C8135" t="s">
        <v>12</v>
      </c>
      <c r="D8135" t="s">
        <v>14</v>
      </c>
      <c r="E8135">
        <v>0.10025706940874</v>
      </c>
      <c r="F8135">
        <v>0.77506153550745505</v>
      </c>
      <c r="G8135">
        <v>7.9552433490753103</v>
      </c>
      <c r="H8135">
        <v>2</v>
      </c>
      <c r="I8135">
        <v>2</v>
      </c>
      <c r="J8135">
        <v>30</v>
      </c>
    </row>
    <row r="8136" spans="1:10" x14ac:dyDescent="0.25">
      <c r="A8136" t="s">
        <v>27</v>
      </c>
      <c r="B8136" t="s">
        <v>21</v>
      </c>
      <c r="C8136" t="s">
        <v>12</v>
      </c>
      <c r="D8136" t="s">
        <v>14</v>
      </c>
      <c r="E8136">
        <v>0.11384502387073001</v>
      </c>
      <c r="F8136">
        <v>0.77845825991957396</v>
      </c>
      <c r="G8136">
        <v>7.1708688735961896</v>
      </c>
      <c r="H8136">
        <v>2</v>
      </c>
      <c r="I8136">
        <v>2</v>
      </c>
      <c r="J8136">
        <v>30</v>
      </c>
    </row>
    <row r="8137" spans="1:10" x14ac:dyDescent="0.25">
      <c r="A8137" t="s">
        <v>27</v>
      </c>
      <c r="B8137" t="s">
        <v>21</v>
      </c>
      <c r="C8137" t="s">
        <v>12</v>
      </c>
      <c r="D8137" t="s">
        <v>14</v>
      </c>
      <c r="E8137">
        <v>0.11715020198310599</v>
      </c>
      <c r="F8137">
        <v>0.77874046033330802</v>
      </c>
      <c r="G8137">
        <v>8.0799744129180908</v>
      </c>
      <c r="H8137">
        <v>2</v>
      </c>
      <c r="I8137">
        <v>2</v>
      </c>
      <c r="J8137">
        <v>30</v>
      </c>
    </row>
    <row r="8138" spans="1:10" x14ac:dyDescent="0.25">
      <c r="A8138" t="s">
        <v>27</v>
      </c>
      <c r="B8138" t="s">
        <v>21</v>
      </c>
      <c r="C8138" t="s">
        <v>12</v>
      </c>
      <c r="D8138" t="s">
        <v>14</v>
      </c>
      <c r="E8138">
        <v>0.10907087770840899</v>
      </c>
      <c r="F8138">
        <v>0.77699341208042705</v>
      </c>
      <c r="G8138">
        <v>8.0158367156982404</v>
      </c>
      <c r="H8138">
        <v>2</v>
      </c>
      <c r="I8138">
        <v>2</v>
      </c>
      <c r="J8138">
        <v>30</v>
      </c>
    </row>
    <row r="8139" spans="1:10" x14ac:dyDescent="0.25">
      <c r="A8139" t="s">
        <v>27</v>
      </c>
      <c r="B8139" t="s">
        <v>21</v>
      </c>
      <c r="C8139" t="s">
        <v>12</v>
      </c>
      <c r="D8139" t="s">
        <v>14</v>
      </c>
      <c r="E8139">
        <v>0.105398457583547</v>
      </c>
      <c r="F8139">
        <v>0.77634636785989697</v>
      </c>
      <c r="G8139">
        <v>8.0217347145080495</v>
      </c>
      <c r="H8139">
        <v>2</v>
      </c>
      <c r="I8139">
        <v>2</v>
      </c>
      <c r="J8139">
        <v>30</v>
      </c>
    </row>
    <row r="8140" spans="1:10" x14ac:dyDescent="0.25">
      <c r="A8140" t="s">
        <v>27</v>
      </c>
      <c r="B8140" t="s">
        <v>21</v>
      </c>
      <c r="C8140" t="s">
        <v>12</v>
      </c>
      <c r="D8140" t="s">
        <v>14</v>
      </c>
      <c r="E8140">
        <v>9.6217407271391803E-2</v>
      </c>
      <c r="F8140">
        <v>0.77405195599478405</v>
      </c>
      <c r="G8140">
        <v>8.2598259449005091</v>
      </c>
      <c r="H8140">
        <v>2</v>
      </c>
      <c r="I8140">
        <v>2</v>
      </c>
      <c r="J8140">
        <v>30</v>
      </c>
    </row>
    <row r="8141" spans="1:10" x14ac:dyDescent="0.25">
      <c r="A8141" t="s">
        <v>27</v>
      </c>
      <c r="B8141" t="s">
        <v>21</v>
      </c>
      <c r="C8141" t="s">
        <v>12</v>
      </c>
      <c r="D8141" t="s">
        <v>14</v>
      </c>
      <c r="E8141">
        <v>0.104663973558575</v>
      </c>
      <c r="F8141">
        <v>0.77616329238927595</v>
      </c>
      <c r="G8141">
        <v>8.2588887214660591</v>
      </c>
      <c r="H8141">
        <v>2</v>
      </c>
      <c r="I8141">
        <v>2</v>
      </c>
      <c r="J8141">
        <v>30</v>
      </c>
    </row>
    <row r="8142" spans="1:10" x14ac:dyDescent="0.25">
      <c r="A8142" t="s">
        <v>27</v>
      </c>
      <c r="B8142" t="s">
        <v>21</v>
      </c>
      <c r="C8142" t="s">
        <v>12</v>
      </c>
      <c r="D8142" t="s">
        <v>14</v>
      </c>
      <c r="E8142">
        <v>0.110539845758354</v>
      </c>
      <c r="F8142">
        <v>0.77763202964653</v>
      </c>
      <c r="G8142">
        <v>8.4514758586883492</v>
      </c>
      <c r="H8142">
        <v>2</v>
      </c>
      <c r="I8142">
        <v>2</v>
      </c>
      <c r="J8142">
        <v>30</v>
      </c>
    </row>
    <row r="8143" spans="1:10" x14ac:dyDescent="0.25">
      <c r="A8143" t="s">
        <v>27</v>
      </c>
      <c r="B8143" t="s">
        <v>21</v>
      </c>
      <c r="C8143" t="s">
        <v>12</v>
      </c>
      <c r="D8143" t="s">
        <v>14</v>
      </c>
      <c r="E8143">
        <v>0.102460521483657</v>
      </c>
      <c r="F8143">
        <v>0.77534097601909702</v>
      </c>
      <c r="G8143">
        <v>8.5938727855682302</v>
      </c>
      <c r="H8143">
        <v>2</v>
      </c>
      <c r="I8143">
        <v>2</v>
      </c>
      <c r="J8143">
        <v>30</v>
      </c>
    </row>
    <row r="8144" spans="1:10" x14ac:dyDescent="0.25">
      <c r="A8144" t="s">
        <v>27</v>
      </c>
      <c r="B8144" t="s">
        <v>21</v>
      </c>
      <c r="C8144" t="s">
        <v>12</v>
      </c>
      <c r="D8144" t="s">
        <v>14</v>
      </c>
      <c r="E8144">
        <v>0.112743297833272</v>
      </c>
      <c r="F8144">
        <v>0.77791116254895298</v>
      </c>
      <c r="G8144">
        <v>8.5039865970611501</v>
      </c>
      <c r="H8144">
        <v>2</v>
      </c>
      <c r="I8144">
        <v>2</v>
      </c>
      <c r="J8144">
        <v>30</v>
      </c>
    </row>
    <row r="8145" spans="1:10" x14ac:dyDescent="0.25">
      <c r="A8145" t="s">
        <v>27</v>
      </c>
      <c r="B8145" t="s">
        <v>21</v>
      </c>
      <c r="C8145" t="s">
        <v>12</v>
      </c>
      <c r="D8145" t="s">
        <v>14</v>
      </c>
      <c r="E8145">
        <v>0.10907087770840899</v>
      </c>
      <c r="F8145">
        <v>0.77672116862743401</v>
      </c>
      <c r="G8145">
        <v>8.6333854198455793</v>
      </c>
      <c r="H8145">
        <v>2</v>
      </c>
      <c r="I8145">
        <v>2</v>
      </c>
      <c r="J8145">
        <v>30</v>
      </c>
    </row>
    <row r="8146" spans="1:10" x14ac:dyDescent="0.25">
      <c r="A8146" t="s">
        <v>27</v>
      </c>
      <c r="B8146" t="s">
        <v>21</v>
      </c>
      <c r="C8146" t="s">
        <v>12</v>
      </c>
      <c r="D8146" t="s">
        <v>14</v>
      </c>
      <c r="E8146">
        <v>0.112008813808299</v>
      </c>
      <c r="F8146">
        <v>0.77799920957969004</v>
      </c>
      <c r="G8146">
        <v>8.5902650356292707</v>
      </c>
      <c r="H8146">
        <v>2</v>
      </c>
      <c r="I8146">
        <v>2</v>
      </c>
      <c r="J8146">
        <v>30</v>
      </c>
    </row>
    <row r="8147" spans="1:10" x14ac:dyDescent="0.25">
      <c r="A8147" t="s">
        <v>27</v>
      </c>
      <c r="B8147" t="s">
        <v>21</v>
      </c>
      <c r="C8147" t="s">
        <v>12</v>
      </c>
      <c r="D8147" t="s">
        <v>14</v>
      </c>
      <c r="E8147">
        <v>9.6951891296364306E-2</v>
      </c>
      <c r="F8147">
        <v>0.77423622986176899</v>
      </c>
      <c r="G8147">
        <v>8.4236102104186994</v>
      </c>
      <c r="H8147">
        <v>2</v>
      </c>
      <c r="I8147">
        <v>2</v>
      </c>
      <c r="J8147">
        <v>30</v>
      </c>
    </row>
    <row r="8148" spans="1:10" x14ac:dyDescent="0.25">
      <c r="A8148" t="s">
        <v>27</v>
      </c>
      <c r="B8148" t="s">
        <v>21</v>
      </c>
      <c r="C8148" t="s">
        <v>12</v>
      </c>
      <c r="D8148" t="s">
        <v>14</v>
      </c>
      <c r="E8148">
        <v>0.11090708777084</v>
      </c>
      <c r="F8148">
        <v>0.77772383040947601</v>
      </c>
      <c r="G8148">
        <v>8.5314173698425293</v>
      </c>
      <c r="H8148">
        <v>2</v>
      </c>
      <c r="I8148">
        <v>2</v>
      </c>
      <c r="J8148">
        <v>30</v>
      </c>
    </row>
    <row r="8149" spans="1:10" x14ac:dyDescent="0.25">
      <c r="A8149" t="s">
        <v>27</v>
      </c>
      <c r="B8149" t="s">
        <v>21</v>
      </c>
      <c r="C8149" t="s">
        <v>12</v>
      </c>
      <c r="D8149" t="s">
        <v>14</v>
      </c>
      <c r="E8149">
        <v>9.9889827396254099E-2</v>
      </c>
      <c r="F8149">
        <v>0.77496992954652899</v>
      </c>
      <c r="G8149">
        <v>8.4990842342376691</v>
      </c>
      <c r="H8149">
        <v>2</v>
      </c>
      <c r="I8149">
        <v>2</v>
      </c>
      <c r="J8149">
        <v>30</v>
      </c>
    </row>
    <row r="8150" spans="1:10" x14ac:dyDescent="0.25">
      <c r="A8150" t="s">
        <v>27</v>
      </c>
      <c r="B8150" t="s">
        <v>21</v>
      </c>
      <c r="C8150" t="s">
        <v>12</v>
      </c>
      <c r="D8150" t="s">
        <v>14</v>
      </c>
      <c r="E8150">
        <v>9.5482923246419396E-2</v>
      </c>
      <c r="F8150">
        <v>0.77359668440613205</v>
      </c>
      <c r="G8150">
        <v>8.6424591541290194</v>
      </c>
      <c r="H8150">
        <v>2</v>
      </c>
      <c r="I8150">
        <v>2</v>
      </c>
      <c r="J8150">
        <v>30</v>
      </c>
    </row>
    <row r="8151" spans="1:10" x14ac:dyDescent="0.25">
      <c r="A8151" t="s">
        <v>27</v>
      </c>
      <c r="B8151" t="s">
        <v>21</v>
      </c>
      <c r="C8151" t="s">
        <v>12</v>
      </c>
      <c r="D8151" t="s">
        <v>14</v>
      </c>
      <c r="E8151">
        <v>0.11678295997062001</v>
      </c>
      <c r="F8151">
        <v>0.77892126620947499</v>
      </c>
      <c r="G8151">
        <v>8.0435714721679599</v>
      </c>
      <c r="H8151">
        <v>2</v>
      </c>
      <c r="I8151">
        <v>2</v>
      </c>
      <c r="J8151">
        <v>30</v>
      </c>
    </row>
    <row r="8152" spans="1:10" x14ac:dyDescent="0.25">
      <c r="A8152" t="s">
        <v>27</v>
      </c>
      <c r="B8152" t="s">
        <v>21</v>
      </c>
      <c r="C8152" t="s">
        <v>12</v>
      </c>
      <c r="D8152" t="s">
        <v>14</v>
      </c>
      <c r="E8152">
        <v>0.10613294160852001</v>
      </c>
      <c r="F8152">
        <v>0.77653025412779997</v>
      </c>
      <c r="G8152">
        <v>8.8927712440490705</v>
      </c>
      <c r="H8152">
        <v>2</v>
      </c>
      <c r="I8152">
        <v>2</v>
      </c>
      <c r="J8152">
        <v>30</v>
      </c>
    </row>
    <row r="8153" spans="1:10" x14ac:dyDescent="0.25">
      <c r="A8153" t="s">
        <v>27</v>
      </c>
      <c r="B8153" t="s">
        <v>21</v>
      </c>
      <c r="C8153" t="s">
        <v>12</v>
      </c>
      <c r="D8153" t="s">
        <v>14</v>
      </c>
      <c r="E8153">
        <v>0.107234667645978</v>
      </c>
      <c r="F8153">
        <v>0.77680618591949901</v>
      </c>
      <c r="G8153">
        <v>8.8445866107940603</v>
      </c>
      <c r="H8153">
        <v>2</v>
      </c>
      <c r="I8153">
        <v>2</v>
      </c>
      <c r="J8153">
        <v>30</v>
      </c>
    </row>
    <row r="8154" spans="1:10" x14ac:dyDescent="0.25">
      <c r="A8154" t="s">
        <v>27</v>
      </c>
      <c r="B8154" t="s">
        <v>21</v>
      </c>
      <c r="C8154" t="s">
        <v>12</v>
      </c>
      <c r="D8154" t="s">
        <v>14</v>
      </c>
      <c r="E8154">
        <v>0.10870363569592301</v>
      </c>
      <c r="F8154">
        <v>0.77690160852644197</v>
      </c>
      <c r="G8154">
        <v>8.8369905948638898</v>
      </c>
      <c r="H8154">
        <v>2</v>
      </c>
      <c r="I8154">
        <v>2</v>
      </c>
      <c r="J8154">
        <v>30</v>
      </c>
    </row>
    <row r="8155" spans="1:10" x14ac:dyDescent="0.25">
      <c r="A8155" t="s">
        <v>27</v>
      </c>
      <c r="B8155" t="s">
        <v>21</v>
      </c>
      <c r="C8155" t="s">
        <v>12</v>
      </c>
      <c r="D8155" t="s">
        <v>14</v>
      </c>
      <c r="E8155">
        <v>8.5934630921777402E-2</v>
      </c>
      <c r="F8155">
        <v>0.77148126201042899</v>
      </c>
      <c r="G8155">
        <v>8.9779503345489502</v>
      </c>
      <c r="H8155">
        <v>2</v>
      </c>
      <c r="I8155">
        <v>2</v>
      </c>
      <c r="J8155">
        <v>30</v>
      </c>
    </row>
    <row r="8156" spans="1:10" x14ac:dyDescent="0.25">
      <c r="A8156" t="s">
        <v>27</v>
      </c>
      <c r="B8156" t="s">
        <v>21</v>
      </c>
      <c r="C8156" t="s">
        <v>12</v>
      </c>
      <c r="D8156" t="s">
        <v>14</v>
      </c>
      <c r="E8156">
        <v>0.10650018362100599</v>
      </c>
      <c r="F8156">
        <v>0.77635057707634902</v>
      </c>
      <c r="G8156">
        <v>8.9207735061645508</v>
      </c>
      <c r="H8156">
        <v>2</v>
      </c>
      <c r="I8156">
        <v>2</v>
      </c>
      <c r="J8156">
        <v>30</v>
      </c>
    </row>
    <row r="8157" spans="1:10" x14ac:dyDescent="0.25">
      <c r="A8157" t="s">
        <v>27</v>
      </c>
      <c r="B8157" t="s">
        <v>21</v>
      </c>
      <c r="C8157" t="s">
        <v>12</v>
      </c>
      <c r="D8157" t="s">
        <v>14</v>
      </c>
      <c r="E8157">
        <v>0.11164157179581299</v>
      </c>
      <c r="F8157">
        <v>0.77763603211365995</v>
      </c>
      <c r="G8157">
        <v>9.1550307273864693</v>
      </c>
      <c r="H8157">
        <v>2</v>
      </c>
      <c r="I8157">
        <v>2</v>
      </c>
      <c r="J8157">
        <v>30</v>
      </c>
    </row>
    <row r="8158" spans="1:10" x14ac:dyDescent="0.25">
      <c r="A8158" t="s">
        <v>27</v>
      </c>
      <c r="B8158" t="s">
        <v>21</v>
      </c>
      <c r="C8158" t="s">
        <v>12</v>
      </c>
      <c r="D8158" t="s">
        <v>14</v>
      </c>
      <c r="E8158">
        <v>0.109438119720896</v>
      </c>
      <c r="F8158">
        <v>0.77708521563441102</v>
      </c>
      <c r="G8158">
        <v>9.2086102962493896</v>
      </c>
      <c r="H8158">
        <v>2</v>
      </c>
      <c r="I8158">
        <v>2</v>
      </c>
      <c r="J8158">
        <v>30</v>
      </c>
    </row>
    <row r="8159" spans="1:10" x14ac:dyDescent="0.25">
      <c r="A8159" t="s">
        <v>27</v>
      </c>
      <c r="B8159" t="s">
        <v>21</v>
      </c>
      <c r="C8159" t="s">
        <v>12</v>
      </c>
      <c r="D8159" t="s">
        <v>14</v>
      </c>
      <c r="E8159">
        <v>0.10099155343371199</v>
      </c>
      <c r="F8159">
        <v>0.77497376036371601</v>
      </c>
      <c r="G8159">
        <v>9.1151738166808993</v>
      </c>
      <c r="H8159">
        <v>2</v>
      </c>
      <c r="I8159">
        <v>2</v>
      </c>
      <c r="J8159">
        <v>30</v>
      </c>
    </row>
    <row r="8160" spans="1:10" x14ac:dyDescent="0.25">
      <c r="A8160" t="s">
        <v>27</v>
      </c>
      <c r="B8160" t="s">
        <v>21</v>
      </c>
      <c r="C8160" t="s">
        <v>12</v>
      </c>
      <c r="D8160" t="s">
        <v>14</v>
      </c>
      <c r="E8160">
        <v>0.113110539845758</v>
      </c>
      <c r="F8160">
        <v>0.77827459993419001</v>
      </c>
      <c r="G8160">
        <v>9.0748291015625</v>
      </c>
      <c r="H8160">
        <v>2</v>
      </c>
      <c r="I8160">
        <v>2</v>
      </c>
      <c r="J8160">
        <v>30</v>
      </c>
    </row>
    <row r="8161" spans="1:10" x14ac:dyDescent="0.25">
      <c r="A8161" t="s">
        <v>27</v>
      </c>
      <c r="B8161" t="s">
        <v>21</v>
      </c>
      <c r="C8161" t="s">
        <v>12</v>
      </c>
      <c r="D8161" t="s">
        <v>14</v>
      </c>
      <c r="E8161">
        <v>0.10576569959603301</v>
      </c>
      <c r="F8161">
        <v>0.776438155300476</v>
      </c>
      <c r="G8161">
        <v>9.6215529441833496</v>
      </c>
      <c r="H8161">
        <v>2</v>
      </c>
      <c r="I8161">
        <v>2</v>
      </c>
      <c r="J8161">
        <v>30</v>
      </c>
    </row>
    <row r="8162" spans="1:10" x14ac:dyDescent="0.25">
      <c r="A8162" t="s">
        <v>27</v>
      </c>
      <c r="B8162" t="s">
        <v>21</v>
      </c>
      <c r="C8162" t="s">
        <v>12</v>
      </c>
      <c r="D8162" t="s">
        <v>15</v>
      </c>
      <c r="E8162">
        <v>0</v>
      </c>
      <c r="F8162">
        <v>0.75</v>
      </c>
      <c r="G8162">
        <v>233.204185724258</v>
      </c>
      <c r="H8162">
        <v>1</v>
      </c>
      <c r="I8162">
        <v>2</v>
      </c>
      <c r="J8162">
        <v>30</v>
      </c>
    </row>
    <row r="8163" spans="1:10" x14ac:dyDescent="0.25">
      <c r="A8163" t="s">
        <v>27</v>
      </c>
      <c r="B8163" t="s">
        <v>21</v>
      </c>
      <c r="C8163" t="s">
        <v>12</v>
      </c>
      <c r="D8163" t="s">
        <v>15</v>
      </c>
      <c r="E8163">
        <v>7.3448402497245605E-4</v>
      </c>
      <c r="F8163">
        <v>0.75003488799118601</v>
      </c>
      <c r="G8163">
        <v>481.72834539413401</v>
      </c>
      <c r="H8163">
        <v>1</v>
      </c>
      <c r="I8163">
        <v>5</v>
      </c>
      <c r="J8163">
        <v>30</v>
      </c>
    </row>
    <row r="8164" spans="1:10" x14ac:dyDescent="0.25">
      <c r="A8164" t="s">
        <v>27</v>
      </c>
      <c r="B8164" t="s">
        <v>21</v>
      </c>
      <c r="C8164" t="s">
        <v>12</v>
      </c>
      <c r="D8164" t="s">
        <v>15</v>
      </c>
      <c r="E8164">
        <v>0</v>
      </c>
      <c r="F8164">
        <v>0.75</v>
      </c>
      <c r="G8164">
        <v>967.99379992485001</v>
      </c>
      <c r="H8164">
        <v>3</v>
      </c>
      <c r="I8164">
        <v>11</v>
      </c>
      <c r="J8164">
        <v>30</v>
      </c>
    </row>
    <row r="8165" spans="1:10" x14ac:dyDescent="0.25">
      <c r="A8165" t="s">
        <v>27</v>
      </c>
      <c r="B8165" t="s">
        <v>21</v>
      </c>
      <c r="C8165" t="s">
        <v>12</v>
      </c>
      <c r="D8165" t="s">
        <v>15</v>
      </c>
      <c r="E8165">
        <v>0</v>
      </c>
      <c r="F8165">
        <v>0.75</v>
      </c>
      <c r="G8165">
        <v>1286.42994594573</v>
      </c>
      <c r="H8165">
        <v>6</v>
      </c>
      <c r="I8165">
        <v>17</v>
      </c>
      <c r="J8165">
        <v>30</v>
      </c>
    </row>
    <row r="8166" spans="1:10" x14ac:dyDescent="0.25">
      <c r="A8166" t="s">
        <v>27</v>
      </c>
      <c r="B8166" t="s">
        <v>21</v>
      </c>
      <c r="C8166" t="s">
        <v>12</v>
      </c>
      <c r="D8166" t="s">
        <v>15</v>
      </c>
      <c r="E8166">
        <v>7.3448402497245605E-4</v>
      </c>
      <c r="F8166">
        <v>0.75003488799118601</v>
      </c>
      <c r="G8166">
        <v>1531.13276028633</v>
      </c>
      <c r="H8166">
        <v>2</v>
      </c>
      <c r="I8166">
        <v>7</v>
      </c>
      <c r="J8166">
        <v>30</v>
      </c>
    </row>
    <row r="8167" spans="1:10" x14ac:dyDescent="0.25">
      <c r="A8167" t="s">
        <v>27</v>
      </c>
      <c r="B8167" t="s">
        <v>21</v>
      </c>
      <c r="C8167" t="s">
        <v>12</v>
      </c>
      <c r="D8167" t="s">
        <v>15</v>
      </c>
      <c r="E8167">
        <v>3.6724201248622803E-4</v>
      </c>
      <c r="F8167">
        <v>0.750017443995593</v>
      </c>
      <c r="G8167">
        <v>2272.92492032051</v>
      </c>
      <c r="H8167">
        <v>6</v>
      </c>
      <c r="I8167">
        <v>22</v>
      </c>
      <c r="J8167">
        <v>30</v>
      </c>
    </row>
    <row r="8168" spans="1:10" x14ac:dyDescent="0.25">
      <c r="A8168" t="s">
        <v>27</v>
      </c>
      <c r="B8168" t="s">
        <v>21</v>
      </c>
      <c r="C8168" t="s">
        <v>12</v>
      </c>
      <c r="D8168" t="s">
        <v>15</v>
      </c>
      <c r="E8168">
        <v>0</v>
      </c>
      <c r="F8168">
        <v>0.75</v>
      </c>
      <c r="G8168">
        <v>3443.8677144050598</v>
      </c>
      <c r="H8168">
        <v>5</v>
      </c>
      <c r="I8168">
        <v>16</v>
      </c>
      <c r="J8168">
        <v>30</v>
      </c>
    </row>
    <row r="8169" spans="1:10" x14ac:dyDescent="0.25">
      <c r="A8169" t="s">
        <v>27</v>
      </c>
      <c r="B8169" t="s">
        <v>21</v>
      </c>
      <c r="C8169" t="s">
        <v>12</v>
      </c>
      <c r="D8169" t="s">
        <v>15</v>
      </c>
      <c r="E8169">
        <v>0</v>
      </c>
      <c r="F8169">
        <v>0.75</v>
      </c>
      <c r="G8169">
        <v>5182.6652290821003</v>
      </c>
      <c r="H8169">
        <v>8</v>
      </c>
      <c r="I8169">
        <v>25</v>
      </c>
      <c r="J8169">
        <v>30</v>
      </c>
    </row>
    <row r="8170" spans="1:10" x14ac:dyDescent="0.25">
      <c r="A8170" t="s">
        <v>27</v>
      </c>
      <c r="B8170" t="s">
        <v>21</v>
      </c>
      <c r="C8170" t="s">
        <v>12</v>
      </c>
      <c r="D8170" t="s">
        <v>15</v>
      </c>
      <c r="E8170">
        <v>0</v>
      </c>
      <c r="F8170">
        <v>0.749980719794344</v>
      </c>
      <c r="G8170">
        <v>8433.3154304027503</v>
      </c>
      <c r="H8170">
        <v>17</v>
      </c>
      <c r="I8170">
        <v>50</v>
      </c>
      <c r="J8170">
        <v>30</v>
      </c>
    </row>
    <row r="8171" spans="1:10" x14ac:dyDescent="0.25">
      <c r="A8171" t="s">
        <v>27</v>
      </c>
      <c r="B8171" t="s">
        <v>21</v>
      </c>
      <c r="C8171" t="s">
        <v>12</v>
      </c>
      <c r="D8171" t="s">
        <v>15</v>
      </c>
      <c r="E8171">
        <v>2.2034520749173699E-3</v>
      </c>
      <c r="F8171">
        <v>0.75010466397355802</v>
      </c>
      <c r="G8171">
        <v>11828.605378866099</v>
      </c>
      <c r="H8171">
        <v>32</v>
      </c>
      <c r="I8171">
        <v>97</v>
      </c>
      <c r="J8171">
        <v>30</v>
      </c>
    </row>
    <row r="8172" spans="1:10" x14ac:dyDescent="0.25">
      <c r="A8172" t="s">
        <v>27</v>
      </c>
      <c r="B8172" t="s">
        <v>21</v>
      </c>
      <c r="C8172" t="s">
        <v>12</v>
      </c>
      <c r="D8172" t="s">
        <v>15</v>
      </c>
      <c r="E8172">
        <v>1.4689680499449099E-3</v>
      </c>
      <c r="F8172">
        <v>0.75006977598237201</v>
      </c>
      <c r="G8172">
        <v>16318.750663757301</v>
      </c>
      <c r="H8172">
        <v>27</v>
      </c>
      <c r="I8172">
        <v>88</v>
      </c>
      <c r="J8172">
        <v>30</v>
      </c>
    </row>
    <row r="8173" spans="1:10" x14ac:dyDescent="0.25">
      <c r="A8173" t="s">
        <v>27</v>
      </c>
      <c r="B8173" t="s">
        <v>21</v>
      </c>
      <c r="C8173" t="s">
        <v>12</v>
      </c>
      <c r="D8173" t="s">
        <v>15</v>
      </c>
      <c r="E8173">
        <v>4.4069041498347398E-3</v>
      </c>
      <c r="F8173">
        <v>0.75020654925122998</v>
      </c>
      <c r="G8173">
        <v>19167.087956428499</v>
      </c>
      <c r="H8173">
        <v>40</v>
      </c>
      <c r="I8173">
        <v>120</v>
      </c>
      <c r="J8173">
        <v>30</v>
      </c>
    </row>
    <row r="8174" spans="1:10" x14ac:dyDescent="0.25">
      <c r="A8174" t="s">
        <v>27</v>
      </c>
      <c r="B8174" t="s">
        <v>21</v>
      </c>
      <c r="C8174" t="s">
        <v>12</v>
      </c>
      <c r="D8174" t="s">
        <v>15</v>
      </c>
      <c r="E8174">
        <v>3.6724201248622803E-4</v>
      </c>
      <c r="F8174">
        <v>0.75000150334597804</v>
      </c>
      <c r="G8174">
        <v>19374.092645883498</v>
      </c>
      <c r="H8174">
        <v>39</v>
      </c>
      <c r="I8174">
        <v>120</v>
      </c>
      <c r="J8174">
        <v>30</v>
      </c>
    </row>
    <row r="8175" spans="1:10" x14ac:dyDescent="0.25">
      <c r="A8175" t="s">
        <v>27</v>
      </c>
      <c r="B8175" t="s">
        <v>21</v>
      </c>
      <c r="C8175" t="s">
        <v>12</v>
      </c>
      <c r="D8175" t="s">
        <v>15</v>
      </c>
      <c r="E8175">
        <v>4.4069041498347398E-3</v>
      </c>
      <c r="F8175">
        <v>0.75020932794711703</v>
      </c>
      <c r="G8175">
        <v>21164.069033622702</v>
      </c>
      <c r="H8175">
        <v>46</v>
      </c>
      <c r="I8175">
        <v>124</v>
      </c>
      <c r="J8175">
        <v>30</v>
      </c>
    </row>
    <row r="8176" spans="1:10" x14ac:dyDescent="0.25">
      <c r="A8176" t="s">
        <v>27</v>
      </c>
      <c r="B8176" t="s">
        <v>21</v>
      </c>
      <c r="C8176" t="s">
        <v>12</v>
      </c>
      <c r="D8176" t="s">
        <v>15</v>
      </c>
      <c r="E8176">
        <v>3.3051781123760501E-3</v>
      </c>
      <c r="F8176">
        <v>0.75015699596033703</v>
      </c>
      <c r="G8176">
        <v>21185.2926318645</v>
      </c>
      <c r="H8176">
        <v>45</v>
      </c>
      <c r="I8176">
        <v>157</v>
      </c>
      <c r="J8176">
        <v>30</v>
      </c>
    </row>
    <row r="8177" spans="1:10" x14ac:dyDescent="0.25">
      <c r="A8177" t="s">
        <v>27</v>
      </c>
      <c r="B8177" t="s">
        <v>21</v>
      </c>
      <c r="C8177" t="s">
        <v>12</v>
      </c>
      <c r="D8177" t="s">
        <v>15</v>
      </c>
      <c r="E8177">
        <v>2.2034520749173699E-3</v>
      </c>
      <c r="F8177">
        <v>0.75010466397355802</v>
      </c>
      <c r="G8177">
        <v>24147.015501975999</v>
      </c>
      <c r="H8177">
        <v>47</v>
      </c>
      <c r="I8177">
        <v>131</v>
      </c>
      <c r="J8177">
        <v>30</v>
      </c>
    </row>
    <row r="8178" spans="1:10" x14ac:dyDescent="0.25">
      <c r="A8178" t="s">
        <v>27</v>
      </c>
      <c r="B8178" t="s">
        <v>21</v>
      </c>
      <c r="C8178" t="s">
        <v>12</v>
      </c>
      <c r="D8178" t="s">
        <v>15</v>
      </c>
      <c r="E8178">
        <v>5.8758721997796502E-3</v>
      </c>
      <c r="F8178">
        <v>0.75026316327987497</v>
      </c>
      <c r="G8178">
        <v>25399.996029853799</v>
      </c>
      <c r="H8178">
        <v>55</v>
      </c>
      <c r="I8178">
        <v>161</v>
      </c>
      <c r="J8178">
        <v>30</v>
      </c>
    </row>
    <row r="8179" spans="1:10" x14ac:dyDescent="0.25">
      <c r="A8179" t="s">
        <v>27</v>
      </c>
      <c r="B8179" t="s">
        <v>21</v>
      </c>
      <c r="C8179" t="s">
        <v>12</v>
      </c>
      <c r="D8179" t="s">
        <v>15</v>
      </c>
      <c r="E8179">
        <v>2.5706940874035901E-3</v>
      </c>
      <c r="F8179">
        <v>0.75012210796915102</v>
      </c>
      <c r="G8179">
        <v>26284.522069931001</v>
      </c>
      <c r="H8179">
        <v>61</v>
      </c>
      <c r="I8179">
        <v>203</v>
      </c>
      <c r="J8179">
        <v>30</v>
      </c>
    </row>
    <row r="8180" spans="1:10" x14ac:dyDescent="0.25">
      <c r="A8180" t="s">
        <v>27</v>
      </c>
      <c r="B8180" t="s">
        <v>21</v>
      </c>
      <c r="C8180" t="s">
        <v>12</v>
      </c>
      <c r="D8180" t="s">
        <v>15</v>
      </c>
      <c r="E8180">
        <v>2.9379360998898199E-3</v>
      </c>
      <c r="F8180">
        <v>0.75013955196474402</v>
      </c>
      <c r="G8180">
        <v>26410.4146525859</v>
      </c>
      <c r="H8180">
        <v>77</v>
      </c>
      <c r="I8180">
        <v>214</v>
      </c>
      <c r="J8180">
        <v>30</v>
      </c>
    </row>
    <row r="8181" spans="1:10" x14ac:dyDescent="0.25">
      <c r="A8181" t="s">
        <v>27</v>
      </c>
      <c r="B8181" t="s">
        <v>21</v>
      </c>
      <c r="C8181" t="s">
        <v>12</v>
      </c>
      <c r="D8181" t="s">
        <v>15</v>
      </c>
      <c r="E8181">
        <v>4.0396621373485096E-3</v>
      </c>
      <c r="F8181">
        <v>0.75019188395152403</v>
      </c>
      <c r="G8181">
        <v>30893.119043588598</v>
      </c>
      <c r="H8181">
        <v>63</v>
      </c>
      <c r="I8181">
        <v>181</v>
      </c>
      <c r="J8181">
        <v>30</v>
      </c>
    </row>
    <row r="8182" spans="1:10" x14ac:dyDescent="0.25">
      <c r="A8182" t="s">
        <v>27</v>
      </c>
      <c r="B8182" t="s">
        <v>21</v>
      </c>
      <c r="C8182" t="s">
        <v>12</v>
      </c>
      <c r="D8182" t="s">
        <v>15</v>
      </c>
      <c r="E8182">
        <v>6.6103562247521097E-3</v>
      </c>
      <c r="F8182">
        <v>0.75030843452890195</v>
      </c>
      <c r="G8182">
        <v>32060.276590347199</v>
      </c>
      <c r="H8182">
        <v>108</v>
      </c>
      <c r="I8182">
        <v>312</v>
      </c>
      <c r="J8182">
        <v>30</v>
      </c>
    </row>
    <row r="8183" spans="1:10" x14ac:dyDescent="0.25">
      <c r="A8183" t="s">
        <v>27</v>
      </c>
      <c r="B8183" t="s">
        <v>21</v>
      </c>
      <c r="C8183" t="s">
        <v>12</v>
      </c>
      <c r="D8183" t="s">
        <v>15</v>
      </c>
      <c r="E8183">
        <v>5.1413881748071898E-3</v>
      </c>
      <c r="F8183">
        <v>0.75024421593830304</v>
      </c>
      <c r="G8183">
        <v>32605.807490587202</v>
      </c>
      <c r="H8183">
        <v>76</v>
      </c>
      <c r="I8183">
        <v>215</v>
      </c>
      <c r="J8183">
        <v>30</v>
      </c>
    </row>
    <row r="8184" spans="1:10" x14ac:dyDescent="0.25">
      <c r="A8184" t="s">
        <v>27</v>
      </c>
      <c r="B8184" t="s">
        <v>21</v>
      </c>
      <c r="C8184" t="s">
        <v>12</v>
      </c>
      <c r="D8184" t="s">
        <v>15</v>
      </c>
      <c r="E8184">
        <v>4.7741461623209596E-3</v>
      </c>
      <c r="F8184">
        <v>0.75022121455093604</v>
      </c>
      <c r="G8184">
        <v>32884.792026042902</v>
      </c>
      <c r="H8184">
        <v>84</v>
      </c>
      <c r="I8184">
        <v>229</v>
      </c>
      <c r="J8184">
        <v>30</v>
      </c>
    </row>
    <row r="8185" spans="1:10" x14ac:dyDescent="0.25">
      <c r="A8185" t="s">
        <v>27</v>
      </c>
      <c r="B8185" t="s">
        <v>21</v>
      </c>
      <c r="C8185" t="s">
        <v>12</v>
      </c>
      <c r="D8185" t="s">
        <v>15</v>
      </c>
      <c r="E8185">
        <v>5.1413881748071898E-3</v>
      </c>
      <c r="F8185">
        <v>0.75024421593830304</v>
      </c>
      <c r="G8185">
        <v>36704.353254795002</v>
      </c>
      <c r="H8185">
        <v>112</v>
      </c>
      <c r="I8185">
        <v>327</v>
      </c>
      <c r="J8185">
        <v>30</v>
      </c>
    </row>
    <row r="8186" spans="1:10" x14ac:dyDescent="0.25">
      <c r="A8186" t="s">
        <v>27</v>
      </c>
      <c r="B8186" t="s">
        <v>21</v>
      </c>
      <c r="C8186" t="s">
        <v>12</v>
      </c>
      <c r="D8186" t="s">
        <v>15</v>
      </c>
      <c r="E8186">
        <v>6.6103562247521097E-3</v>
      </c>
      <c r="F8186">
        <v>0.75029471171502005</v>
      </c>
      <c r="G8186">
        <v>37344.021228790203</v>
      </c>
      <c r="H8186">
        <v>116</v>
      </c>
      <c r="I8186">
        <v>352</v>
      </c>
      <c r="J8186">
        <v>30</v>
      </c>
    </row>
    <row r="8187" spans="1:10" x14ac:dyDescent="0.25">
      <c r="A8187" t="s">
        <v>27</v>
      </c>
      <c r="B8187" t="s">
        <v>21</v>
      </c>
      <c r="C8187" t="s">
        <v>12</v>
      </c>
      <c r="D8187" t="s">
        <v>15</v>
      </c>
      <c r="E8187">
        <v>4.4069041498347398E-3</v>
      </c>
      <c r="F8187">
        <v>0.75020932794711703</v>
      </c>
      <c r="G8187">
        <v>38591.724246024998</v>
      </c>
      <c r="H8187">
        <v>120</v>
      </c>
      <c r="I8187">
        <v>320</v>
      </c>
      <c r="J8187">
        <v>30</v>
      </c>
    </row>
    <row r="8188" spans="1:10" x14ac:dyDescent="0.25">
      <c r="A8188" t="s">
        <v>27</v>
      </c>
      <c r="B8188" t="s">
        <v>21</v>
      </c>
      <c r="C8188" t="s">
        <v>12</v>
      </c>
      <c r="D8188" t="s">
        <v>15</v>
      </c>
      <c r="E8188">
        <v>4.0396621373485096E-3</v>
      </c>
      <c r="F8188">
        <v>0.75015054484432597</v>
      </c>
      <c r="G8188">
        <v>38592.259209394397</v>
      </c>
      <c r="H8188">
        <v>132</v>
      </c>
      <c r="I8188">
        <v>396</v>
      </c>
      <c r="J8188">
        <v>30</v>
      </c>
    </row>
    <row r="8189" spans="1:10" x14ac:dyDescent="0.25">
      <c r="A8189" t="s">
        <v>27</v>
      </c>
      <c r="B8189" t="s">
        <v>21</v>
      </c>
      <c r="C8189" t="s">
        <v>12</v>
      </c>
      <c r="D8189" t="s">
        <v>15</v>
      </c>
      <c r="E8189">
        <v>8.4465662871832502E-3</v>
      </c>
      <c r="F8189">
        <v>0.75037637430121196</v>
      </c>
      <c r="G8189">
        <v>40305.311345100403</v>
      </c>
      <c r="H8189">
        <v>134</v>
      </c>
      <c r="I8189">
        <v>360</v>
      </c>
      <c r="J8189">
        <v>30</v>
      </c>
    </row>
    <row r="8190" spans="1:10" x14ac:dyDescent="0.25">
      <c r="A8190" t="s">
        <v>27</v>
      </c>
      <c r="B8190" t="s">
        <v>21</v>
      </c>
      <c r="C8190" t="s">
        <v>12</v>
      </c>
      <c r="D8190" t="s">
        <v>15</v>
      </c>
      <c r="E8190">
        <v>8.0793242746970192E-3</v>
      </c>
      <c r="F8190">
        <v>0.75037821051127396</v>
      </c>
      <c r="G8190">
        <v>42030.530205726602</v>
      </c>
      <c r="H8190">
        <v>172</v>
      </c>
      <c r="I8190">
        <v>503</v>
      </c>
      <c r="J8190">
        <v>30</v>
      </c>
    </row>
    <row r="8191" spans="1:10" x14ac:dyDescent="0.25">
      <c r="A8191" t="s">
        <v>27</v>
      </c>
      <c r="B8191" t="s">
        <v>21</v>
      </c>
      <c r="C8191" t="s">
        <v>12</v>
      </c>
      <c r="D8191" t="s">
        <v>15</v>
      </c>
      <c r="E8191">
        <v>1.9463826661770101E-2</v>
      </c>
      <c r="F8191">
        <v>0.75089635774215902</v>
      </c>
      <c r="G8191">
        <v>47070.205294132204</v>
      </c>
      <c r="H8191">
        <v>379</v>
      </c>
      <c r="I8191">
        <v>1045</v>
      </c>
      <c r="J8191">
        <v>30</v>
      </c>
    </row>
    <row r="8192" spans="1:10" x14ac:dyDescent="0.25">
      <c r="A8192" t="s">
        <v>27</v>
      </c>
      <c r="B8192" t="s">
        <v>21</v>
      </c>
      <c r="C8192" t="s">
        <v>12</v>
      </c>
      <c r="D8192" t="s">
        <v>16</v>
      </c>
      <c r="E8192">
        <v>0</v>
      </c>
      <c r="F8192">
        <v>0.75</v>
      </c>
      <c r="G8192">
        <v>2.4379956722259499</v>
      </c>
      <c r="H8192">
        <v>0</v>
      </c>
      <c r="I8192">
        <v>0</v>
      </c>
      <c r="J8192">
        <v>30</v>
      </c>
    </row>
    <row r="8193" spans="1:10" x14ac:dyDescent="0.25">
      <c r="A8193" t="s">
        <v>27</v>
      </c>
      <c r="B8193" t="s">
        <v>21</v>
      </c>
      <c r="C8193" t="s">
        <v>12</v>
      </c>
      <c r="D8193" t="s">
        <v>16</v>
      </c>
      <c r="E8193">
        <v>0</v>
      </c>
      <c r="F8193">
        <v>0.75</v>
      </c>
      <c r="G8193">
        <v>2.5903761386871298</v>
      </c>
      <c r="H8193">
        <v>0</v>
      </c>
      <c r="I8193">
        <v>0</v>
      </c>
      <c r="J8193">
        <v>30</v>
      </c>
    </row>
    <row r="8194" spans="1:10" x14ac:dyDescent="0.25">
      <c r="A8194" t="s">
        <v>27</v>
      </c>
      <c r="B8194" t="s">
        <v>21</v>
      </c>
      <c r="C8194" t="s">
        <v>12</v>
      </c>
      <c r="D8194" t="s">
        <v>16</v>
      </c>
      <c r="E8194">
        <v>0</v>
      </c>
      <c r="F8194">
        <v>0.75</v>
      </c>
      <c r="G8194">
        <v>2.58243203163146</v>
      </c>
      <c r="H8194">
        <v>0</v>
      </c>
      <c r="I8194">
        <v>0</v>
      </c>
      <c r="J8194">
        <v>30</v>
      </c>
    </row>
    <row r="8195" spans="1:10" x14ac:dyDescent="0.25">
      <c r="A8195" t="s">
        <v>27</v>
      </c>
      <c r="B8195" t="s">
        <v>21</v>
      </c>
      <c r="C8195" t="s">
        <v>12</v>
      </c>
      <c r="D8195" t="s">
        <v>16</v>
      </c>
      <c r="E8195">
        <v>0</v>
      </c>
      <c r="F8195">
        <v>0.75</v>
      </c>
      <c r="G8195">
        <v>2.6054279804229701</v>
      </c>
      <c r="H8195">
        <v>0</v>
      </c>
      <c r="I8195">
        <v>0</v>
      </c>
      <c r="J8195">
        <v>30</v>
      </c>
    </row>
    <row r="8196" spans="1:10" x14ac:dyDescent="0.25">
      <c r="A8196" t="s">
        <v>27</v>
      </c>
      <c r="B8196" t="s">
        <v>21</v>
      </c>
      <c r="C8196" t="s">
        <v>12</v>
      </c>
      <c r="D8196" t="s">
        <v>16</v>
      </c>
      <c r="E8196">
        <v>0</v>
      </c>
      <c r="F8196">
        <v>0.75</v>
      </c>
      <c r="G8196">
        <v>2.50829005241394</v>
      </c>
      <c r="H8196">
        <v>0</v>
      </c>
      <c r="I8196">
        <v>0</v>
      </c>
      <c r="J8196">
        <v>30</v>
      </c>
    </row>
    <row r="8197" spans="1:10" x14ac:dyDescent="0.25">
      <c r="A8197" t="s">
        <v>27</v>
      </c>
      <c r="B8197" t="s">
        <v>21</v>
      </c>
      <c r="C8197" t="s">
        <v>12</v>
      </c>
      <c r="D8197" t="s">
        <v>16</v>
      </c>
      <c r="E8197">
        <v>0</v>
      </c>
      <c r="F8197">
        <v>0.75</v>
      </c>
      <c r="G8197">
        <v>2.6335520744323699</v>
      </c>
      <c r="H8197">
        <v>0</v>
      </c>
      <c r="I8197">
        <v>0</v>
      </c>
      <c r="J8197">
        <v>30</v>
      </c>
    </row>
    <row r="8198" spans="1:10" x14ac:dyDescent="0.25">
      <c r="A8198" t="s">
        <v>27</v>
      </c>
      <c r="B8198" t="s">
        <v>21</v>
      </c>
      <c r="C8198" t="s">
        <v>12</v>
      </c>
      <c r="D8198" t="s">
        <v>16</v>
      </c>
      <c r="E8198">
        <v>0</v>
      </c>
      <c r="F8198">
        <v>0.75</v>
      </c>
      <c r="G8198">
        <v>2.6487390995025599</v>
      </c>
      <c r="H8198">
        <v>0</v>
      </c>
      <c r="I8198">
        <v>0</v>
      </c>
      <c r="J8198">
        <v>30</v>
      </c>
    </row>
    <row r="8199" spans="1:10" x14ac:dyDescent="0.25">
      <c r="A8199" t="s">
        <v>27</v>
      </c>
      <c r="B8199" t="s">
        <v>21</v>
      </c>
      <c r="C8199" t="s">
        <v>12</v>
      </c>
      <c r="D8199" t="s">
        <v>16</v>
      </c>
      <c r="E8199">
        <v>0</v>
      </c>
      <c r="F8199">
        <v>0.75</v>
      </c>
      <c r="G8199">
        <v>2.4613671302795401</v>
      </c>
      <c r="H8199">
        <v>0</v>
      </c>
      <c r="I8199">
        <v>0</v>
      </c>
      <c r="J8199">
        <v>30</v>
      </c>
    </row>
    <row r="8200" spans="1:10" x14ac:dyDescent="0.25">
      <c r="A8200" t="s">
        <v>27</v>
      </c>
      <c r="B8200" t="s">
        <v>21</v>
      </c>
      <c r="C8200" t="s">
        <v>12</v>
      </c>
      <c r="D8200" t="s">
        <v>16</v>
      </c>
      <c r="E8200">
        <v>0</v>
      </c>
      <c r="F8200">
        <v>0.75</v>
      </c>
      <c r="G8200">
        <v>14.265266895294101</v>
      </c>
      <c r="H8200">
        <v>0</v>
      </c>
      <c r="I8200">
        <v>0</v>
      </c>
      <c r="J8200">
        <v>30</v>
      </c>
    </row>
    <row r="8201" spans="1:10" x14ac:dyDescent="0.25">
      <c r="A8201" t="s">
        <v>27</v>
      </c>
      <c r="B8201" t="s">
        <v>21</v>
      </c>
      <c r="C8201" t="s">
        <v>12</v>
      </c>
      <c r="D8201" t="s">
        <v>16</v>
      </c>
      <c r="E8201">
        <v>0</v>
      </c>
      <c r="F8201">
        <v>0.75</v>
      </c>
      <c r="G8201">
        <v>14.402828931808401</v>
      </c>
      <c r="H8201">
        <v>0</v>
      </c>
      <c r="I8201">
        <v>0</v>
      </c>
      <c r="J8201">
        <v>30</v>
      </c>
    </row>
    <row r="8202" spans="1:10" x14ac:dyDescent="0.25">
      <c r="A8202" t="s">
        <v>27</v>
      </c>
      <c r="B8202" t="s">
        <v>21</v>
      </c>
      <c r="C8202" t="s">
        <v>12</v>
      </c>
      <c r="D8202" t="s">
        <v>16</v>
      </c>
      <c r="E8202">
        <v>0</v>
      </c>
      <c r="F8202">
        <v>0.75</v>
      </c>
      <c r="G8202">
        <v>14.473916769027699</v>
      </c>
      <c r="H8202">
        <v>0</v>
      </c>
      <c r="I8202">
        <v>0</v>
      </c>
      <c r="J8202">
        <v>30</v>
      </c>
    </row>
    <row r="8203" spans="1:10" x14ac:dyDescent="0.25">
      <c r="A8203" t="s">
        <v>27</v>
      </c>
      <c r="B8203" t="s">
        <v>21</v>
      </c>
      <c r="C8203" t="s">
        <v>12</v>
      </c>
      <c r="D8203" t="s">
        <v>16</v>
      </c>
      <c r="E8203">
        <v>0</v>
      </c>
      <c r="F8203">
        <v>0.75</v>
      </c>
      <c r="G8203">
        <v>14.5050168037414</v>
      </c>
      <c r="H8203">
        <v>0</v>
      </c>
      <c r="I8203">
        <v>0</v>
      </c>
      <c r="J8203">
        <v>30</v>
      </c>
    </row>
    <row r="8204" spans="1:10" x14ac:dyDescent="0.25">
      <c r="A8204" t="s">
        <v>27</v>
      </c>
      <c r="B8204" t="s">
        <v>21</v>
      </c>
      <c r="C8204" t="s">
        <v>12</v>
      </c>
      <c r="D8204" t="s">
        <v>16</v>
      </c>
      <c r="E8204">
        <v>0</v>
      </c>
      <c r="F8204">
        <v>0.75</v>
      </c>
      <c r="G8204">
        <v>14.539551019668499</v>
      </c>
      <c r="H8204">
        <v>0</v>
      </c>
      <c r="I8204">
        <v>0</v>
      </c>
      <c r="J8204">
        <v>30</v>
      </c>
    </row>
    <row r="8205" spans="1:10" x14ac:dyDescent="0.25">
      <c r="A8205" t="s">
        <v>27</v>
      </c>
      <c r="B8205" t="s">
        <v>21</v>
      </c>
      <c r="C8205" t="s">
        <v>12</v>
      </c>
      <c r="D8205" t="s">
        <v>16</v>
      </c>
      <c r="E8205">
        <v>0</v>
      </c>
      <c r="F8205">
        <v>0.75</v>
      </c>
      <c r="G8205">
        <v>14.626569032669</v>
      </c>
      <c r="H8205">
        <v>0</v>
      </c>
      <c r="I8205">
        <v>0</v>
      </c>
      <c r="J8205">
        <v>30</v>
      </c>
    </row>
    <row r="8206" spans="1:10" x14ac:dyDescent="0.25">
      <c r="A8206" t="s">
        <v>27</v>
      </c>
      <c r="B8206" t="s">
        <v>21</v>
      </c>
      <c r="C8206" t="s">
        <v>12</v>
      </c>
      <c r="D8206" t="s">
        <v>16</v>
      </c>
      <c r="E8206">
        <v>0</v>
      </c>
      <c r="F8206">
        <v>0.75</v>
      </c>
      <c r="G8206">
        <v>14.698700428008999</v>
      </c>
      <c r="H8206">
        <v>0</v>
      </c>
      <c r="I8206">
        <v>0</v>
      </c>
      <c r="J8206">
        <v>30</v>
      </c>
    </row>
    <row r="8207" spans="1:10" x14ac:dyDescent="0.25">
      <c r="A8207" t="s">
        <v>27</v>
      </c>
      <c r="B8207" t="s">
        <v>21</v>
      </c>
      <c r="C8207" t="s">
        <v>12</v>
      </c>
      <c r="D8207" t="s">
        <v>16</v>
      </c>
      <c r="E8207">
        <v>0</v>
      </c>
      <c r="F8207">
        <v>0.75</v>
      </c>
      <c r="G8207">
        <v>14.871971845626801</v>
      </c>
      <c r="H8207">
        <v>0</v>
      </c>
      <c r="I8207">
        <v>0</v>
      </c>
      <c r="J8207">
        <v>30</v>
      </c>
    </row>
    <row r="8208" spans="1:10" x14ac:dyDescent="0.25">
      <c r="A8208" t="s">
        <v>27</v>
      </c>
      <c r="B8208" t="s">
        <v>21</v>
      </c>
      <c r="C8208" t="s">
        <v>12</v>
      </c>
      <c r="D8208" t="s">
        <v>16</v>
      </c>
      <c r="E8208">
        <v>0</v>
      </c>
      <c r="F8208">
        <v>0.75</v>
      </c>
      <c r="G8208">
        <v>14.936110734939501</v>
      </c>
      <c r="H8208">
        <v>0</v>
      </c>
      <c r="I8208">
        <v>0</v>
      </c>
      <c r="J8208">
        <v>30</v>
      </c>
    </row>
    <row r="8209" spans="1:10" x14ac:dyDescent="0.25">
      <c r="A8209" t="s">
        <v>27</v>
      </c>
      <c r="B8209" t="s">
        <v>21</v>
      </c>
      <c r="C8209" t="s">
        <v>12</v>
      </c>
      <c r="D8209" t="s">
        <v>16</v>
      </c>
      <c r="E8209">
        <v>0</v>
      </c>
      <c r="F8209">
        <v>0.75</v>
      </c>
      <c r="G8209">
        <v>14.985081195831199</v>
      </c>
      <c r="H8209">
        <v>0</v>
      </c>
      <c r="I8209">
        <v>0</v>
      </c>
      <c r="J8209">
        <v>30</v>
      </c>
    </row>
    <row r="8210" spans="1:10" x14ac:dyDescent="0.25">
      <c r="A8210" t="s">
        <v>27</v>
      </c>
      <c r="B8210" t="s">
        <v>21</v>
      </c>
      <c r="C8210" t="s">
        <v>12</v>
      </c>
      <c r="D8210" t="s">
        <v>16</v>
      </c>
      <c r="E8210">
        <v>0</v>
      </c>
      <c r="F8210">
        <v>0.75</v>
      </c>
      <c r="G8210">
        <v>14.989086151123001</v>
      </c>
      <c r="H8210">
        <v>0</v>
      </c>
      <c r="I8210">
        <v>0</v>
      </c>
      <c r="J8210">
        <v>30</v>
      </c>
    </row>
    <row r="8211" spans="1:10" x14ac:dyDescent="0.25">
      <c r="A8211" t="s">
        <v>27</v>
      </c>
      <c r="B8211" t="s">
        <v>21</v>
      </c>
      <c r="C8211" t="s">
        <v>12</v>
      </c>
      <c r="D8211" t="s">
        <v>16</v>
      </c>
      <c r="E8211">
        <v>0</v>
      </c>
      <c r="F8211">
        <v>0.75</v>
      </c>
      <c r="G8211">
        <v>14.962128639221101</v>
      </c>
      <c r="H8211">
        <v>0</v>
      </c>
      <c r="I8211">
        <v>0</v>
      </c>
      <c r="J8211">
        <v>30</v>
      </c>
    </row>
    <row r="8212" spans="1:10" x14ac:dyDescent="0.25">
      <c r="A8212" t="s">
        <v>27</v>
      </c>
      <c r="B8212" t="s">
        <v>21</v>
      </c>
      <c r="C8212" t="s">
        <v>12</v>
      </c>
      <c r="D8212" t="s">
        <v>16</v>
      </c>
      <c r="E8212">
        <v>0</v>
      </c>
      <c r="F8212">
        <v>0.75</v>
      </c>
      <c r="G8212">
        <v>15.037961721420199</v>
      </c>
      <c r="H8212">
        <v>0</v>
      </c>
      <c r="I8212">
        <v>0</v>
      </c>
      <c r="J8212">
        <v>30</v>
      </c>
    </row>
    <row r="8213" spans="1:10" x14ac:dyDescent="0.25">
      <c r="A8213" t="s">
        <v>27</v>
      </c>
      <c r="B8213" t="s">
        <v>21</v>
      </c>
      <c r="C8213" t="s">
        <v>12</v>
      </c>
      <c r="D8213" t="s">
        <v>16</v>
      </c>
      <c r="E8213">
        <v>0</v>
      </c>
      <c r="F8213">
        <v>0.75</v>
      </c>
      <c r="G8213">
        <v>15.0414621829986</v>
      </c>
      <c r="H8213">
        <v>0</v>
      </c>
      <c r="I8213">
        <v>0</v>
      </c>
      <c r="J8213">
        <v>30</v>
      </c>
    </row>
    <row r="8214" spans="1:10" x14ac:dyDescent="0.25">
      <c r="A8214" t="s">
        <v>27</v>
      </c>
      <c r="B8214" t="s">
        <v>21</v>
      </c>
      <c r="C8214" t="s">
        <v>12</v>
      </c>
      <c r="D8214" t="s">
        <v>16</v>
      </c>
      <c r="E8214">
        <v>0</v>
      </c>
      <c r="F8214">
        <v>0.75</v>
      </c>
      <c r="G8214">
        <v>15.101611852645799</v>
      </c>
      <c r="H8214">
        <v>0</v>
      </c>
      <c r="I8214">
        <v>0</v>
      </c>
      <c r="J8214">
        <v>30</v>
      </c>
    </row>
    <row r="8215" spans="1:10" x14ac:dyDescent="0.25">
      <c r="A8215" t="s">
        <v>27</v>
      </c>
      <c r="B8215" t="s">
        <v>21</v>
      </c>
      <c r="C8215" t="s">
        <v>12</v>
      </c>
      <c r="D8215" t="s">
        <v>16</v>
      </c>
      <c r="E8215">
        <v>0</v>
      </c>
      <c r="F8215">
        <v>0.75</v>
      </c>
      <c r="G8215">
        <v>15.1245687007904</v>
      </c>
      <c r="H8215">
        <v>0</v>
      </c>
      <c r="I8215">
        <v>0</v>
      </c>
      <c r="J8215">
        <v>30</v>
      </c>
    </row>
    <row r="8216" spans="1:10" x14ac:dyDescent="0.25">
      <c r="A8216" t="s">
        <v>27</v>
      </c>
      <c r="B8216" t="s">
        <v>21</v>
      </c>
      <c r="C8216" t="s">
        <v>12</v>
      </c>
      <c r="D8216" t="s">
        <v>16</v>
      </c>
      <c r="E8216">
        <v>0</v>
      </c>
      <c r="F8216">
        <v>0.75</v>
      </c>
      <c r="G8216">
        <v>15.1445939540863</v>
      </c>
      <c r="H8216">
        <v>0</v>
      </c>
      <c r="I8216">
        <v>0</v>
      </c>
      <c r="J8216">
        <v>30</v>
      </c>
    </row>
    <row r="8217" spans="1:10" x14ac:dyDescent="0.25">
      <c r="A8217" t="s">
        <v>27</v>
      </c>
      <c r="B8217" t="s">
        <v>21</v>
      </c>
      <c r="C8217" t="s">
        <v>12</v>
      </c>
      <c r="D8217" t="s">
        <v>16</v>
      </c>
      <c r="E8217">
        <v>0</v>
      </c>
      <c r="F8217">
        <v>0.75</v>
      </c>
      <c r="G8217">
        <v>15.125569820403999</v>
      </c>
      <c r="H8217">
        <v>0</v>
      </c>
      <c r="I8217">
        <v>0</v>
      </c>
      <c r="J8217">
        <v>30</v>
      </c>
    </row>
    <row r="8218" spans="1:10" x14ac:dyDescent="0.25">
      <c r="A8218" t="s">
        <v>27</v>
      </c>
      <c r="B8218" t="s">
        <v>21</v>
      </c>
      <c r="C8218" t="s">
        <v>12</v>
      </c>
      <c r="D8218" t="s">
        <v>16</v>
      </c>
      <c r="E8218">
        <v>0</v>
      </c>
      <c r="F8218">
        <v>0.75</v>
      </c>
      <c r="G8218">
        <v>15.1643435955047</v>
      </c>
      <c r="H8218">
        <v>0</v>
      </c>
      <c r="I8218">
        <v>0</v>
      </c>
      <c r="J8218">
        <v>30</v>
      </c>
    </row>
    <row r="8219" spans="1:10" x14ac:dyDescent="0.25">
      <c r="A8219" t="s">
        <v>27</v>
      </c>
      <c r="B8219" t="s">
        <v>21</v>
      </c>
      <c r="C8219" t="s">
        <v>12</v>
      </c>
      <c r="D8219" t="s">
        <v>16</v>
      </c>
      <c r="E8219">
        <v>0</v>
      </c>
      <c r="F8219">
        <v>0.75</v>
      </c>
      <c r="G8219">
        <v>15.191802263259801</v>
      </c>
      <c r="H8219">
        <v>0</v>
      </c>
      <c r="I8219">
        <v>0</v>
      </c>
      <c r="J8219">
        <v>30</v>
      </c>
    </row>
    <row r="8220" spans="1:10" x14ac:dyDescent="0.25">
      <c r="A8220" t="s">
        <v>27</v>
      </c>
      <c r="B8220" t="s">
        <v>21</v>
      </c>
      <c r="C8220" t="s">
        <v>12</v>
      </c>
      <c r="D8220" t="s">
        <v>16</v>
      </c>
      <c r="E8220">
        <v>0</v>
      </c>
      <c r="F8220">
        <v>0.75</v>
      </c>
      <c r="G8220">
        <v>15.254834651947</v>
      </c>
      <c r="H8220">
        <v>0</v>
      </c>
      <c r="I8220">
        <v>0</v>
      </c>
      <c r="J8220">
        <v>30</v>
      </c>
    </row>
    <row r="8221" spans="1:10" x14ac:dyDescent="0.25">
      <c r="A8221" t="s">
        <v>27</v>
      </c>
      <c r="B8221" t="s">
        <v>21</v>
      </c>
      <c r="C8221" t="s">
        <v>12</v>
      </c>
      <c r="D8221" t="s">
        <v>16</v>
      </c>
      <c r="E8221">
        <v>0</v>
      </c>
      <c r="F8221">
        <v>0.75</v>
      </c>
      <c r="G8221">
        <v>15.3209590911865</v>
      </c>
      <c r="H8221">
        <v>0</v>
      </c>
      <c r="I8221">
        <v>0</v>
      </c>
      <c r="J8221">
        <v>30</v>
      </c>
    </row>
    <row r="8222" spans="1:10" x14ac:dyDescent="0.25">
      <c r="A8222" t="s">
        <v>27</v>
      </c>
      <c r="B8222" t="s">
        <v>21</v>
      </c>
      <c r="C8222" t="s">
        <v>12</v>
      </c>
      <c r="D8222" t="s">
        <v>17</v>
      </c>
      <c r="E8222">
        <v>0.20712449504223199</v>
      </c>
      <c r="F8222">
        <v>0.79357208291972103</v>
      </c>
      <c r="G8222">
        <v>5166.4177179336502</v>
      </c>
      <c r="H8222">
        <v>395</v>
      </c>
      <c r="I8222">
        <v>402</v>
      </c>
      <c r="J8222">
        <v>30</v>
      </c>
    </row>
    <row r="8223" spans="1:10" x14ac:dyDescent="0.25">
      <c r="A8223" t="s">
        <v>27</v>
      </c>
      <c r="B8223" t="s">
        <v>21</v>
      </c>
      <c r="C8223" t="s">
        <v>12</v>
      </c>
      <c r="D8223" t="s">
        <v>17</v>
      </c>
      <c r="E8223">
        <v>0.22218141755416801</v>
      </c>
      <c r="F8223">
        <v>0.799404027997209</v>
      </c>
      <c r="G8223">
        <v>6059.0777664184498</v>
      </c>
      <c r="H8223">
        <v>428</v>
      </c>
      <c r="I8223">
        <v>479</v>
      </c>
      <c r="J8223">
        <v>30</v>
      </c>
    </row>
    <row r="8224" spans="1:10" x14ac:dyDescent="0.25">
      <c r="A8224" t="s">
        <v>27</v>
      </c>
      <c r="B8224" t="s">
        <v>21</v>
      </c>
      <c r="C8224" t="s">
        <v>12</v>
      </c>
      <c r="D8224" t="s">
        <v>17</v>
      </c>
      <c r="E8224">
        <v>0.28865222181417499</v>
      </c>
      <c r="F8224">
        <v>0.81217039284113102</v>
      </c>
      <c r="G8224">
        <v>7449.2898380756296</v>
      </c>
      <c r="H8224">
        <v>567</v>
      </c>
      <c r="I8224">
        <v>592</v>
      </c>
      <c r="J8224">
        <v>30</v>
      </c>
    </row>
    <row r="8225" spans="1:10" x14ac:dyDescent="0.25">
      <c r="A8225" t="s">
        <v>27</v>
      </c>
      <c r="B8225" t="s">
        <v>21</v>
      </c>
      <c r="C8225" t="s">
        <v>12</v>
      </c>
      <c r="D8225" t="s">
        <v>17</v>
      </c>
      <c r="E8225">
        <v>0.27543150936467098</v>
      </c>
      <c r="F8225">
        <v>0.81015202443026102</v>
      </c>
      <c r="G8225">
        <v>7627.7832524776404</v>
      </c>
      <c r="H8225">
        <v>585</v>
      </c>
      <c r="I8225">
        <v>649</v>
      </c>
      <c r="J8225">
        <v>30</v>
      </c>
    </row>
    <row r="8226" spans="1:10" x14ac:dyDescent="0.25">
      <c r="A8226" t="s">
        <v>27</v>
      </c>
      <c r="B8226" t="s">
        <v>21</v>
      </c>
      <c r="C8226" t="s">
        <v>12</v>
      </c>
      <c r="D8226" t="s">
        <v>17</v>
      </c>
      <c r="E8226">
        <v>0.18398824825560001</v>
      </c>
      <c r="F8226">
        <v>0.78930739736312905</v>
      </c>
      <c r="G8226">
        <v>8312.1962819099408</v>
      </c>
      <c r="H8226">
        <v>408</v>
      </c>
      <c r="I8226">
        <v>431</v>
      </c>
      <c r="J8226">
        <v>30</v>
      </c>
    </row>
    <row r="8227" spans="1:10" x14ac:dyDescent="0.25">
      <c r="A8227" t="s">
        <v>27</v>
      </c>
      <c r="B8227" t="s">
        <v>21</v>
      </c>
      <c r="C8227" t="s">
        <v>12</v>
      </c>
      <c r="D8227" t="s">
        <v>17</v>
      </c>
      <c r="E8227">
        <v>0.20161586485493899</v>
      </c>
      <c r="F8227">
        <v>0.79415868597719497</v>
      </c>
      <c r="G8227">
        <v>8905.8006412982904</v>
      </c>
      <c r="H8227">
        <v>422</v>
      </c>
      <c r="I8227">
        <v>498</v>
      </c>
      <c r="J8227">
        <v>30</v>
      </c>
    </row>
    <row r="8228" spans="1:10" x14ac:dyDescent="0.25">
      <c r="A8228" t="s">
        <v>27</v>
      </c>
      <c r="B8228" t="s">
        <v>21</v>
      </c>
      <c r="C8228" t="s">
        <v>12</v>
      </c>
      <c r="D8228" t="s">
        <v>17</v>
      </c>
      <c r="E8228">
        <v>0.344105765699596</v>
      </c>
      <c r="F8228">
        <v>0.82215387011567997</v>
      </c>
      <c r="G8228">
        <v>8959.7793471813202</v>
      </c>
      <c r="H8228">
        <v>719</v>
      </c>
      <c r="I8228">
        <v>739</v>
      </c>
      <c r="J8228">
        <v>30</v>
      </c>
    </row>
    <row r="8229" spans="1:10" x14ac:dyDescent="0.25">
      <c r="A8229" t="s">
        <v>27</v>
      </c>
      <c r="B8229" t="s">
        <v>21</v>
      </c>
      <c r="C8229" t="s">
        <v>12</v>
      </c>
      <c r="D8229" t="s">
        <v>17</v>
      </c>
      <c r="E8229">
        <v>0.279103929489533</v>
      </c>
      <c r="F8229">
        <v>0.81036344124083703</v>
      </c>
      <c r="G8229">
        <v>9332.97368025779</v>
      </c>
      <c r="H8229">
        <v>579</v>
      </c>
      <c r="I8229">
        <v>653</v>
      </c>
      <c r="J8229">
        <v>30</v>
      </c>
    </row>
    <row r="8230" spans="1:10" x14ac:dyDescent="0.25">
      <c r="A8230" t="s">
        <v>27</v>
      </c>
      <c r="B8230" t="s">
        <v>21</v>
      </c>
      <c r="C8230" t="s">
        <v>12</v>
      </c>
      <c r="D8230" t="s">
        <v>17</v>
      </c>
      <c r="E8230">
        <v>0.182519280205655</v>
      </c>
      <c r="F8230">
        <v>0.78550348032813</v>
      </c>
      <c r="G8230">
        <v>9884.2792143821698</v>
      </c>
      <c r="H8230">
        <v>395</v>
      </c>
      <c r="I8230">
        <v>444</v>
      </c>
      <c r="J8230">
        <v>30</v>
      </c>
    </row>
    <row r="8231" spans="1:10" x14ac:dyDescent="0.25">
      <c r="A8231" t="s">
        <v>27</v>
      </c>
      <c r="B8231" t="s">
        <v>21</v>
      </c>
      <c r="C8231" t="s">
        <v>12</v>
      </c>
      <c r="D8231" t="s">
        <v>17</v>
      </c>
      <c r="E8231">
        <v>0.236871098053617</v>
      </c>
      <c r="F8231">
        <v>0.79965544958266599</v>
      </c>
      <c r="G8231">
        <v>10440.4488828182</v>
      </c>
      <c r="H8231">
        <v>497</v>
      </c>
      <c r="I8231">
        <v>565</v>
      </c>
      <c r="J8231">
        <v>30</v>
      </c>
    </row>
    <row r="8232" spans="1:10" x14ac:dyDescent="0.25">
      <c r="A8232" t="s">
        <v>27</v>
      </c>
      <c r="B8232" t="s">
        <v>21</v>
      </c>
      <c r="C8232" t="s">
        <v>12</v>
      </c>
      <c r="D8232" t="s">
        <v>17</v>
      </c>
      <c r="E8232">
        <v>0.247888358428204</v>
      </c>
      <c r="F8232">
        <v>0.80223545709607003</v>
      </c>
      <c r="G8232">
        <v>11083.763898611</v>
      </c>
      <c r="H8232">
        <v>601</v>
      </c>
      <c r="I8232">
        <v>640</v>
      </c>
      <c r="J8232">
        <v>30</v>
      </c>
    </row>
    <row r="8233" spans="1:10" x14ac:dyDescent="0.25">
      <c r="A8233" t="s">
        <v>27</v>
      </c>
      <c r="B8233" t="s">
        <v>21</v>
      </c>
      <c r="C8233" t="s">
        <v>12</v>
      </c>
      <c r="D8233" t="s">
        <v>17</v>
      </c>
      <c r="E8233">
        <v>0.300036724201248</v>
      </c>
      <c r="F8233">
        <v>0.81404838312298899</v>
      </c>
      <c r="G8233">
        <v>11237.104465723</v>
      </c>
      <c r="H8233">
        <v>671</v>
      </c>
      <c r="I8233">
        <v>766</v>
      </c>
      <c r="J8233">
        <v>30</v>
      </c>
    </row>
    <row r="8234" spans="1:10" x14ac:dyDescent="0.25">
      <c r="A8234" t="s">
        <v>27</v>
      </c>
      <c r="B8234" t="s">
        <v>21</v>
      </c>
      <c r="C8234" t="s">
        <v>12</v>
      </c>
      <c r="D8234" t="s">
        <v>17</v>
      </c>
      <c r="E8234">
        <v>0.35879544619904502</v>
      </c>
      <c r="F8234">
        <v>0.82803225003301395</v>
      </c>
      <c r="G8234">
        <v>11684.3168621063</v>
      </c>
      <c r="H8234">
        <v>765</v>
      </c>
      <c r="I8234">
        <v>886</v>
      </c>
      <c r="J8234">
        <v>30</v>
      </c>
    </row>
    <row r="8235" spans="1:10" x14ac:dyDescent="0.25">
      <c r="A8235" t="s">
        <v>27</v>
      </c>
      <c r="B8235" t="s">
        <v>21</v>
      </c>
      <c r="C8235" t="s">
        <v>12</v>
      </c>
      <c r="D8235" t="s">
        <v>17</v>
      </c>
      <c r="E8235">
        <v>0.289753947851634</v>
      </c>
      <c r="F8235">
        <v>0.81200088483055399</v>
      </c>
      <c r="G8235">
        <v>12019.203301429699</v>
      </c>
      <c r="H8235">
        <v>643</v>
      </c>
      <c r="I8235">
        <v>711</v>
      </c>
      <c r="J8235">
        <v>30</v>
      </c>
    </row>
    <row r="8236" spans="1:10" x14ac:dyDescent="0.25">
      <c r="A8236" t="s">
        <v>27</v>
      </c>
      <c r="B8236" t="s">
        <v>21</v>
      </c>
      <c r="C8236" t="s">
        <v>12</v>
      </c>
      <c r="D8236" t="s">
        <v>17</v>
      </c>
      <c r="E8236">
        <v>0.23283143591626801</v>
      </c>
      <c r="F8236">
        <v>0.79874109520113701</v>
      </c>
      <c r="G8236">
        <v>12020.628342628401</v>
      </c>
      <c r="H8236">
        <v>544</v>
      </c>
      <c r="I8236">
        <v>566</v>
      </c>
      <c r="J8236">
        <v>30</v>
      </c>
    </row>
    <row r="8237" spans="1:10" x14ac:dyDescent="0.25">
      <c r="A8237" t="s">
        <v>27</v>
      </c>
      <c r="B8237" t="s">
        <v>21</v>
      </c>
      <c r="C8237" t="s">
        <v>12</v>
      </c>
      <c r="D8237" t="s">
        <v>17</v>
      </c>
      <c r="E8237">
        <v>0.33529195739992601</v>
      </c>
      <c r="F8237">
        <v>0.82358820799059695</v>
      </c>
      <c r="G8237">
        <v>12206.9552297592</v>
      </c>
      <c r="H8237">
        <v>736</v>
      </c>
      <c r="I8237">
        <v>787</v>
      </c>
      <c r="J8237">
        <v>30</v>
      </c>
    </row>
    <row r="8238" spans="1:10" x14ac:dyDescent="0.25">
      <c r="A8238" t="s">
        <v>27</v>
      </c>
      <c r="B8238" t="s">
        <v>21</v>
      </c>
      <c r="C8238" t="s">
        <v>12</v>
      </c>
      <c r="D8238" t="s">
        <v>17</v>
      </c>
      <c r="E8238">
        <v>0.35291957399926499</v>
      </c>
      <c r="F8238">
        <v>0.82181369390521497</v>
      </c>
      <c r="G8238">
        <v>12231.8148787021</v>
      </c>
      <c r="H8238">
        <v>770</v>
      </c>
      <c r="I8238">
        <v>795</v>
      </c>
      <c r="J8238">
        <v>30</v>
      </c>
    </row>
    <row r="8239" spans="1:10" x14ac:dyDescent="0.25">
      <c r="A8239" t="s">
        <v>27</v>
      </c>
      <c r="B8239" t="s">
        <v>21</v>
      </c>
      <c r="C8239" t="s">
        <v>12</v>
      </c>
      <c r="D8239" t="s">
        <v>17</v>
      </c>
      <c r="E8239">
        <v>0.40653690782225399</v>
      </c>
      <c r="F8239">
        <v>0.83671322384314994</v>
      </c>
      <c r="G8239">
        <v>12662.2713840007</v>
      </c>
      <c r="H8239">
        <v>913</v>
      </c>
      <c r="I8239">
        <v>1038</v>
      </c>
      <c r="J8239">
        <v>30</v>
      </c>
    </row>
    <row r="8240" spans="1:10" x14ac:dyDescent="0.25">
      <c r="A8240" t="s">
        <v>27</v>
      </c>
      <c r="B8240" t="s">
        <v>21</v>
      </c>
      <c r="C8240" t="s">
        <v>12</v>
      </c>
      <c r="D8240" t="s">
        <v>17</v>
      </c>
      <c r="E8240">
        <v>0.31729709878810097</v>
      </c>
      <c r="F8240">
        <v>0.81581415695306603</v>
      </c>
      <c r="G8240">
        <v>13024.0826380252</v>
      </c>
      <c r="H8240">
        <v>771</v>
      </c>
      <c r="I8240">
        <v>810</v>
      </c>
      <c r="J8240">
        <v>30</v>
      </c>
    </row>
    <row r="8241" spans="1:10" x14ac:dyDescent="0.25">
      <c r="A8241" t="s">
        <v>27</v>
      </c>
      <c r="B8241" t="s">
        <v>21</v>
      </c>
      <c r="C8241" t="s">
        <v>12</v>
      </c>
      <c r="D8241" t="s">
        <v>17</v>
      </c>
      <c r="E8241">
        <v>0.36356959236136599</v>
      </c>
      <c r="F8241">
        <v>0.82389468815824396</v>
      </c>
      <c r="G8241">
        <v>13098.1102764606</v>
      </c>
      <c r="H8241">
        <v>883</v>
      </c>
      <c r="I8241">
        <v>1008</v>
      </c>
      <c r="J8241">
        <v>30</v>
      </c>
    </row>
    <row r="8242" spans="1:10" x14ac:dyDescent="0.25">
      <c r="A8242" t="s">
        <v>27</v>
      </c>
      <c r="B8242" t="s">
        <v>21</v>
      </c>
      <c r="C8242" t="s">
        <v>12</v>
      </c>
      <c r="D8242" t="s">
        <v>17</v>
      </c>
      <c r="E8242">
        <v>0.32647814910025702</v>
      </c>
      <c r="F8242">
        <v>0.81888498505842799</v>
      </c>
      <c r="G8242">
        <v>13577.1968653202</v>
      </c>
      <c r="H8242">
        <v>782</v>
      </c>
      <c r="I8242">
        <v>861</v>
      </c>
      <c r="J8242">
        <v>30</v>
      </c>
    </row>
    <row r="8243" spans="1:10" x14ac:dyDescent="0.25">
      <c r="A8243" t="s">
        <v>27</v>
      </c>
      <c r="B8243" t="s">
        <v>21</v>
      </c>
      <c r="C8243" t="s">
        <v>12</v>
      </c>
      <c r="D8243" t="s">
        <v>17</v>
      </c>
      <c r="E8243">
        <v>0.37201615864854898</v>
      </c>
      <c r="F8243">
        <v>0.82822157830892296</v>
      </c>
      <c r="G8243">
        <v>13705.4695420265</v>
      </c>
      <c r="H8243">
        <v>863</v>
      </c>
      <c r="I8243">
        <v>982</v>
      </c>
      <c r="J8243">
        <v>30</v>
      </c>
    </row>
    <row r="8244" spans="1:10" x14ac:dyDescent="0.25">
      <c r="A8244" t="s">
        <v>27</v>
      </c>
      <c r="B8244" t="s">
        <v>21</v>
      </c>
      <c r="C8244" t="s">
        <v>12</v>
      </c>
      <c r="D8244" t="s">
        <v>17</v>
      </c>
      <c r="E8244">
        <v>0.33859713551230203</v>
      </c>
      <c r="F8244">
        <v>0.81956345627333804</v>
      </c>
      <c r="G8244">
        <v>13901.032046079599</v>
      </c>
      <c r="H8244">
        <v>827</v>
      </c>
      <c r="I8244">
        <v>902</v>
      </c>
      <c r="J8244">
        <v>30</v>
      </c>
    </row>
    <row r="8245" spans="1:10" x14ac:dyDescent="0.25">
      <c r="A8245" t="s">
        <v>27</v>
      </c>
      <c r="B8245" t="s">
        <v>21</v>
      </c>
      <c r="C8245" t="s">
        <v>12</v>
      </c>
      <c r="D8245" t="s">
        <v>17</v>
      </c>
      <c r="E8245">
        <v>0.364671318398824</v>
      </c>
      <c r="F8245">
        <v>0.824264340270766</v>
      </c>
      <c r="G8245">
        <v>14291.601491212799</v>
      </c>
      <c r="H8245">
        <v>896</v>
      </c>
      <c r="I8245">
        <v>1040</v>
      </c>
      <c r="J8245">
        <v>30</v>
      </c>
    </row>
    <row r="8246" spans="1:10" x14ac:dyDescent="0.25">
      <c r="A8246" t="s">
        <v>27</v>
      </c>
      <c r="B8246" t="s">
        <v>21</v>
      </c>
      <c r="C8246" t="s">
        <v>12</v>
      </c>
      <c r="D8246" t="s">
        <v>17</v>
      </c>
      <c r="E8246">
        <v>0.35695923613661401</v>
      </c>
      <c r="F8246">
        <v>0.81606346248134298</v>
      </c>
      <c r="G8246">
        <v>14412.549577236099</v>
      </c>
      <c r="H8246">
        <v>902</v>
      </c>
      <c r="I8246">
        <v>1008</v>
      </c>
      <c r="J8246">
        <v>30</v>
      </c>
    </row>
    <row r="8247" spans="1:10" x14ac:dyDescent="0.25">
      <c r="A8247" t="s">
        <v>27</v>
      </c>
      <c r="B8247" t="s">
        <v>21</v>
      </c>
      <c r="C8247" t="s">
        <v>12</v>
      </c>
      <c r="D8247" t="s">
        <v>17</v>
      </c>
      <c r="E8247">
        <v>0.34520749173705401</v>
      </c>
      <c r="F8247">
        <v>0.819763998411421</v>
      </c>
      <c r="G8247">
        <v>14597.884204149201</v>
      </c>
      <c r="H8247">
        <v>870</v>
      </c>
      <c r="I8247">
        <v>996</v>
      </c>
      <c r="J8247">
        <v>30</v>
      </c>
    </row>
    <row r="8248" spans="1:10" x14ac:dyDescent="0.25">
      <c r="A8248" t="s">
        <v>27</v>
      </c>
      <c r="B8248" t="s">
        <v>21</v>
      </c>
      <c r="C8248" t="s">
        <v>12</v>
      </c>
      <c r="D8248" t="s">
        <v>17</v>
      </c>
      <c r="E8248">
        <v>0.42820418655894199</v>
      </c>
      <c r="F8248">
        <v>0.82950928441270599</v>
      </c>
      <c r="G8248">
        <v>14900.687009572899</v>
      </c>
      <c r="H8248">
        <v>1060</v>
      </c>
      <c r="I8248">
        <v>1251</v>
      </c>
      <c r="J8248">
        <v>30</v>
      </c>
    </row>
    <row r="8249" spans="1:10" x14ac:dyDescent="0.25">
      <c r="A8249" t="s">
        <v>27</v>
      </c>
      <c r="B8249" t="s">
        <v>21</v>
      </c>
      <c r="C8249" t="s">
        <v>12</v>
      </c>
      <c r="D8249" t="s">
        <v>17</v>
      </c>
      <c r="E8249">
        <v>0.42196107234667601</v>
      </c>
      <c r="F8249">
        <v>0.83041716236867302</v>
      </c>
      <c r="G8249">
        <v>15099.0967373847</v>
      </c>
      <c r="H8249">
        <v>1195</v>
      </c>
      <c r="I8249">
        <v>1346</v>
      </c>
      <c r="J8249">
        <v>30</v>
      </c>
    </row>
    <row r="8250" spans="1:10" x14ac:dyDescent="0.25">
      <c r="A8250" t="s">
        <v>27</v>
      </c>
      <c r="B8250" t="s">
        <v>21</v>
      </c>
      <c r="C8250" t="s">
        <v>12</v>
      </c>
      <c r="D8250" t="s">
        <v>17</v>
      </c>
      <c r="E8250">
        <v>0.46345941975762001</v>
      </c>
      <c r="F8250">
        <v>0.83157355920260601</v>
      </c>
      <c r="G8250">
        <v>15185.2581169605</v>
      </c>
      <c r="H8250">
        <v>1329</v>
      </c>
      <c r="I8250">
        <v>1595</v>
      </c>
      <c r="J8250">
        <v>30</v>
      </c>
    </row>
    <row r="8251" spans="1:10" x14ac:dyDescent="0.25">
      <c r="A8251" t="s">
        <v>27</v>
      </c>
      <c r="B8251" t="s">
        <v>21</v>
      </c>
      <c r="C8251" t="s">
        <v>12</v>
      </c>
      <c r="D8251" t="s">
        <v>17</v>
      </c>
      <c r="E8251">
        <v>0.43591626882115297</v>
      </c>
      <c r="F8251">
        <v>0.83046886811167797</v>
      </c>
      <c r="G8251">
        <v>15320.0269441604</v>
      </c>
      <c r="H8251">
        <v>1231</v>
      </c>
      <c r="I8251">
        <v>1486</v>
      </c>
      <c r="J8251">
        <v>30</v>
      </c>
    </row>
    <row r="8252" spans="1:10" x14ac:dyDescent="0.25">
      <c r="A8252" t="s">
        <v>27</v>
      </c>
      <c r="B8252" t="s">
        <v>21</v>
      </c>
      <c r="C8252" t="s">
        <v>18</v>
      </c>
      <c r="D8252" t="s">
        <v>13</v>
      </c>
      <c r="E8252">
        <v>0.90451707675357995</v>
      </c>
      <c r="F8252">
        <v>0.91649229690095202</v>
      </c>
      <c r="G8252">
        <v>852.20003938674904</v>
      </c>
      <c r="H8252">
        <v>46</v>
      </c>
      <c r="I8252">
        <v>64</v>
      </c>
      <c r="J8252">
        <v>30</v>
      </c>
    </row>
    <row r="8253" spans="1:10" x14ac:dyDescent="0.25">
      <c r="A8253" t="s">
        <v>27</v>
      </c>
      <c r="B8253" t="s">
        <v>21</v>
      </c>
      <c r="C8253" t="s">
        <v>18</v>
      </c>
      <c r="D8253" t="s">
        <v>13</v>
      </c>
      <c r="E8253">
        <v>0.90121189864120399</v>
      </c>
      <c r="F8253">
        <v>0.92254132590914595</v>
      </c>
      <c r="G8253">
        <v>871.67935562133698</v>
      </c>
      <c r="H8253">
        <v>44</v>
      </c>
      <c r="I8253">
        <v>71</v>
      </c>
      <c r="J8253">
        <v>30</v>
      </c>
    </row>
    <row r="8254" spans="1:10" x14ac:dyDescent="0.25">
      <c r="A8254" t="s">
        <v>27</v>
      </c>
      <c r="B8254" t="s">
        <v>21</v>
      </c>
      <c r="C8254" t="s">
        <v>18</v>
      </c>
      <c r="D8254" t="s">
        <v>13</v>
      </c>
      <c r="E8254">
        <v>0.90084465662871804</v>
      </c>
      <c r="F8254">
        <v>0.91604884022071498</v>
      </c>
      <c r="G8254">
        <v>893.801926612854</v>
      </c>
      <c r="H8254">
        <v>52</v>
      </c>
      <c r="I8254">
        <v>96</v>
      </c>
      <c r="J8254">
        <v>30</v>
      </c>
    </row>
    <row r="8255" spans="1:10" x14ac:dyDescent="0.25">
      <c r="A8255" t="s">
        <v>27</v>
      </c>
      <c r="B8255" t="s">
        <v>21</v>
      </c>
      <c r="C8255" t="s">
        <v>18</v>
      </c>
      <c r="D8255" t="s">
        <v>13</v>
      </c>
      <c r="E8255">
        <v>0.87770840984208598</v>
      </c>
      <c r="F8255">
        <v>0.91604807697425505</v>
      </c>
      <c r="G8255">
        <v>905.05243134498596</v>
      </c>
      <c r="H8255">
        <v>24</v>
      </c>
      <c r="I8255">
        <v>40</v>
      </c>
      <c r="J8255">
        <v>30</v>
      </c>
    </row>
    <row r="8256" spans="1:10" x14ac:dyDescent="0.25">
      <c r="A8256" t="s">
        <v>27</v>
      </c>
      <c r="B8256" t="s">
        <v>21</v>
      </c>
      <c r="C8256" t="s">
        <v>18</v>
      </c>
      <c r="D8256" t="s">
        <v>13</v>
      </c>
      <c r="E8256">
        <v>0.90488431876606601</v>
      </c>
      <c r="F8256">
        <v>0.91922618401905998</v>
      </c>
      <c r="G8256">
        <v>908.04591917991604</v>
      </c>
      <c r="H8256">
        <v>73</v>
      </c>
      <c r="I8256">
        <v>120</v>
      </c>
      <c r="J8256">
        <v>30</v>
      </c>
    </row>
    <row r="8257" spans="1:10" x14ac:dyDescent="0.25">
      <c r="A8257" t="s">
        <v>27</v>
      </c>
      <c r="B8257" t="s">
        <v>21</v>
      </c>
      <c r="C8257" t="s">
        <v>18</v>
      </c>
      <c r="D8257" t="s">
        <v>13</v>
      </c>
      <c r="E8257">
        <v>0.90782225486595602</v>
      </c>
      <c r="F8257">
        <v>0.92195800810029305</v>
      </c>
      <c r="G8257">
        <v>915.46699261665299</v>
      </c>
      <c r="H8257">
        <v>59</v>
      </c>
      <c r="I8257">
        <v>95</v>
      </c>
      <c r="J8257">
        <v>30</v>
      </c>
    </row>
    <row r="8258" spans="1:10" x14ac:dyDescent="0.25">
      <c r="A8258" t="s">
        <v>27</v>
      </c>
      <c r="B8258" t="s">
        <v>21</v>
      </c>
      <c r="C8258" t="s">
        <v>18</v>
      </c>
      <c r="D8258" t="s">
        <v>13</v>
      </c>
      <c r="E8258">
        <v>0.90121189864120399</v>
      </c>
      <c r="F8258">
        <v>0.91472702846048504</v>
      </c>
      <c r="G8258">
        <v>919.59887218475296</v>
      </c>
      <c r="H8258">
        <v>51</v>
      </c>
      <c r="I8258">
        <v>80</v>
      </c>
      <c r="J8258">
        <v>30</v>
      </c>
    </row>
    <row r="8259" spans="1:10" x14ac:dyDescent="0.25">
      <c r="A8259" t="s">
        <v>27</v>
      </c>
      <c r="B8259" t="s">
        <v>21</v>
      </c>
      <c r="C8259" t="s">
        <v>18</v>
      </c>
      <c r="D8259" t="s">
        <v>13</v>
      </c>
      <c r="E8259">
        <v>0.88248255600440695</v>
      </c>
      <c r="F8259">
        <v>0.92797985558053497</v>
      </c>
      <c r="G8259">
        <v>922.88951110839798</v>
      </c>
      <c r="H8259">
        <v>29</v>
      </c>
      <c r="I8259">
        <v>52</v>
      </c>
      <c r="J8259">
        <v>30</v>
      </c>
    </row>
    <row r="8260" spans="1:10" x14ac:dyDescent="0.25">
      <c r="A8260" t="s">
        <v>27</v>
      </c>
      <c r="B8260" t="s">
        <v>21</v>
      </c>
      <c r="C8260" t="s">
        <v>18</v>
      </c>
      <c r="D8260" t="s">
        <v>13</v>
      </c>
      <c r="E8260">
        <v>0.90231362467866305</v>
      </c>
      <c r="F8260">
        <v>0.91487997493220696</v>
      </c>
      <c r="G8260">
        <v>927.91133809089604</v>
      </c>
      <c r="H8260">
        <v>58</v>
      </c>
      <c r="I8260">
        <v>90</v>
      </c>
      <c r="J8260">
        <v>30</v>
      </c>
    </row>
    <row r="8261" spans="1:10" x14ac:dyDescent="0.25">
      <c r="A8261" t="s">
        <v>27</v>
      </c>
      <c r="B8261" t="s">
        <v>21</v>
      </c>
      <c r="C8261" t="s">
        <v>18</v>
      </c>
      <c r="D8261" t="s">
        <v>13</v>
      </c>
      <c r="E8261">
        <v>0.90855673889092903</v>
      </c>
      <c r="F8261">
        <v>0.921424651701506</v>
      </c>
      <c r="G8261">
        <v>928.57149362563996</v>
      </c>
      <c r="H8261">
        <v>63</v>
      </c>
      <c r="I8261">
        <v>97</v>
      </c>
      <c r="J8261">
        <v>30</v>
      </c>
    </row>
    <row r="8262" spans="1:10" x14ac:dyDescent="0.25">
      <c r="A8262" t="s">
        <v>27</v>
      </c>
      <c r="B8262" t="s">
        <v>21</v>
      </c>
      <c r="C8262" t="s">
        <v>18</v>
      </c>
      <c r="D8262" t="s">
        <v>13</v>
      </c>
      <c r="E8262">
        <v>0.86742563349247104</v>
      </c>
      <c r="F8262">
        <v>0.91052653353635404</v>
      </c>
      <c r="G8262">
        <v>929.05959177017201</v>
      </c>
      <c r="H8262">
        <v>33</v>
      </c>
      <c r="I8262">
        <v>54</v>
      </c>
      <c r="J8262">
        <v>30</v>
      </c>
    </row>
    <row r="8263" spans="1:10" x14ac:dyDescent="0.25">
      <c r="A8263" t="s">
        <v>27</v>
      </c>
      <c r="B8263" t="s">
        <v>21</v>
      </c>
      <c r="C8263" t="s">
        <v>18</v>
      </c>
      <c r="D8263" t="s">
        <v>13</v>
      </c>
      <c r="E8263">
        <v>0.90011017260374504</v>
      </c>
      <c r="F8263">
        <v>0.91420522098564005</v>
      </c>
      <c r="G8263">
        <v>942.26117968559197</v>
      </c>
      <c r="H8263">
        <v>81</v>
      </c>
      <c r="I8263">
        <v>137</v>
      </c>
      <c r="J8263">
        <v>30</v>
      </c>
    </row>
    <row r="8264" spans="1:10" x14ac:dyDescent="0.25">
      <c r="A8264" t="s">
        <v>27</v>
      </c>
      <c r="B8264" t="s">
        <v>21</v>
      </c>
      <c r="C8264" t="s">
        <v>18</v>
      </c>
      <c r="D8264" t="s">
        <v>13</v>
      </c>
      <c r="E8264">
        <v>0.90855673889092903</v>
      </c>
      <c r="F8264">
        <v>0.92146292581329203</v>
      </c>
      <c r="G8264">
        <v>944.29297542571999</v>
      </c>
      <c r="H8264">
        <v>71</v>
      </c>
      <c r="I8264">
        <v>115</v>
      </c>
      <c r="J8264">
        <v>30</v>
      </c>
    </row>
    <row r="8265" spans="1:10" x14ac:dyDescent="0.25">
      <c r="A8265" t="s">
        <v>27</v>
      </c>
      <c r="B8265" t="s">
        <v>21</v>
      </c>
      <c r="C8265" t="s">
        <v>18</v>
      </c>
      <c r="D8265" t="s">
        <v>13</v>
      </c>
      <c r="E8265">
        <v>0.89753947851634197</v>
      </c>
      <c r="F8265">
        <v>0.91003075867822403</v>
      </c>
      <c r="G8265">
        <v>951.00873064994801</v>
      </c>
      <c r="H8265">
        <v>56</v>
      </c>
      <c r="I8265">
        <v>83</v>
      </c>
      <c r="J8265">
        <v>30</v>
      </c>
    </row>
    <row r="8266" spans="1:10" x14ac:dyDescent="0.25">
      <c r="A8266" t="s">
        <v>27</v>
      </c>
      <c r="B8266" t="s">
        <v>21</v>
      </c>
      <c r="C8266" t="s">
        <v>18</v>
      </c>
      <c r="D8266" t="s">
        <v>13</v>
      </c>
      <c r="E8266">
        <v>0.88872567021667204</v>
      </c>
      <c r="F8266">
        <v>0.91442118893602797</v>
      </c>
      <c r="G8266">
        <v>952.96680521965004</v>
      </c>
      <c r="H8266">
        <v>32</v>
      </c>
      <c r="I8266">
        <v>50</v>
      </c>
      <c r="J8266">
        <v>30</v>
      </c>
    </row>
    <row r="8267" spans="1:10" x14ac:dyDescent="0.25">
      <c r="A8267" t="s">
        <v>27</v>
      </c>
      <c r="B8267" t="s">
        <v>21</v>
      </c>
      <c r="C8267" t="s">
        <v>18</v>
      </c>
      <c r="D8267" t="s">
        <v>13</v>
      </c>
      <c r="E8267">
        <v>0.86595666544252603</v>
      </c>
      <c r="F8267">
        <v>0.91429077187234498</v>
      </c>
      <c r="G8267">
        <v>959.28076767921402</v>
      </c>
      <c r="H8267">
        <v>28</v>
      </c>
      <c r="I8267">
        <v>43</v>
      </c>
      <c r="J8267">
        <v>30</v>
      </c>
    </row>
    <row r="8268" spans="1:10" x14ac:dyDescent="0.25">
      <c r="A8268" t="s">
        <v>27</v>
      </c>
      <c r="B8268" t="s">
        <v>21</v>
      </c>
      <c r="C8268" t="s">
        <v>18</v>
      </c>
      <c r="D8268" t="s">
        <v>13</v>
      </c>
      <c r="E8268">
        <v>0.89533602644142396</v>
      </c>
      <c r="F8268">
        <v>0.909310519533163</v>
      </c>
      <c r="G8268">
        <v>960.737775087356</v>
      </c>
      <c r="H8268">
        <v>67</v>
      </c>
      <c r="I8268">
        <v>111</v>
      </c>
      <c r="J8268">
        <v>30</v>
      </c>
    </row>
    <row r="8269" spans="1:10" x14ac:dyDescent="0.25">
      <c r="A8269" t="s">
        <v>27</v>
      </c>
      <c r="B8269" t="s">
        <v>21</v>
      </c>
      <c r="C8269" t="s">
        <v>18</v>
      </c>
      <c r="D8269" t="s">
        <v>13</v>
      </c>
      <c r="E8269">
        <v>0.89900844656628698</v>
      </c>
      <c r="F8269">
        <v>0.91650075947491705</v>
      </c>
      <c r="G8269">
        <v>970.50875163078297</v>
      </c>
      <c r="H8269">
        <v>55</v>
      </c>
      <c r="I8269">
        <v>93</v>
      </c>
      <c r="J8269">
        <v>30</v>
      </c>
    </row>
    <row r="8270" spans="1:10" x14ac:dyDescent="0.25">
      <c r="A8270" t="s">
        <v>27</v>
      </c>
      <c r="B8270" t="s">
        <v>21</v>
      </c>
      <c r="C8270" t="s">
        <v>18</v>
      </c>
      <c r="D8270" t="s">
        <v>13</v>
      </c>
      <c r="E8270">
        <v>0.89166360631656205</v>
      </c>
      <c r="F8270">
        <v>0.90645400534274401</v>
      </c>
      <c r="G8270">
        <v>973.17856335639897</v>
      </c>
      <c r="H8270">
        <v>39</v>
      </c>
      <c r="I8270">
        <v>59</v>
      </c>
      <c r="J8270">
        <v>30</v>
      </c>
    </row>
    <row r="8271" spans="1:10" x14ac:dyDescent="0.25">
      <c r="A8271" t="s">
        <v>27</v>
      </c>
      <c r="B8271" t="s">
        <v>21</v>
      </c>
      <c r="C8271" t="s">
        <v>18</v>
      </c>
      <c r="D8271" t="s">
        <v>13</v>
      </c>
      <c r="E8271">
        <v>0.89607051046639696</v>
      </c>
      <c r="F8271">
        <v>0.91114346233716503</v>
      </c>
      <c r="G8271">
        <v>978.12811541557301</v>
      </c>
      <c r="H8271">
        <v>38</v>
      </c>
      <c r="I8271">
        <v>55</v>
      </c>
      <c r="J8271">
        <v>30</v>
      </c>
    </row>
    <row r="8272" spans="1:10" x14ac:dyDescent="0.25">
      <c r="A8272" t="s">
        <v>27</v>
      </c>
      <c r="B8272" t="s">
        <v>21</v>
      </c>
      <c r="C8272" t="s">
        <v>18</v>
      </c>
      <c r="D8272" t="s">
        <v>13</v>
      </c>
      <c r="E8272">
        <v>0.92324641939037799</v>
      </c>
      <c r="F8272">
        <v>0.93126884630598605</v>
      </c>
      <c r="G8272">
        <v>977.32821941375698</v>
      </c>
      <c r="H8272">
        <v>78</v>
      </c>
      <c r="I8272">
        <v>127</v>
      </c>
      <c r="J8272">
        <v>30</v>
      </c>
    </row>
    <row r="8273" spans="1:10" x14ac:dyDescent="0.25">
      <c r="A8273" t="s">
        <v>27</v>
      </c>
      <c r="B8273" t="s">
        <v>21</v>
      </c>
      <c r="C8273" t="s">
        <v>18</v>
      </c>
      <c r="D8273" t="s">
        <v>13</v>
      </c>
      <c r="E8273">
        <v>0.90672052882849796</v>
      </c>
      <c r="F8273">
        <v>0.91809706618516196</v>
      </c>
      <c r="G8273">
        <v>978.02896332740704</v>
      </c>
      <c r="H8273">
        <v>22</v>
      </c>
      <c r="I8273">
        <v>32</v>
      </c>
      <c r="J8273">
        <v>30</v>
      </c>
    </row>
    <row r="8274" spans="1:10" x14ac:dyDescent="0.25">
      <c r="A8274" t="s">
        <v>27</v>
      </c>
      <c r="B8274" t="s">
        <v>21</v>
      </c>
      <c r="C8274" t="s">
        <v>18</v>
      </c>
      <c r="D8274" t="s">
        <v>13</v>
      </c>
      <c r="E8274">
        <v>0.881380829966948</v>
      </c>
      <c r="F8274">
        <v>0.91276622258567897</v>
      </c>
      <c r="G8274">
        <v>980.18051242828301</v>
      </c>
      <c r="H8274">
        <v>31</v>
      </c>
      <c r="I8274">
        <v>55</v>
      </c>
      <c r="J8274">
        <v>30</v>
      </c>
    </row>
    <row r="8275" spans="1:10" x14ac:dyDescent="0.25">
      <c r="A8275" t="s">
        <v>27</v>
      </c>
      <c r="B8275" t="s">
        <v>21</v>
      </c>
      <c r="C8275" t="s">
        <v>18</v>
      </c>
      <c r="D8275" t="s">
        <v>13</v>
      </c>
      <c r="E8275">
        <v>0.892765332354021</v>
      </c>
      <c r="F8275">
        <v>0.90837569188115896</v>
      </c>
      <c r="G8275">
        <v>980.73067688941899</v>
      </c>
      <c r="H8275">
        <v>52</v>
      </c>
      <c r="I8275">
        <v>86</v>
      </c>
      <c r="J8275">
        <v>30</v>
      </c>
    </row>
    <row r="8276" spans="1:10" x14ac:dyDescent="0.25">
      <c r="A8276" t="s">
        <v>27</v>
      </c>
      <c r="B8276" t="s">
        <v>21</v>
      </c>
      <c r="C8276" t="s">
        <v>18</v>
      </c>
      <c r="D8276" t="s">
        <v>13</v>
      </c>
      <c r="E8276">
        <v>0.90818949687844197</v>
      </c>
      <c r="F8276">
        <v>0.91913228187803997</v>
      </c>
      <c r="G8276">
        <v>984.40384340286198</v>
      </c>
      <c r="H8276">
        <v>59</v>
      </c>
      <c r="I8276">
        <v>94</v>
      </c>
      <c r="J8276">
        <v>30</v>
      </c>
    </row>
    <row r="8277" spans="1:10" x14ac:dyDescent="0.25">
      <c r="A8277" t="s">
        <v>27</v>
      </c>
      <c r="B8277" t="s">
        <v>21</v>
      </c>
      <c r="C8277" t="s">
        <v>18</v>
      </c>
      <c r="D8277" t="s">
        <v>13</v>
      </c>
      <c r="E8277">
        <v>0.89496878442893801</v>
      </c>
      <c r="F8277">
        <v>0.90950610490594896</v>
      </c>
      <c r="G8277">
        <v>985.32124066352799</v>
      </c>
      <c r="H8277">
        <v>56</v>
      </c>
      <c r="I8277">
        <v>93</v>
      </c>
      <c r="J8277">
        <v>30</v>
      </c>
    </row>
    <row r="8278" spans="1:10" x14ac:dyDescent="0.25">
      <c r="A8278" t="s">
        <v>27</v>
      </c>
      <c r="B8278" t="s">
        <v>21</v>
      </c>
      <c r="C8278" t="s">
        <v>18</v>
      </c>
      <c r="D8278" t="s">
        <v>13</v>
      </c>
      <c r="E8278">
        <v>0.89900844656628698</v>
      </c>
      <c r="F8278">
        <v>0.91335580466786503</v>
      </c>
      <c r="G8278">
        <v>993.99401307105995</v>
      </c>
      <c r="H8278">
        <v>71</v>
      </c>
      <c r="I8278">
        <v>126</v>
      </c>
      <c r="J8278">
        <v>30</v>
      </c>
    </row>
    <row r="8279" spans="1:10" x14ac:dyDescent="0.25">
      <c r="A8279" t="s">
        <v>27</v>
      </c>
      <c r="B8279" t="s">
        <v>21</v>
      </c>
      <c r="C8279" t="s">
        <v>18</v>
      </c>
      <c r="D8279" t="s">
        <v>13</v>
      </c>
      <c r="E8279">
        <v>0.87734116782959903</v>
      </c>
      <c r="F8279">
        <v>0.91786547736000701</v>
      </c>
      <c r="G8279">
        <v>995.36086320876996</v>
      </c>
      <c r="H8279">
        <v>38</v>
      </c>
      <c r="I8279">
        <v>66</v>
      </c>
      <c r="J8279">
        <v>30</v>
      </c>
    </row>
    <row r="8280" spans="1:10" x14ac:dyDescent="0.25">
      <c r="A8280" t="s">
        <v>27</v>
      </c>
      <c r="B8280" t="s">
        <v>21</v>
      </c>
      <c r="C8280" t="s">
        <v>18</v>
      </c>
      <c r="D8280" t="s">
        <v>13</v>
      </c>
      <c r="E8280">
        <v>0.90121189864120399</v>
      </c>
      <c r="F8280">
        <v>0.92125869175839104</v>
      </c>
      <c r="G8280">
        <v>995.81880116462696</v>
      </c>
      <c r="H8280">
        <v>24</v>
      </c>
      <c r="I8280">
        <v>39</v>
      </c>
      <c r="J8280">
        <v>30</v>
      </c>
    </row>
    <row r="8281" spans="1:10" x14ac:dyDescent="0.25">
      <c r="A8281" t="s">
        <v>27</v>
      </c>
      <c r="B8281" t="s">
        <v>21</v>
      </c>
      <c r="C8281" t="s">
        <v>18</v>
      </c>
      <c r="D8281" t="s">
        <v>13</v>
      </c>
      <c r="E8281">
        <v>0.90818949687844197</v>
      </c>
      <c r="F8281">
        <v>0.92222341151895004</v>
      </c>
      <c r="G8281">
        <v>995.96317052841096</v>
      </c>
      <c r="H8281">
        <v>55</v>
      </c>
      <c r="I8281">
        <v>94</v>
      </c>
      <c r="J8281">
        <v>30</v>
      </c>
    </row>
    <row r="8282" spans="1:10" x14ac:dyDescent="0.25">
      <c r="A8282" t="s">
        <v>27</v>
      </c>
      <c r="B8282" t="s">
        <v>21</v>
      </c>
      <c r="C8282" t="s">
        <v>18</v>
      </c>
      <c r="D8282" t="s">
        <v>14</v>
      </c>
      <c r="E8282">
        <v>0.11164157179581299</v>
      </c>
      <c r="F8282">
        <v>0.77736241920910898</v>
      </c>
      <c r="G8282">
        <v>7.6389997005462602</v>
      </c>
      <c r="H8282">
        <v>1</v>
      </c>
      <c r="I8282">
        <v>1</v>
      </c>
      <c r="J8282">
        <v>30</v>
      </c>
    </row>
    <row r="8283" spans="1:10" x14ac:dyDescent="0.25">
      <c r="A8283" t="s">
        <v>27</v>
      </c>
      <c r="B8283" t="s">
        <v>21</v>
      </c>
      <c r="C8283" t="s">
        <v>18</v>
      </c>
      <c r="D8283" t="s">
        <v>14</v>
      </c>
      <c r="E8283">
        <v>0.10099155343371199</v>
      </c>
      <c r="F8283">
        <v>0.77524132758354702</v>
      </c>
      <c r="G8283">
        <v>7.3464784622192303</v>
      </c>
      <c r="H8283">
        <v>1</v>
      </c>
      <c r="I8283">
        <v>1</v>
      </c>
      <c r="J8283">
        <v>30</v>
      </c>
    </row>
    <row r="8284" spans="1:10" x14ac:dyDescent="0.25">
      <c r="A8284" t="s">
        <v>27</v>
      </c>
      <c r="B8284" t="s">
        <v>21</v>
      </c>
      <c r="C8284" t="s">
        <v>18</v>
      </c>
      <c r="D8284" t="s">
        <v>14</v>
      </c>
      <c r="E8284">
        <v>9.1443261109070806E-2</v>
      </c>
      <c r="F8284">
        <v>0.77285515156514795</v>
      </c>
      <c r="G8284">
        <v>7.66284108161926</v>
      </c>
      <c r="H8284">
        <v>1</v>
      </c>
      <c r="I8284">
        <v>1</v>
      </c>
      <c r="J8284">
        <v>30</v>
      </c>
    </row>
    <row r="8285" spans="1:10" x14ac:dyDescent="0.25">
      <c r="A8285" t="s">
        <v>27</v>
      </c>
      <c r="B8285" t="s">
        <v>21</v>
      </c>
      <c r="C8285" t="s">
        <v>18</v>
      </c>
      <c r="D8285" t="s">
        <v>14</v>
      </c>
      <c r="E8285">
        <v>0.10870363569592301</v>
      </c>
      <c r="F8285">
        <v>0.77636063325743598</v>
      </c>
      <c r="G8285">
        <v>7.5243728160858101</v>
      </c>
      <c r="H8285">
        <v>1</v>
      </c>
      <c r="I8285">
        <v>1</v>
      </c>
      <c r="J8285">
        <v>30</v>
      </c>
    </row>
    <row r="8286" spans="1:10" x14ac:dyDescent="0.25">
      <c r="A8286" t="s">
        <v>27</v>
      </c>
      <c r="B8286" t="s">
        <v>21</v>
      </c>
      <c r="C8286" t="s">
        <v>18</v>
      </c>
      <c r="D8286" t="s">
        <v>14</v>
      </c>
      <c r="E8286">
        <v>0.114946749908189</v>
      </c>
      <c r="F8286">
        <v>0.778454394622621</v>
      </c>
      <c r="G8286">
        <v>7.7867648601531902</v>
      </c>
      <c r="H8286">
        <v>1</v>
      </c>
      <c r="I8286">
        <v>1</v>
      </c>
      <c r="J8286">
        <v>30</v>
      </c>
    </row>
    <row r="8287" spans="1:10" x14ac:dyDescent="0.25">
      <c r="A8287" t="s">
        <v>27</v>
      </c>
      <c r="B8287" t="s">
        <v>21</v>
      </c>
      <c r="C8287" t="s">
        <v>18</v>
      </c>
      <c r="D8287" t="s">
        <v>14</v>
      </c>
      <c r="E8287">
        <v>0.117517443995593</v>
      </c>
      <c r="F8287">
        <v>0.77909660693349303</v>
      </c>
      <c r="G8287">
        <v>7.57193756103515</v>
      </c>
      <c r="H8287">
        <v>1</v>
      </c>
      <c r="I8287">
        <v>1</v>
      </c>
      <c r="J8287">
        <v>30</v>
      </c>
    </row>
    <row r="8288" spans="1:10" x14ac:dyDescent="0.25">
      <c r="A8288" t="s">
        <v>27</v>
      </c>
      <c r="B8288" t="s">
        <v>21</v>
      </c>
      <c r="C8288" t="s">
        <v>18</v>
      </c>
      <c r="D8288" t="s">
        <v>14</v>
      </c>
      <c r="E8288">
        <v>0.10062431142122601</v>
      </c>
      <c r="F8288">
        <v>0.77514955714836598</v>
      </c>
      <c r="G8288">
        <v>7.9299228191375697</v>
      </c>
      <c r="H8288">
        <v>1</v>
      </c>
      <c r="I8288">
        <v>1</v>
      </c>
      <c r="J8288">
        <v>30</v>
      </c>
    </row>
    <row r="8289" spans="1:10" x14ac:dyDescent="0.25">
      <c r="A8289" t="s">
        <v>27</v>
      </c>
      <c r="B8289" t="s">
        <v>21</v>
      </c>
      <c r="C8289" t="s">
        <v>18</v>
      </c>
      <c r="D8289" t="s">
        <v>14</v>
      </c>
      <c r="E8289">
        <v>9.3646713183988206E-2</v>
      </c>
      <c r="F8289">
        <v>0.77313679308762395</v>
      </c>
      <c r="G8289">
        <v>7.9909684658050502</v>
      </c>
      <c r="H8289">
        <v>1</v>
      </c>
      <c r="I8289">
        <v>1</v>
      </c>
      <c r="J8289">
        <v>30</v>
      </c>
    </row>
    <row r="8290" spans="1:10" x14ac:dyDescent="0.25">
      <c r="A8290" t="s">
        <v>27</v>
      </c>
      <c r="B8290" t="s">
        <v>21</v>
      </c>
      <c r="C8290" t="s">
        <v>18</v>
      </c>
      <c r="D8290" t="s">
        <v>14</v>
      </c>
      <c r="E8290">
        <v>9.4381197208960696E-2</v>
      </c>
      <c r="F8290">
        <v>0.77358937910951098</v>
      </c>
      <c r="G8290">
        <v>7.9613275527954102</v>
      </c>
      <c r="H8290">
        <v>1</v>
      </c>
      <c r="I8290">
        <v>1</v>
      </c>
      <c r="J8290">
        <v>30</v>
      </c>
    </row>
    <row r="8291" spans="1:10" x14ac:dyDescent="0.25">
      <c r="A8291" t="s">
        <v>27</v>
      </c>
      <c r="B8291" t="s">
        <v>21</v>
      </c>
      <c r="C8291" t="s">
        <v>18</v>
      </c>
      <c r="D8291" t="s">
        <v>14</v>
      </c>
      <c r="E8291">
        <v>9.6584649283877999E-2</v>
      </c>
      <c r="F8291">
        <v>0.77360078678424504</v>
      </c>
      <c r="G8291">
        <v>8.0182013511657697</v>
      </c>
      <c r="H8291">
        <v>1</v>
      </c>
      <c r="I8291">
        <v>1</v>
      </c>
      <c r="J8291">
        <v>30</v>
      </c>
    </row>
    <row r="8292" spans="1:10" x14ac:dyDescent="0.25">
      <c r="A8292" t="s">
        <v>27</v>
      </c>
      <c r="B8292" t="s">
        <v>21</v>
      </c>
      <c r="C8292" t="s">
        <v>18</v>
      </c>
      <c r="D8292" t="s">
        <v>14</v>
      </c>
      <c r="E8292">
        <v>0.115313991920675</v>
      </c>
      <c r="F8292">
        <v>0.77828001551597303</v>
      </c>
      <c r="G8292">
        <v>8.1077663898468</v>
      </c>
      <c r="H8292">
        <v>1</v>
      </c>
      <c r="I8292">
        <v>1</v>
      </c>
      <c r="J8292">
        <v>30</v>
      </c>
    </row>
    <row r="8293" spans="1:10" x14ac:dyDescent="0.25">
      <c r="A8293" t="s">
        <v>27</v>
      </c>
      <c r="B8293" t="s">
        <v>21</v>
      </c>
      <c r="C8293" t="s">
        <v>18</v>
      </c>
      <c r="D8293" t="s">
        <v>14</v>
      </c>
      <c r="E8293">
        <v>0.107601909658464</v>
      </c>
      <c r="F8293">
        <v>0.77635233101817802</v>
      </c>
      <c r="G8293">
        <v>8.1419880390167201</v>
      </c>
      <c r="H8293">
        <v>1</v>
      </c>
      <c r="I8293">
        <v>1</v>
      </c>
      <c r="J8293">
        <v>30</v>
      </c>
    </row>
    <row r="8294" spans="1:10" x14ac:dyDescent="0.25">
      <c r="A8294" t="s">
        <v>27</v>
      </c>
      <c r="B8294" t="s">
        <v>21</v>
      </c>
      <c r="C8294" t="s">
        <v>18</v>
      </c>
      <c r="D8294" t="s">
        <v>14</v>
      </c>
      <c r="E8294">
        <v>0.12522952625780301</v>
      </c>
      <c r="F8294">
        <v>0.78102315115600496</v>
      </c>
      <c r="G8294">
        <v>8.1965034008026105</v>
      </c>
      <c r="H8294">
        <v>1</v>
      </c>
      <c r="I8294">
        <v>1</v>
      </c>
      <c r="J8294">
        <v>30</v>
      </c>
    </row>
    <row r="8295" spans="1:10" x14ac:dyDescent="0.25">
      <c r="A8295" t="s">
        <v>27</v>
      </c>
      <c r="B8295" t="s">
        <v>21</v>
      </c>
      <c r="C8295" t="s">
        <v>18</v>
      </c>
      <c r="D8295" t="s">
        <v>14</v>
      </c>
      <c r="E8295">
        <v>0.11715020198310599</v>
      </c>
      <c r="F8295">
        <v>0.77820282108545702</v>
      </c>
      <c r="G8295">
        <v>8.1144680976867605</v>
      </c>
      <c r="H8295">
        <v>1</v>
      </c>
      <c r="I8295">
        <v>1</v>
      </c>
      <c r="J8295">
        <v>30</v>
      </c>
    </row>
    <row r="8296" spans="1:10" x14ac:dyDescent="0.25">
      <c r="A8296" t="s">
        <v>27</v>
      </c>
      <c r="B8296" t="s">
        <v>21</v>
      </c>
      <c r="C8296" t="s">
        <v>18</v>
      </c>
      <c r="D8296" t="s">
        <v>14</v>
      </c>
      <c r="E8296">
        <v>9.8053617333822896E-2</v>
      </c>
      <c r="F8296">
        <v>0.77423777731501997</v>
      </c>
      <c r="G8296">
        <v>8.1661000251770002</v>
      </c>
      <c r="H8296">
        <v>1</v>
      </c>
      <c r="I8296">
        <v>1</v>
      </c>
      <c r="J8296">
        <v>30</v>
      </c>
    </row>
    <row r="8297" spans="1:10" x14ac:dyDescent="0.25">
      <c r="A8297" t="s">
        <v>27</v>
      </c>
      <c r="B8297" t="s">
        <v>21</v>
      </c>
      <c r="C8297" t="s">
        <v>18</v>
      </c>
      <c r="D8297" t="s">
        <v>14</v>
      </c>
      <c r="E8297">
        <v>0.110172603745868</v>
      </c>
      <c r="F8297">
        <v>0.77699536199074504</v>
      </c>
      <c r="G8297">
        <v>8.1516096591949392</v>
      </c>
      <c r="H8297">
        <v>1</v>
      </c>
      <c r="I8297">
        <v>1</v>
      </c>
      <c r="J8297">
        <v>30</v>
      </c>
    </row>
    <row r="8298" spans="1:10" x14ac:dyDescent="0.25">
      <c r="A8298" t="s">
        <v>27</v>
      </c>
      <c r="B8298" t="s">
        <v>21</v>
      </c>
      <c r="C8298" t="s">
        <v>18</v>
      </c>
      <c r="D8298" t="s">
        <v>14</v>
      </c>
      <c r="E8298">
        <v>9.0708777084098399E-2</v>
      </c>
      <c r="F8298">
        <v>0.77267160456940798</v>
      </c>
      <c r="G8298">
        <v>8.2719905376434308</v>
      </c>
      <c r="H8298">
        <v>1</v>
      </c>
      <c r="I8298">
        <v>1</v>
      </c>
      <c r="J8298">
        <v>30</v>
      </c>
    </row>
    <row r="8299" spans="1:10" x14ac:dyDescent="0.25">
      <c r="A8299" t="s">
        <v>27</v>
      </c>
      <c r="B8299" t="s">
        <v>21</v>
      </c>
      <c r="C8299" t="s">
        <v>18</v>
      </c>
      <c r="D8299" t="s">
        <v>14</v>
      </c>
      <c r="E8299">
        <v>9.7319133308850503E-2</v>
      </c>
      <c r="F8299">
        <v>0.77405504092456801</v>
      </c>
      <c r="G8299">
        <v>8.5992333889007497</v>
      </c>
      <c r="H8299">
        <v>1</v>
      </c>
      <c r="I8299">
        <v>1</v>
      </c>
      <c r="J8299">
        <v>30</v>
      </c>
    </row>
    <row r="8300" spans="1:10" x14ac:dyDescent="0.25">
      <c r="A8300" t="s">
        <v>27</v>
      </c>
      <c r="B8300" t="s">
        <v>21</v>
      </c>
      <c r="C8300" t="s">
        <v>18</v>
      </c>
      <c r="D8300" t="s">
        <v>14</v>
      </c>
      <c r="E8300">
        <v>0.109438119720896</v>
      </c>
      <c r="F8300">
        <v>0.77681185030113797</v>
      </c>
      <c r="G8300">
        <v>8.7004866600036603</v>
      </c>
      <c r="H8300">
        <v>1</v>
      </c>
      <c r="I8300">
        <v>1</v>
      </c>
      <c r="J8300">
        <v>30</v>
      </c>
    </row>
    <row r="8301" spans="1:10" x14ac:dyDescent="0.25">
      <c r="A8301" t="s">
        <v>27</v>
      </c>
      <c r="B8301" t="s">
        <v>21</v>
      </c>
      <c r="C8301" t="s">
        <v>18</v>
      </c>
      <c r="D8301" t="s">
        <v>14</v>
      </c>
      <c r="E8301">
        <v>0.106867425633492</v>
      </c>
      <c r="F8301">
        <v>0.77535521383033301</v>
      </c>
      <c r="G8301">
        <v>8.7939481735229492</v>
      </c>
      <c r="H8301">
        <v>1</v>
      </c>
      <c r="I8301">
        <v>1</v>
      </c>
      <c r="J8301">
        <v>30</v>
      </c>
    </row>
    <row r="8302" spans="1:10" x14ac:dyDescent="0.25">
      <c r="A8302" t="s">
        <v>27</v>
      </c>
      <c r="B8302" t="s">
        <v>21</v>
      </c>
      <c r="C8302" t="s">
        <v>18</v>
      </c>
      <c r="D8302" t="s">
        <v>14</v>
      </c>
      <c r="E8302">
        <v>9.7686375321336699E-2</v>
      </c>
      <c r="F8302">
        <v>0.77360606632019702</v>
      </c>
      <c r="G8302">
        <v>8.9623990058898908</v>
      </c>
      <c r="H8302">
        <v>1</v>
      </c>
      <c r="I8302">
        <v>1</v>
      </c>
      <c r="J8302">
        <v>30</v>
      </c>
    </row>
    <row r="8303" spans="1:10" x14ac:dyDescent="0.25">
      <c r="A8303" t="s">
        <v>27</v>
      </c>
      <c r="B8303" t="s">
        <v>21</v>
      </c>
      <c r="C8303" t="s">
        <v>18</v>
      </c>
      <c r="D8303" t="s">
        <v>14</v>
      </c>
      <c r="E8303">
        <v>0.120088138082996</v>
      </c>
      <c r="F8303">
        <v>0.77920536777377702</v>
      </c>
      <c r="G8303">
        <v>8.8060870170593208</v>
      </c>
      <c r="H8303">
        <v>1</v>
      </c>
      <c r="I8303">
        <v>1</v>
      </c>
      <c r="J8303">
        <v>30</v>
      </c>
    </row>
    <row r="8304" spans="1:10" x14ac:dyDescent="0.25">
      <c r="A8304" t="s">
        <v>27</v>
      </c>
      <c r="B8304" t="s">
        <v>21</v>
      </c>
      <c r="C8304" t="s">
        <v>18</v>
      </c>
      <c r="D8304" t="s">
        <v>14</v>
      </c>
      <c r="E8304">
        <v>9.5850165258905606E-2</v>
      </c>
      <c r="F8304">
        <v>0.77368752425089904</v>
      </c>
      <c r="G8304">
        <v>8.7334947586059499</v>
      </c>
      <c r="H8304">
        <v>1</v>
      </c>
      <c r="I8304">
        <v>1</v>
      </c>
      <c r="J8304">
        <v>30</v>
      </c>
    </row>
    <row r="8305" spans="1:10" x14ac:dyDescent="0.25">
      <c r="A8305" t="s">
        <v>27</v>
      </c>
      <c r="B8305" t="s">
        <v>21</v>
      </c>
      <c r="C8305" t="s">
        <v>18</v>
      </c>
      <c r="D8305" t="s">
        <v>14</v>
      </c>
      <c r="E8305">
        <v>0.116048475945648</v>
      </c>
      <c r="F8305">
        <v>0.77819597023341902</v>
      </c>
      <c r="G8305">
        <v>8.7824752330779994</v>
      </c>
      <c r="H8305">
        <v>1</v>
      </c>
      <c r="I8305">
        <v>1</v>
      </c>
      <c r="J8305">
        <v>30</v>
      </c>
    </row>
    <row r="8306" spans="1:10" x14ac:dyDescent="0.25">
      <c r="A8306" t="s">
        <v>27</v>
      </c>
      <c r="B8306" t="s">
        <v>21</v>
      </c>
      <c r="C8306" t="s">
        <v>18</v>
      </c>
      <c r="D8306" t="s">
        <v>14</v>
      </c>
      <c r="E8306">
        <v>0.104663973558575</v>
      </c>
      <c r="F8306">
        <v>0.77481432475174405</v>
      </c>
      <c r="G8306">
        <v>8.9923191070556605</v>
      </c>
      <c r="H8306">
        <v>1</v>
      </c>
      <c r="I8306">
        <v>1</v>
      </c>
      <c r="J8306">
        <v>30</v>
      </c>
    </row>
    <row r="8307" spans="1:10" x14ac:dyDescent="0.25">
      <c r="A8307" t="s">
        <v>27</v>
      </c>
      <c r="B8307" t="s">
        <v>21</v>
      </c>
      <c r="C8307" t="s">
        <v>18</v>
      </c>
      <c r="D8307" t="s">
        <v>14</v>
      </c>
      <c r="E8307">
        <v>0.10613294160852001</v>
      </c>
      <c r="F8307">
        <v>0.77517896984590295</v>
      </c>
      <c r="G8307">
        <v>9.1367061138153005</v>
      </c>
      <c r="H8307">
        <v>1</v>
      </c>
      <c r="I8307">
        <v>1</v>
      </c>
      <c r="J8307">
        <v>30</v>
      </c>
    </row>
    <row r="8308" spans="1:10" x14ac:dyDescent="0.25">
      <c r="A8308" t="s">
        <v>27</v>
      </c>
      <c r="B8308" t="s">
        <v>21</v>
      </c>
      <c r="C8308" t="s">
        <v>18</v>
      </c>
      <c r="D8308" t="s">
        <v>14</v>
      </c>
      <c r="E8308">
        <v>0.11457950789570299</v>
      </c>
      <c r="F8308">
        <v>0.77809649954807103</v>
      </c>
      <c r="G8308">
        <v>9.1333553791046107</v>
      </c>
      <c r="H8308">
        <v>1</v>
      </c>
      <c r="I8308">
        <v>1</v>
      </c>
      <c r="J8308">
        <v>30</v>
      </c>
    </row>
    <row r="8309" spans="1:10" x14ac:dyDescent="0.25">
      <c r="A8309" t="s">
        <v>27</v>
      </c>
      <c r="B8309" t="s">
        <v>21</v>
      </c>
      <c r="C8309" t="s">
        <v>18</v>
      </c>
      <c r="D8309" t="s">
        <v>14</v>
      </c>
      <c r="E8309">
        <v>0.10319500550863001</v>
      </c>
      <c r="F8309">
        <v>0.77498116136672701</v>
      </c>
      <c r="G8309">
        <v>9.0785863399505597</v>
      </c>
      <c r="H8309">
        <v>1</v>
      </c>
      <c r="I8309">
        <v>1</v>
      </c>
      <c r="J8309">
        <v>30</v>
      </c>
    </row>
    <row r="8310" spans="1:10" x14ac:dyDescent="0.25">
      <c r="A8310" t="s">
        <v>27</v>
      </c>
      <c r="B8310" t="s">
        <v>21</v>
      </c>
      <c r="C8310" t="s">
        <v>18</v>
      </c>
      <c r="D8310" t="s">
        <v>14</v>
      </c>
      <c r="E8310">
        <v>8.7403598971722299E-2</v>
      </c>
      <c r="F8310">
        <v>0.77130534645611404</v>
      </c>
      <c r="G8310">
        <v>9.1242768764495796</v>
      </c>
      <c r="H8310">
        <v>1</v>
      </c>
      <c r="I8310">
        <v>1</v>
      </c>
      <c r="J8310">
        <v>30</v>
      </c>
    </row>
    <row r="8311" spans="1:10" x14ac:dyDescent="0.25">
      <c r="A8311" t="s">
        <v>27</v>
      </c>
      <c r="B8311" t="s">
        <v>21</v>
      </c>
      <c r="C8311" t="s">
        <v>18</v>
      </c>
      <c r="D8311" t="s">
        <v>14</v>
      </c>
      <c r="E8311">
        <v>0.11421226588321701</v>
      </c>
      <c r="F8311">
        <v>0.77719849977465905</v>
      </c>
      <c r="G8311">
        <v>9.1341612339019704</v>
      </c>
      <c r="H8311">
        <v>1</v>
      </c>
      <c r="I8311">
        <v>1</v>
      </c>
      <c r="J8311">
        <v>30</v>
      </c>
    </row>
    <row r="8312" spans="1:10" x14ac:dyDescent="0.25">
      <c r="A8312" t="s">
        <v>27</v>
      </c>
      <c r="B8312" t="s">
        <v>21</v>
      </c>
      <c r="C8312" t="s">
        <v>18</v>
      </c>
      <c r="D8312" t="s">
        <v>15</v>
      </c>
      <c r="E8312">
        <v>0</v>
      </c>
      <c r="F8312">
        <v>0.75</v>
      </c>
      <c r="G8312">
        <v>1309.10490298271</v>
      </c>
      <c r="H8312">
        <v>1</v>
      </c>
      <c r="I8312">
        <v>2</v>
      </c>
      <c r="J8312">
        <v>30</v>
      </c>
    </row>
    <row r="8313" spans="1:10" x14ac:dyDescent="0.25">
      <c r="A8313" t="s">
        <v>27</v>
      </c>
      <c r="B8313" t="s">
        <v>21</v>
      </c>
      <c r="C8313" t="s">
        <v>18</v>
      </c>
      <c r="D8313" t="s">
        <v>15</v>
      </c>
      <c r="E8313">
        <v>0</v>
      </c>
      <c r="F8313">
        <v>0.75</v>
      </c>
      <c r="G8313">
        <v>2301.9248781204201</v>
      </c>
      <c r="H8313">
        <v>6</v>
      </c>
      <c r="I8313">
        <v>17</v>
      </c>
      <c r="J8313">
        <v>30</v>
      </c>
    </row>
    <row r="8314" spans="1:10" x14ac:dyDescent="0.25">
      <c r="A8314" t="s">
        <v>27</v>
      </c>
      <c r="B8314" t="s">
        <v>21</v>
      </c>
      <c r="C8314" t="s">
        <v>18</v>
      </c>
      <c r="D8314" t="s">
        <v>15</v>
      </c>
      <c r="E8314">
        <v>3.6724201248622803E-4</v>
      </c>
      <c r="F8314">
        <v>0.750017443995593</v>
      </c>
      <c r="G8314">
        <v>5268.8029794692902</v>
      </c>
      <c r="H8314">
        <v>9</v>
      </c>
      <c r="I8314">
        <v>30</v>
      </c>
      <c r="J8314">
        <v>30</v>
      </c>
    </row>
    <row r="8315" spans="1:10" x14ac:dyDescent="0.25">
      <c r="A8315" t="s">
        <v>27</v>
      </c>
      <c r="B8315" t="s">
        <v>21</v>
      </c>
      <c r="C8315" t="s">
        <v>18</v>
      </c>
      <c r="D8315" t="s">
        <v>15</v>
      </c>
      <c r="E8315">
        <v>0</v>
      </c>
      <c r="F8315">
        <v>0.75</v>
      </c>
      <c r="G8315">
        <v>5907.1912887096396</v>
      </c>
      <c r="H8315">
        <v>12</v>
      </c>
      <c r="I8315">
        <v>38</v>
      </c>
      <c r="J8315">
        <v>30</v>
      </c>
    </row>
    <row r="8316" spans="1:10" x14ac:dyDescent="0.25">
      <c r="A8316" t="s">
        <v>27</v>
      </c>
      <c r="B8316" t="s">
        <v>21</v>
      </c>
      <c r="C8316" t="s">
        <v>18</v>
      </c>
      <c r="D8316" t="s">
        <v>15</v>
      </c>
      <c r="E8316">
        <v>1.10172603745868E-3</v>
      </c>
      <c r="F8316">
        <v>0.75005233198677901</v>
      </c>
      <c r="G8316">
        <v>9652.8931982517206</v>
      </c>
      <c r="H8316">
        <v>16</v>
      </c>
      <c r="I8316">
        <v>47</v>
      </c>
      <c r="J8316">
        <v>30</v>
      </c>
    </row>
    <row r="8317" spans="1:10" x14ac:dyDescent="0.25">
      <c r="A8317" t="s">
        <v>27</v>
      </c>
      <c r="B8317" t="s">
        <v>21</v>
      </c>
      <c r="C8317" t="s">
        <v>18</v>
      </c>
      <c r="D8317" t="s">
        <v>15</v>
      </c>
      <c r="E8317">
        <v>2.2034520749173699E-3</v>
      </c>
      <c r="F8317">
        <v>0.75008538376790301</v>
      </c>
      <c r="G8317">
        <v>11749.2554798126</v>
      </c>
      <c r="H8317">
        <v>24</v>
      </c>
      <c r="I8317">
        <v>62</v>
      </c>
      <c r="J8317">
        <v>30</v>
      </c>
    </row>
    <row r="8318" spans="1:10" x14ac:dyDescent="0.25">
      <c r="A8318" t="s">
        <v>27</v>
      </c>
      <c r="B8318" t="s">
        <v>21</v>
      </c>
      <c r="C8318" t="s">
        <v>18</v>
      </c>
      <c r="D8318" t="s">
        <v>15</v>
      </c>
      <c r="E8318">
        <v>1.8362100624311399E-3</v>
      </c>
      <c r="F8318">
        <v>0.75007888389030397</v>
      </c>
      <c r="G8318">
        <v>12545.6142215728</v>
      </c>
      <c r="H8318">
        <v>23</v>
      </c>
      <c r="I8318">
        <v>67</v>
      </c>
      <c r="J8318">
        <v>30</v>
      </c>
    </row>
    <row r="8319" spans="1:10" x14ac:dyDescent="0.25">
      <c r="A8319" t="s">
        <v>27</v>
      </c>
      <c r="B8319" t="s">
        <v>21</v>
      </c>
      <c r="C8319" t="s">
        <v>18</v>
      </c>
      <c r="D8319" t="s">
        <v>15</v>
      </c>
      <c r="E8319">
        <v>1.10172603745868E-3</v>
      </c>
      <c r="F8319">
        <v>0.75005233198677901</v>
      </c>
      <c r="G8319">
        <v>12887.970629453601</v>
      </c>
      <c r="H8319">
        <v>20</v>
      </c>
      <c r="I8319">
        <v>54</v>
      </c>
      <c r="J8319">
        <v>30</v>
      </c>
    </row>
    <row r="8320" spans="1:10" x14ac:dyDescent="0.25">
      <c r="A8320" t="s">
        <v>27</v>
      </c>
      <c r="B8320" t="s">
        <v>21</v>
      </c>
      <c r="C8320" t="s">
        <v>18</v>
      </c>
      <c r="D8320" t="s">
        <v>15</v>
      </c>
      <c r="E8320">
        <v>3.6724201248622803E-4</v>
      </c>
      <c r="F8320">
        <v>0.750017443995593</v>
      </c>
      <c r="G8320">
        <v>15374.0543708801</v>
      </c>
      <c r="H8320">
        <v>27</v>
      </c>
      <c r="I8320">
        <v>79</v>
      </c>
      <c r="J8320">
        <v>30</v>
      </c>
    </row>
    <row r="8321" spans="1:10" x14ac:dyDescent="0.25">
      <c r="A8321" t="s">
        <v>27</v>
      </c>
      <c r="B8321" t="s">
        <v>21</v>
      </c>
      <c r="C8321" t="s">
        <v>18</v>
      </c>
      <c r="D8321" t="s">
        <v>15</v>
      </c>
      <c r="E8321">
        <v>1.8362100624311399E-3</v>
      </c>
      <c r="F8321">
        <v>0.75008721997796501</v>
      </c>
      <c r="G8321">
        <v>16128.457527160601</v>
      </c>
      <c r="H8321">
        <v>33</v>
      </c>
      <c r="I8321">
        <v>85</v>
      </c>
      <c r="J8321">
        <v>30</v>
      </c>
    </row>
    <row r="8322" spans="1:10" x14ac:dyDescent="0.25">
      <c r="A8322" t="s">
        <v>27</v>
      </c>
      <c r="B8322" t="s">
        <v>21</v>
      </c>
      <c r="C8322" t="s">
        <v>18</v>
      </c>
      <c r="D8322" t="s">
        <v>15</v>
      </c>
      <c r="E8322">
        <v>1.10172603745868E-3</v>
      </c>
      <c r="F8322">
        <v>0.75005233198677901</v>
      </c>
      <c r="G8322">
        <v>18495.0991683006</v>
      </c>
      <c r="H8322">
        <v>35</v>
      </c>
      <c r="I8322">
        <v>108</v>
      </c>
      <c r="J8322">
        <v>30</v>
      </c>
    </row>
    <row r="8323" spans="1:10" x14ac:dyDescent="0.25">
      <c r="A8323" t="s">
        <v>27</v>
      </c>
      <c r="B8323" t="s">
        <v>21</v>
      </c>
      <c r="C8323" t="s">
        <v>18</v>
      </c>
      <c r="D8323" t="s">
        <v>15</v>
      </c>
      <c r="E8323">
        <v>3.6724201248622798E-3</v>
      </c>
      <c r="F8323">
        <v>0.75017443995593103</v>
      </c>
      <c r="G8323">
        <v>19071.406359672499</v>
      </c>
      <c r="H8323">
        <v>37</v>
      </c>
      <c r="I8323">
        <v>104</v>
      </c>
      <c r="J8323">
        <v>30</v>
      </c>
    </row>
    <row r="8324" spans="1:10" x14ac:dyDescent="0.25">
      <c r="A8324" t="s">
        <v>27</v>
      </c>
      <c r="B8324" t="s">
        <v>21</v>
      </c>
      <c r="C8324" t="s">
        <v>18</v>
      </c>
      <c r="D8324" t="s">
        <v>15</v>
      </c>
      <c r="E8324">
        <v>1.4689680499449099E-3</v>
      </c>
      <c r="F8324">
        <v>0.75005049577671601</v>
      </c>
      <c r="G8324">
        <v>19121.186685562101</v>
      </c>
      <c r="H8324">
        <v>47</v>
      </c>
      <c r="I8324">
        <v>139</v>
      </c>
      <c r="J8324">
        <v>30</v>
      </c>
    </row>
    <row r="8325" spans="1:10" x14ac:dyDescent="0.25">
      <c r="A8325" t="s">
        <v>27</v>
      </c>
      <c r="B8325" t="s">
        <v>21</v>
      </c>
      <c r="C8325" t="s">
        <v>18</v>
      </c>
      <c r="D8325" t="s">
        <v>15</v>
      </c>
      <c r="E8325">
        <v>3.3051781123760501E-3</v>
      </c>
      <c r="F8325">
        <v>0.75014032378501605</v>
      </c>
      <c r="G8325">
        <v>19673.561223029999</v>
      </c>
      <c r="H8325">
        <v>37</v>
      </c>
      <c r="I8325">
        <v>103</v>
      </c>
      <c r="J8325">
        <v>30</v>
      </c>
    </row>
    <row r="8326" spans="1:10" x14ac:dyDescent="0.25">
      <c r="A8326" t="s">
        <v>27</v>
      </c>
      <c r="B8326" t="s">
        <v>21</v>
      </c>
      <c r="C8326" t="s">
        <v>18</v>
      </c>
      <c r="D8326" t="s">
        <v>15</v>
      </c>
      <c r="E8326">
        <v>3.6724201248622803E-4</v>
      </c>
      <c r="F8326">
        <v>0.749998163789937</v>
      </c>
      <c r="G8326">
        <v>20448.9341740608</v>
      </c>
      <c r="H8326">
        <v>42</v>
      </c>
      <c r="I8326">
        <v>125</v>
      </c>
      <c r="J8326">
        <v>30</v>
      </c>
    </row>
    <row r="8327" spans="1:10" x14ac:dyDescent="0.25">
      <c r="A8327" t="s">
        <v>27</v>
      </c>
      <c r="B8327" t="s">
        <v>21</v>
      </c>
      <c r="C8327" t="s">
        <v>18</v>
      </c>
      <c r="D8327" t="s">
        <v>15</v>
      </c>
      <c r="E8327">
        <v>2.2034520749173699E-3</v>
      </c>
      <c r="F8327">
        <v>0.75010466397355802</v>
      </c>
      <c r="G8327">
        <v>21344.216509819002</v>
      </c>
      <c r="H8327">
        <v>40</v>
      </c>
      <c r="I8327">
        <v>118</v>
      </c>
      <c r="J8327">
        <v>30</v>
      </c>
    </row>
    <row r="8328" spans="1:10" x14ac:dyDescent="0.25">
      <c r="A8328" t="s">
        <v>27</v>
      </c>
      <c r="B8328" t="s">
        <v>21</v>
      </c>
      <c r="C8328" t="s">
        <v>18</v>
      </c>
      <c r="D8328" t="s">
        <v>15</v>
      </c>
      <c r="E8328">
        <v>2.5706940874035901E-3</v>
      </c>
      <c r="F8328">
        <v>0.75010338862365</v>
      </c>
      <c r="G8328">
        <v>21529.170934677099</v>
      </c>
      <c r="H8328">
        <v>36</v>
      </c>
      <c r="I8328">
        <v>101</v>
      </c>
      <c r="J8328">
        <v>30</v>
      </c>
    </row>
    <row r="8329" spans="1:10" x14ac:dyDescent="0.25">
      <c r="A8329" t="s">
        <v>27</v>
      </c>
      <c r="B8329" t="s">
        <v>21</v>
      </c>
      <c r="C8329" t="s">
        <v>18</v>
      </c>
      <c r="D8329" t="s">
        <v>15</v>
      </c>
      <c r="E8329">
        <v>2.2034520749173699E-3</v>
      </c>
      <c r="F8329">
        <v>0.75008538376790301</v>
      </c>
      <c r="G8329">
        <v>21552.0707435607</v>
      </c>
      <c r="H8329">
        <v>36</v>
      </c>
      <c r="I8329">
        <v>105</v>
      </c>
      <c r="J8329">
        <v>30</v>
      </c>
    </row>
    <row r="8330" spans="1:10" x14ac:dyDescent="0.25">
      <c r="A8330" t="s">
        <v>27</v>
      </c>
      <c r="B8330" t="s">
        <v>21</v>
      </c>
      <c r="C8330" t="s">
        <v>18</v>
      </c>
      <c r="D8330" t="s">
        <v>15</v>
      </c>
      <c r="E8330">
        <v>2.5706940874035901E-3</v>
      </c>
      <c r="F8330">
        <v>0.75011377188149098</v>
      </c>
      <c r="G8330">
        <v>23797.469004154202</v>
      </c>
      <c r="H8330">
        <v>56</v>
      </c>
      <c r="I8330">
        <v>160</v>
      </c>
      <c r="J8330">
        <v>30</v>
      </c>
    </row>
    <row r="8331" spans="1:10" x14ac:dyDescent="0.25">
      <c r="A8331" t="s">
        <v>27</v>
      </c>
      <c r="B8331" t="s">
        <v>21</v>
      </c>
      <c r="C8331" t="s">
        <v>18</v>
      </c>
      <c r="D8331" t="s">
        <v>15</v>
      </c>
      <c r="E8331">
        <v>3.6724201248622798E-3</v>
      </c>
      <c r="F8331">
        <v>0.75016332517238304</v>
      </c>
      <c r="G8331">
        <v>24104.114839076901</v>
      </c>
      <c r="H8331">
        <v>41</v>
      </c>
      <c r="I8331">
        <v>129</v>
      </c>
      <c r="J8331">
        <v>30</v>
      </c>
    </row>
    <row r="8332" spans="1:10" x14ac:dyDescent="0.25">
      <c r="A8332" t="s">
        <v>27</v>
      </c>
      <c r="B8332" t="s">
        <v>21</v>
      </c>
      <c r="C8332" t="s">
        <v>18</v>
      </c>
      <c r="D8332" t="s">
        <v>15</v>
      </c>
      <c r="E8332">
        <v>2.9379360998898199E-3</v>
      </c>
      <c r="F8332">
        <v>0.75013955196474402</v>
      </c>
      <c r="G8332">
        <v>25254.091003894799</v>
      </c>
      <c r="H8332">
        <v>44</v>
      </c>
      <c r="I8332">
        <v>129</v>
      </c>
      <c r="J8332">
        <v>30</v>
      </c>
    </row>
    <row r="8333" spans="1:10" x14ac:dyDescent="0.25">
      <c r="A8333" t="s">
        <v>27</v>
      </c>
      <c r="B8333" t="s">
        <v>21</v>
      </c>
      <c r="C8333" t="s">
        <v>18</v>
      </c>
      <c r="D8333" t="s">
        <v>15</v>
      </c>
      <c r="E8333">
        <v>2.5706940874035901E-3</v>
      </c>
      <c r="F8333">
        <v>0.75012210796915102</v>
      </c>
      <c r="G8333">
        <v>26934.957877397501</v>
      </c>
      <c r="H8333">
        <v>69</v>
      </c>
      <c r="I8333">
        <v>210</v>
      </c>
      <c r="J8333">
        <v>30</v>
      </c>
    </row>
    <row r="8334" spans="1:10" x14ac:dyDescent="0.25">
      <c r="A8334" t="s">
        <v>27</v>
      </c>
      <c r="B8334" t="s">
        <v>21</v>
      </c>
      <c r="C8334" t="s">
        <v>18</v>
      </c>
      <c r="D8334" t="s">
        <v>15</v>
      </c>
      <c r="E8334">
        <v>2.5706940874035901E-3</v>
      </c>
      <c r="F8334">
        <v>0.75010139927366803</v>
      </c>
      <c r="G8334">
        <v>27605.068403244</v>
      </c>
      <c r="H8334">
        <v>70</v>
      </c>
      <c r="I8334">
        <v>202</v>
      </c>
      <c r="J8334">
        <v>30</v>
      </c>
    </row>
    <row r="8335" spans="1:10" x14ac:dyDescent="0.25">
      <c r="A8335" t="s">
        <v>27</v>
      </c>
      <c r="B8335" t="s">
        <v>21</v>
      </c>
      <c r="C8335" t="s">
        <v>18</v>
      </c>
      <c r="D8335" t="s">
        <v>15</v>
      </c>
      <c r="E8335">
        <v>3.6724201248622798E-3</v>
      </c>
      <c r="F8335">
        <v>0.75017443995593103</v>
      </c>
      <c r="G8335">
        <v>27796.186207532799</v>
      </c>
      <c r="H8335">
        <v>63</v>
      </c>
      <c r="I8335">
        <v>200</v>
      </c>
      <c r="J8335">
        <v>30</v>
      </c>
    </row>
    <row r="8336" spans="1:10" x14ac:dyDescent="0.25">
      <c r="A8336" t="s">
        <v>27</v>
      </c>
      <c r="B8336" t="s">
        <v>21</v>
      </c>
      <c r="C8336" t="s">
        <v>18</v>
      </c>
      <c r="D8336" t="s">
        <v>15</v>
      </c>
      <c r="E8336">
        <v>6.2431142122658803E-3</v>
      </c>
      <c r="F8336">
        <v>0.75029654792508205</v>
      </c>
      <c r="G8336">
        <v>29712.220052003799</v>
      </c>
      <c r="H8336">
        <v>85</v>
      </c>
      <c r="I8336">
        <v>232</v>
      </c>
      <c r="J8336">
        <v>30</v>
      </c>
    </row>
    <row r="8337" spans="1:10" x14ac:dyDescent="0.25">
      <c r="A8337" t="s">
        <v>27</v>
      </c>
      <c r="B8337" t="s">
        <v>21</v>
      </c>
      <c r="C8337" t="s">
        <v>18</v>
      </c>
      <c r="D8337" t="s">
        <v>15</v>
      </c>
      <c r="E8337">
        <v>4.7741461623209596E-3</v>
      </c>
      <c r="F8337">
        <v>0.75022677194271004</v>
      </c>
      <c r="G8337">
        <v>32145.2900366783</v>
      </c>
      <c r="H8337">
        <v>100</v>
      </c>
      <c r="I8337">
        <v>294</v>
      </c>
      <c r="J8337">
        <v>30</v>
      </c>
    </row>
    <row r="8338" spans="1:10" x14ac:dyDescent="0.25">
      <c r="A8338" t="s">
        <v>27</v>
      </c>
      <c r="B8338" t="s">
        <v>21</v>
      </c>
      <c r="C8338" t="s">
        <v>18</v>
      </c>
      <c r="D8338" t="s">
        <v>15</v>
      </c>
      <c r="E8338">
        <v>8.4465662871832502E-3</v>
      </c>
      <c r="F8338">
        <v>0.75040121189864095</v>
      </c>
      <c r="G8338">
        <v>32683.678301095901</v>
      </c>
      <c r="H8338">
        <v>112</v>
      </c>
      <c r="I8338">
        <v>304</v>
      </c>
      <c r="J8338">
        <v>30</v>
      </c>
    </row>
    <row r="8339" spans="1:10" x14ac:dyDescent="0.25">
      <c r="A8339" t="s">
        <v>27</v>
      </c>
      <c r="B8339" t="s">
        <v>21</v>
      </c>
      <c r="C8339" t="s">
        <v>18</v>
      </c>
      <c r="D8339" t="s">
        <v>15</v>
      </c>
      <c r="E8339">
        <v>8.4465662871832502E-3</v>
      </c>
      <c r="F8339">
        <v>0.75037637430121196</v>
      </c>
      <c r="G8339">
        <v>34549.768814802097</v>
      </c>
      <c r="H8339">
        <v>132</v>
      </c>
      <c r="I8339">
        <v>352</v>
      </c>
      <c r="J8339">
        <v>30</v>
      </c>
    </row>
    <row r="8340" spans="1:10" x14ac:dyDescent="0.25">
      <c r="A8340" t="s">
        <v>27</v>
      </c>
      <c r="B8340" t="s">
        <v>21</v>
      </c>
      <c r="C8340" t="s">
        <v>18</v>
      </c>
      <c r="D8340" t="s">
        <v>15</v>
      </c>
      <c r="E8340">
        <v>1.17517443995593E-2</v>
      </c>
      <c r="F8340">
        <v>0.75059065393558499</v>
      </c>
      <c r="G8340">
        <v>36390.213095664898</v>
      </c>
      <c r="H8340">
        <v>186</v>
      </c>
      <c r="I8340">
        <v>492</v>
      </c>
      <c r="J8340">
        <v>30</v>
      </c>
    </row>
    <row r="8341" spans="1:10" x14ac:dyDescent="0.25">
      <c r="A8341" t="s">
        <v>27</v>
      </c>
      <c r="B8341" t="s">
        <v>21</v>
      </c>
      <c r="C8341" t="s">
        <v>18</v>
      </c>
      <c r="D8341" t="s">
        <v>15</v>
      </c>
      <c r="E8341">
        <v>1.21189864120455E-2</v>
      </c>
      <c r="F8341">
        <v>0.75051003601009902</v>
      </c>
      <c r="G8341">
        <v>36546.666533470103</v>
      </c>
      <c r="H8341">
        <v>177</v>
      </c>
      <c r="I8341">
        <v>464</v>
      </c>
      <c r="J8341">
        <v>30</v>
      </c>
    </row>
    <row r="8342" spans="1:10" x14ac:dyDescent="0.25">
      <c r="A8342" t="s">
        <v>27</v>
      </c>
      <c r="B8342" t="s">
        <v>21</v>
      </c>
      <c r="C8342" t="s">
        <v>18</v>
      </c>
      <c r="D8342" t="s">
        <v>16</v>
      </c>
      <c r="E8342">
        <v>0</v>
      </c>
      <c r="F8342">
        <v>0.75</v>
      </c>
      <c r="G8342">
        <v>2.6713335514068599</v>
      </c>
      <c r="H8342">
        <v>0</v>
      </c>
      <c r="I8342">
        <v>0</v>
      </c>
      <c r="J8342">
        <v>30</v>
      </c>
    </row>
    <row r="8343" spans="1:10" x14ac:dyDescent="0.25">
      <c r="A8343" t="s">
        <v>27</v>
      </c>
      <c r="B8343" t="s">
        <v>21</v>
      </c>
      <c r="C8343" t="s">
        <v>18</v>
      </c>
      <c r="D8343" t="s">
        <v>16</v>
      </c>
      <c r="E8343">
        <v>0</v>
      </c>
      <c r="F8343">
        <v>0.75</v>
      </c>
      <c r="G8343">
        <v>2.7121372222900302</v>
      </c>
      <c r="H8343">
        <v>0</v>
      </c>
      <c r="I8343">
        <v>0</v>
      </c>
      <c r="J8343">
        <v>30</v>
      </c>
    </row>
    <row r="8344" spans="1:10" x14ac:dyDescent="0.25">
      <c r="A8344" t="s">
        <v>27</v>
      </c>
      <c r="B8344" t="s">
        <v>21</v>
      </c>
      <c r="C8344" t="s">
        <v>18</v>
      </c>
      <c r="D8344" t="s">
        <v>16</v>
      </c>
      <c r="E8344">
        <v>0</v>
      </c>
      <c r="F8344">
        <v>0.75</v>
      </c>
      <c r="G8344">
        <v>2.5430917739868102</v>
      </c>
      <c r="H8344">
        <v>0</v>
      </c>
      <c r="I8344">
        <v>0</v>
      </c>
      <c r="J8344">
        <v>30</v>
      </c>
    </row>
    <row r="8345" spans="1:10" x14ac:dyDescent="0.25">
      <c r="A8345" t="s">
        <v>27</v>
      </c>
      <c r="B8345" t="s">
        <v>21</v>
      </c>
      <c r="C8345" t="s">
        <v>18</v>
      </c>
      <c r="D8345" t="s">
        <v>16</v>
      </c>
      <c r="E8345">
        <v>0</v>
      </c>
      <c r="F8345">
        <v>0.75</v>
      </c>
      <c r="G8345">
        <v>2.5750281810760498</v>
      </c>
      <c r="H8345">
        <v>0</v>
      </c>
      <c r="I8345">
        <v>0</v>
      </c>
      <c r="J8345">
        <v>30</v>
      </c>
    </row>
    <row r="8346" spans="1:10" x14ac:dyDescent="0.25">
      <c r="A8346" t="s">
        <v>27</v>
      </c>
      <c r="B8346" t="s">
        <v>21</v>
      </c>
      <c r="C8346" t="s">
        <v>18</v>
      </c>
      <c r="D8346" t="s">
        <v>16</v>
      </c>
      <c r="E8346">
        <v>0</v>
      </c>
      <c r="F8346">
        <v>0.75</v>
      </c>
      <c r="G8346">
        <v>2.5800509452819802</v>
      </c>
      <c r="H8346">
        <v>0</v>
      </c>
      <c r="I8346">
        <v>0</v>
      </c>
      <c r="J8346">
        <v>30</v>
      </c>
    </row>
    <row r="8347" spans="1:10" x14ac:dyDescent="0.25">
      <c r="A8347" t="s">
        <v>27</v>
      </c>
      <c r="B8347" t="s">
        <v>21</v>
      </c>
      <c r="C8347" t="s">
        <v>18</v>
      </c>
      <c r="D8347" t="s">
        <v>16</v>
      </c>
      <c r="E8347">
        <v>0</v>
      </c>
      <c r="F8347">
        <v>0.75</v>
      </c>
      <c r="G8347">
        <v>2.6610150337219198</v>
      </c>
      <c r="H8347">
        <v>0</v>
      </c>
      <c r="I8347">
        <v>0</v>
      </c>
      <c r="J8347">
        <v>30</v>
      </c>
    </row>
    <row r="8348" spans="1:10" x14ac:dyDescent="0.25">
      <c r="A8348" t="s">
        <v>27</v>
      </c>
      <c r="B8348" t="s">
        <v>21</v>
      </c>
      <c r="C8348" t="s">
        <v>18</v>
      </c>
      <c r="D8348" t="s">
        <v>16</v>
      </c>
      <c r="E8348">
        <v>0</v>
      </c>
      <c r="F8348">
        <v>0.75</v>
      </c>
      <c r="G8348">
        <v>2.82708644866943</v>
      </c>
      <c r="H8348">
        <v>0</v>
      </c>
      <c r="I8348">
        <v>0</v>
      </c>
      <c r="J8348">
        <v>30</v>
      </c>
    </row>
    <row r="8349" spans="1:10" x14ac:dyDescent="0.25">
      <c r="A8349" t="s">
        <v>27</v>
      </c>
      <c r="B8349" t="s">
        <v>21</v>
      </c>
      <c r="C8349" t="s">
        <v>18</v>
      </c>
      <c r="D8349" t="s">
        <v>16</v>
      </c>
      <c r="E8349">
        <v>0</v>
      </c>
      <c r="F8349">
        <v>0.75</v>
      </c>
      <c r="G8349">
        <v>2.8080911636352499</v>
      </c>
      <c r="H8349">
        <v>0</v>
      </c>
      <c r="I8349">
        <v>0</v>
      </c>
      <c r="J8349">
        <v>30</v>
      </c>
    </row>
    <row r="8350" spans="1:10" x14ac:dyDescent="0.25">
      <c r="A8350" t="s">
        <v>27</v>
      </c>
      <c r="B8350" t="s">
        <v>21</v>
      </c>
      <c r="C8350" t="s">
        <v>18</v>
      </c>
      <c r="D8350" t="s">
        <v>16</v>
      </c>
      <c r="E8350">
        <v>0</v>
      </c>
      <c r="F8350">
        <v>0.75</v>
      </c>
      <c r="G8350">
        <v>2.8150146007537802</v>
      </c>
      <c r="H8350">
        <v>0</v>
      </c>
      <c r="I8350">
        <v>0</v>
      </c>
      <c r="J8350">
        <v>30</v>
      </c>
    </row>
    <row r="8351" spans="1:10" x14ac:dyDescent="0.25">
      <c r="A8351" t="s">
        <v>27</v>
      </c>
      <c r="B8351" t="s">
        <v>21</v>
      </c>
      <c r="C8351" t="s">
        <v>18</v>
      </c>
      <c r="D8351" t="s">
        <v>16</v>
      </c>
      <c r="E8351">
        <v>0</v>
      </c>
      <c r="F8351">
        <v>0.75</v>
      </c>
      <c r="G8351">
        <v>2.73501276969909</v>
      </c>
      <c r="H8351">
        <v>0</v>
      </c>
      <c r="I8351">
        <v>0</v>
      </c>
      <c r="J8351">
        <v>30</v>
      </c>
    </row>
    <row r="8352" spans="1:10" x14ac:dyDescent="0.25">
      <c r="A8352" t="s">
        <v>27</v>
      </c>
      <c r="B8352" t="s">
        <v>21</v>
      </c>
      <c r="C8352" t="s">
        <v>18</v>
      </c>
      <c r="D8352" t="s">
        <v>16</v>
      </c>
      <c r="E8352">
        <v>0</v>
      </c>
      <c r="F8352">
        <v>0.75</v>
      </c>
      <c r="G8352">
        <v>2.6272170543670601</v>
      </c>
      <c r="H8352">
        <v>0</v>
      </c>
      <c r="I8352">
        <v>0</v>
      </c>
      <c r="J8352">
        <v>30</v>
      </c>
    </row>
    <row r="8353" spans="1:10" x14ac:dyDescent="0.25">
      <c r="A8353" t="s">
        <v>27</v>
      </c>
      <c r="B8353" t="s">
        <v>21</v>
      </c>
      <c r="C8353" t="s">
        <v>18</v>
      </c>
      <c r="D8353" t="s">
        <v>16</v>
      </c>
      <c r="E8353">
        <v>0</v>
      </c>
      <c r="F8353">
        <v>0.75</v>
      </c>
      <c r="G8353">
        <v>2.34963035583496</v>
      </c>
      <c r="H8353">
        <v>0</v>
      </c>
      <c r="I8353">
        <v>0</v>
      </c>
      <c r="J8353">
        <v>30</v>
      </c>
    </row>
    <row r="8354" spans="1:10" x14ac:dyDescent="0.25">
      <c r="A8354" t="s">
        <v>27</v>
      </c>
      <c r="B8354" t="s">
        <v>21</v>
      </c>
      <c r="C8354" t="s">
        <v>18</v>
      </c>
      <c r="D8354" t="s">
        <v>16</v>
      </c>
      <c r="E8354">
        <v>0</v>
      </c>
      <c r="F8354">
        <v>0.75</v>
      </c>
      <c r="G8354">
        <v>14.5695598125457</v>
      </c>
      <c r="H8354">
        <v>0</v>
      </c>
      <c r="I8354">
        <v>0</v>
      </c>
      <c r="J8354">
        <v>30</v>
      </c>
    </row>
    <row r="8355" spans="1:10" x14ac:dyDescent="0.25">
      <c r="A8355" t="s">
        <v>27</v>
      </c>
      <c r="B8355" t="s">
        <v>21</v>
      </c>
      <c r="C8355" t="s">
        <v>18</v>
      </c>
      <c r="D8355" t="s">
        <v>16</v>
      </c>
      <c r="E8355">
        <v>0</v>
      </c>
      <c r="F8355">
        <v>0.75</v>
      </c>
      <c r="G8355">
        <v>15.3440141677856</v>
      </c>
      <c r="H8355">
        <v>0</v>
      </c>
      <c r="I8355">
        <v>0</v>
      </c>
      <c r="J8355">
        <v>30</v>
      </c>
    </row>
    <row r="8356" spans="1:10" x14ac:dyDescent="0.25">
      <c r="A8356" t="s">
        <v>27</v>
      </c>
      <c r="B8356" t="s">
        <v>21</v>
      </c>
      <c r="C8356" t="s">
        <v>18</v>
      </c>
      <c r="D8356" t="s">
        <v>16</v>
      </c>
      <c r="E8356">
        <v>0</v>
      </c>
      <c r="F8356">
        <v>0.75</v>
      </c>
      <c r="G8356">
        <v>15.5278513431549</v>
      </c>
      <c r="H8356">
        <v>0</v>
      </c>
      <c r="I8356">
        <v>0</v>
      </c>
      <c r="J8356">
        <v>30</v>
      </c>
    </row>
    <row r="8357" spans="1:10" x14ac:dyDescent="0.25">
      <c r="A8357" t="s">
        <v>27</v>
      </c>
      <c r="B8357" t="s">
        <v>21</v>
      </c>
      <c r="C8357" t="s">
        <v>18</v>
      </c>
      <c r="D8357" t="s">
        <v>16</v>
      </c>
      <c r="E8357">
        <v>0</v>
      </c>
      <c r="F8357">
        <v>0.75</v>
      </c>
      <c r="G8357">
        <v>15.5901622772216</v>
      </c>
      <c r="H8357">
        <v>0</v>
      </c>
      <c r="I8357">
        <v>0</v>
      </c>
      <c r="J8357">
        <v>30</v>
      </c>
    </row>
    <row r="8358" spans="1:10" x14ac:dyDescent="0.25">
      <c r="A8358" t="s">
        <v>27</v>
      </c>
      <c r="B8358" t="s">
        <v>21</v>
      </c>
      <c r="C8358" t="s">
        <v>18</v>
      </c>
      <c r="D8358" t="s">
        <v>16</v>
      </c>
      <c r="E8358">
        <v>0</v>
      </c>
      <c r="F8358">
        <v>0.75</v>
      </c>
      <c r="G8358">
        <v>15.7168891429901</v>
      </c>
      <c r="H8358">
        <v>0</v>
      </c>
      <c r="I8358">
        <v>0</v>
      </c>
      <c r="J8358">
        <v>30</v>
      </c>
    </row>
    <row r="8359" spans="1:10" x14ac:dyDescent="0.25">
      <c r="A8359" t="s">
        <v>27</v>
      </c>
      <c r="B8359" t="s">
        <v>21</v>
      </c>
      <c r="C8359" t="s">
        <v>18</v>
      </c>
      <c r="D8359" t="s">
        <v>16</v>
      </c>
      <c r="E8359">
        <v>0</v>
      </c>
      <c r="F8359">
        <v>0.75</v>
      </c>
      <c r="G8359">
        <v>15.793711900710999</v>
      </c>
      <c r="H8359">
        <v>0</v>
      </c>
      <c r="I8359">
        <v>0</v>
      </c>
      <c r="J8359">
        <v>30</v>
      </c>
    </row>
    <row r="8360" spans="1:10" x14ac:dyDescent="0.25">
      <c r="A8360" t="s">
        <v>27</v>
      </c>
      <c r="B8360" t="s">
        <v>21</v>
      </c>
      <c r="C8360" t="s">
        <v>18</v>
      </c>
      <c r="D8360" t="s">
        <v>16</v>
      </c>
      <c r="E8360">
        <v>0</v>
      </c>
      <c r="F8360">
        <v>0.75</v>
      </c>
      <c r="G8360">
        <v>16.050784826278601</v>
      </c>
      <c r="H8360">
        <v>0</v>
      </c>
      <c r="I8360">
        <v>0</v>
      </c>
      <c r="J8360">
        <v>30</v>
      </c>
    </row>
    <row r="8361" spans="1:10" x14ac:dyDescent="0.25">
      <c r="A8361" t="s">
        <v>27</v>
      </c>
      <c r="B8361" t="s">
        <v>21</v>
      </c>
      <c r="C8361" t="s">
        <v>18</v>
      </c>
      <c r="D8361" t="s">
        <v>16</v>
      </c>
      <c r="E8361">
        <v>0</v>
      </c>
      <c r="F8361">
        <v>0.75</v>
      </c>
      <c r="G8361">
        <v>16.091727018356298</v>
      </c>
      <c r="H8361">
        <v>0</v>
      </c>
      <c r="I8361">
        <v>0</v>
      </c>
      <c r="J8361">
        <v>30</v>
      </c>
    </row>
    <row r="8362" spans="1:10" x14ac:dyDescent="0.25">
      <c r="A8362" t="s">
        <v>27</v>
      </c>
      <c r="B8362" t="s">
        <v>21</v>
      </c>
      <c r="C8362" t="s">
        <v>18</v>
      </c>
      <c r="D8362" t="s">
        <v>16</v>
      </c>
      <c r="E8362">
        <v>0</v>
      </c>
      <c r="F8362">
        <v>0.75</v>
      </c>
      <c r="G8362">
        <v>16.148364782333299</v>
      </c>
      <c r="H8362">
        <v>0</v>
      </c>
      <c r="I8362">
        <v>0</v>
      </c>
      <c r="J8362">
        <v>30</v>
      </c>
    </row>
    <row r="8363" spans="1:10" x14ac:dyDescent="0.25">
      <c r="A8363" t="s">
        <v>27</v>
      </c>
      <c r="B8363" t="s">
        <v>21</v>
      </c>
      <c r="C8363" t="s">
        <v>18</v>
      </c>
      <c r="D8363" t="s">
        <v>16</v>
      </c>
      <c r="E8363">
        <v>0</v>
      </c>
      <c r="F8363">
        <v>0.75</v>
      </c>
      <c r="G8363">
        <v>16.243508577346802</v>
      </c>
      <c r="H8363">
        <v>0</v>
      </c>
      <c r="I8363">
        <v>0</v>
      </c>
      <c r="J8363">
        <v>30</v>
      </c>
    </row>
    <row r="8364" spans="1:10" x14ac:dyDescent="0.25">
      <c r="A8364" t="s">
        <v>27</v>
      </c>
      <c r="B8364" t="s">
        <v>21</v>
      </c>
      <c r="C8364" t="s">
        <v>18</v>
      </c>
      <c r="D8364" t="s">
        <v>16</v>
      </c>
      <c r="E8364">
        <v>0</v>
      </c>
      <c r="F8364">
        <v>0.75</v>
      </c>
      <c r="G8364">
        <v>16.296260356903002</v>
      </c>
      <c r="H8364">
        <v>0</v>
      </c>
      <c r="I8364">
        <v>0</v>
      </c>
      <c r="J8364">
        <v>30</v>
      </c>
    </row>
    <row r="8365" spans="1:10" x14ac:dyDescent="0.25">
      <c r="A8365" t="s">
        <v>27</v>
      </c>
      <c r="B8365" t="s">
        <v>21</v>
      </c>
      <c r="C8365" t="s">
        <v>18</v>
      </c>
      <c r="D8365" t="s">
        <v>16</v>
      </c>
      <c r="E8365">
        <v>0</v>
      </c>
      <c r="F8365">
        <v>0.75</v>
      </c>
      <c r="G8365">
        <v>16.368563413619899</v>
      </c>
      <c r="H8365">
        <v>0</v>
      </c>
      <c r="I8365">
        <v>0</v>
      </c>
      <c r="J8365">
        <v>30</v>
      </c>
    </row>
    <row r="8366" spans="1:10" x14ac:dyDescent="0.25">
      <c r="A8366" t="s">
        <v>27</v>
      </c>
      <c r="B8366" t="s">
        <v>21</v>
      </c>
      <c r="C8366" t="s">
        <v>18</v>
      </c>
      <c r="D8366" t="s">
        <v>16</v>
      </c>
      <c r="E8366">
        <v>0</v>
      </c>
      <c r="F8366">
        <v>0.75</v>
      </c>
      <c r="G8366">
        <v>16.4092807769775</v>
      </c>
      <c r="H8366">
        <v>0</v>
      </c>
      <c r="I8366">
        <v>0</v>
      </c>
      <c r="J8366">
        <v>30</v>
      </c>
    </row>
    <row r="8367" spans="1:10" x14ac:dyDescent="0.25">
      <c r="A8367" t="s">
        <v>27</v>
      </c>
      <c r="B8367" t="s">
        <v>21</v>
      </c>
      <c r="C8367" t="s">
        <v>18</v>
      </c>
      <c r="D8367" t="s">
        <v>16</v>
      </c>
      <c r="E8367">
        <v>0</v>
      </c>
      <c r="F8367">
        <v>0.75</v>
      </c>
      <c r="G8367">
        <v>16.4306254386901</v>
      </c>
      <c r="H8367">
        <v>0</v>
      </c>
      <c r="I8367">
        <v>0</v>
      </c>
      <c r="J8367">
        <v>30</v>
      </c>
    </row>
    <row r="8368" spans="1:10" x14ac:dyDescent="0.25">
      <c r="A8368" t="s">
        <v>27</v>
      </c>
      <c r="B8368" t="s">
        <v>21</v>
      </c>
      <c r="C8368" t="s">
        <v>18</v>
      </c>
      <c r="D8368" t="s">
        <v>16</v>
      </c>
      <c r="E8368">
        <v>0</v>
      </c>
      <c r="F8368">
        <v>0.75</v>
      </c>
      <c r="G8368">
        <v>16.472326517105099</v>
      </c>
      <c r="H8368">
        <v>0</v>
      </c>
      <c r="I8368">
        <v>0</v>
      </c>
      <c r="J8368">
        <v>30</v>
      </c>
    </row>
    <row r="8369" spans="1:10" x14ac:dyDescent="0.25">
      <c r="A8369" t="s">
        <v>27</v>
      </c>
      <c r="B8369" t="s">
        <v>21</v>
      </c>
      <c r="C8369" t="s">
        <v>18</v>
      </c>
      <c r="D8369" t="s">
        <v>16</v>
      </c>
      <c r="E8369">
        <v>0</v>
      </c>
      <c r="F8369">
        <v>0.75</v>
      </c>
      <c r="G8369">
        <v>16.528770208358701</v>
      </c>
      <c r="H8369">
        <v>0</v>
      </c>
      <c r="I8369">
        <v>0</v>
      </c>
      <c r="J8369">
        <v>30</v>
      </c>
    </row>
    <row r="8370" spans="1:10" x14ac:dyDescent="0.25">
      <c r="A8370" t="s">
        <v>27</v>
      </c>
      <c r="B8370" t="s">
        <v>21</v>
      </c>
      <c r="C8370" t="s">
        <v>18</v>
      </c>
      <c r="D8370" t="s">
        <v>16</v>
      </c>
      <c r="E8370">
        <v>0</v>
      </c>
      <c r="F8370">
        <v>0.75</v>
      </c>
      <c r="G8370">
        <v>16.567451000213602</v>
      </c>
      <c r="H8370">
        <v>0</v>
      </c>
      <c r="I8370">
        <v>0</v>
      </c>
      <c r="J8370">
        <v>30</v>
      </c>
    </row>
    <row r="8371" spans="1:10" x14ac:dyDescent="0.25">
      <c r="A8371" t="s">
        <v>27</v>
      </c>
      <c r="B8371" t="s">
        <v>21</v>
      </c>
      <c r="C8371" t="s">
        <v>18</v>
      </c>
      <c r="D8371" t="s">
        <v>16</v>
      </c>
      <c r="E8371">
        <v>0</v>
      </c>
      <c r="F8371">
        <v>0.75</v>
      </c>
      <c r="G8371">
        <v>16.723664522170999</v>
      </c>
      <c r="H8371">
        <v>0</v>
      </c>
      <c r="I8371">
        <v>0</v>
      </c>
      <c r="J8371">
        <v>30</v>
      </c>
    </row>
    <row r="8372" spans="1:10" x14ac:dyDescent="0.25">
      <c r="A8372" t="s">
        <v>27</v>
      </c>
      <c r="B8372" t="s">
        <v>21</v>
      </c>
      <c r="C8372" t="s">
        <v>18</v>
      </c>
      <c r="D8372" t="s">
        <v>17</v>
      </c>
      <c r="E8372">
        <v>0.22879177377891999</v>
      </c>
      <c r="F8372">
        <v>0.79834516795167099</v>
      </c>
      <c r="G8372">
        <v>8696.6264822483008</v>
      </c>
      <c r="H8372">
        <v>136</v>
      </c>
      <c r="I8372">
        <v>177</v>
      </c>
      <c r="J8372">
        <v>30</v>
      </c>
    </row>
    <row r="8373" spans="1:10" x14ac:dyDescent="0.25">
      <c r="A8373" t="s">
        <v>27</v>
      </c>
      <c r="B8373" t="s">
        <v>21</v>
      </c>
      <c r="C8373" t="s">
        <v>18</v>
      </c>
      <c r="D8373" t="s">
        <v>17</v>
      </c>
      <c r="E8373">
        <v>0.22328314359162599</v>
      </c>
      <c r="F8373">
        <v>0.79674238032372302</v>
      </c>
      <c r="G8373">
        <v>9103.7301819324493</v>
      </c>
      <c r="H8373">
        <v>129</v>
      </c>
      <c r="I8373">
        <v>161</v>
      </c>
      <c r="J8373">
        <v>30</v>
      </c>
    </row>
    <row r="8374" spans="1:10" x14ac:dyDescent="0.25">
      <c r="A8374" t="s">
        <v>27</v>
      </c>
      <c r="B8374" t="s">
        <v>21</v>
      </c>
      <c r="C8374" t="s">
        <v>18</v>
      </c>
      <c r="D8374" t="s">
        <v>17</v>
      </c>
      <c r="E8374">
        <v>0.23797282409107601</v>
      </c>
      <c r="F8374">
        <v>0.80173788920433398</v>
      </c>
      <c r="G8374">
        <v>9315.9130172729492</v>
      </c>
      <c r="H8374">
        <v>149</v>
      </c>
      <c r="I8374">
        <v>196</v>
      </c>
      <c r="J8374">
        <v>30</v>
      </c>
    </row>
    <row r="8375" spans="1:10" x14ac:dyDescent="0.25">
      <c r="A8375" t="s">
        <v>27</v>
      </c>
      <c r="B8375" t="s">
        <v>21</v>
      </c>
      <c r="C8375" t="s">
        <v>18</v>
      </c>
      <c r="D8375" t="s">
        <v>17</v>
      </c>
      <c r="E8375">
        <v>0.36944546456114502</v>
      </c>
      <c r="F8375">
        <v>0.830873015731178</v>
      </c>
      <c r="G8375">
        <v>9331.4319953918402</v>
      </c>
      <c r="H8375">
        <v>157</v>
      </c>
      <c r="I8375">
        <v>209</v>
      </c>
      <c r="J8375">
        <v>30</v>
      </c>
    </row>
    <row r="8376" spans="1:10" x14ac:dyDescent="0.25">
      <c r="A8376" t="s">
        <v>27</v>
      </c>
      <c r="B8376" t="s">
        <v>21</v>
      </c>
      <c r="C8376" t="s">
        <v>18</v>
      </c>
      <c r="D8376" t="s">
        <v>17</v>
      </c>
      <c r="E8376">
        <v>0.32831435916268797</v>
      </c>
      <c r="F8376">
        <v>0.81644285928057103</v>
      </c>
      <c r="G8376">
        <v>9456.5233116149902</v>
      </c>
      <c r="H8376">
        <v>164</v>
      </c>
      <c r="I8376">
        <v>200</v>
      </c>
      <c r="J8376">
        <v>30</v>
      </c>
    </row>
    <row r="8377" spans="1:10" x14ac:dyDescent="0.25">
      <c r="A8377" t="s">
        <v>27</v>
      </c>
      <c r="B8377" t="s">
        <v>21</v>
      </c>
      <c r="C8377" t="s">
        <v>18</v>
      </c>
      <c r="D8377" t="s">
        <v>17</v>
      </c>
      <c r="E8377">
        <v>0.240910760190965</v>
      </c>
      <c r="F8377">
        <v>0.79927109648112304</v>
      </c>
      <c r="G8377">
        <v>11181.2574131488</v>
      </c>
      <c r="H8377">
        <v>176</v>
      </c>
      <c r="I8377">
        <v>218</v>
      </c>
      <c r="J8377">
        <v>30</v>
      </c>
    </row>
    <row r="8378" spans="1:10" x14ac:dyDescent="0.25">
      <c r="A8378" t="s">
        <v>27</v>
      </c>
      <c r="B8378" t="s">
        <v>21</v>
      </c>
      <c r="C8378" t="s">
        <v>18</v>
      </c>
      <c r="D8378" t="s">
        <v>17</v>
      </c>
      <c r="E8378">
        <v>0.23356591994124101</v>
      </c>
      <c r="F8378">
        <v>0.79750729840675605</v>
      </c>
      <c r="G8378">
        <v>11973.365789175001</v>
      </c>
      <c r="H8378">
        <v>222</v>
      </c>
      <c r="I8378">
        <v>260</v>
      </c>
      <c r="J8378">
        <v>30</v>
      </c>
    </row>
    <row r="8379" spans="1:10" x14ac:dyDescent="0.25">
      <c r="A8379" t="s">
        <v>27</v>
      </c>
      <c r="B8379" t="s">
        <v>21</v>
      </c>
      <c r="C8379" t="s">
        <v>18</v>
      </c>
      <c r="D8379" t="s">
        <v>17</v>
      </c>
      <c r="E8379">
        <v>0.28167462357693701</v>
      </c>
      <c r="F8379">
        <v>0.80881271425651802</v>
      </c>
      <c r="G8379">
        <v>12003.9067726135</v>
      </c>
      <c r="H8379">
        <v>196</v>
      </c>
      <c r="I8379">
        <v>251</v>
      </c>
      <c r="J8379">
        <v>30</v>
      </c>
    </row>
    <row r="8380" spans="1:10" x14ac:dyDescent="0.25">
      <c r="A8380" t="s">
        <v>27</v>
      </c>
      <c r="B8380" t="s">
        <v>21</v>
      </c>
      <c r="C8380" t="s">
        <v>18</v>
      </c>
      <c r="D8380" t="s">
        <v>17</v>
      </c>
      <c r="E8380">
        <v>0.290855673889092</v>
      </c>
      <c r="F8380">
        <v>0.80910770822992895</v>
      </c>
      <c r="G8380">
        <v>12041.3150966167</v>
      </c>
      <c r="H8380">
        <v>256</v>
      </c>
      <c r="I8380">
        <v>219</v>
      </c>
      <c r="J8380">
        <v>30</v>
      </c>
    </row>
    <row r="8381" spans="1:10" x14ac:dyDescent="0.25">
      <c r="A8381" t="s">
        <v>27</v>
      </c>
      <c r="B8381" t="s">
        <v>21</v>
      </c>
      <c r="C8381" t="s">
        <v>18</v>
      </c>
      <c r="D8381" t="s">
        <v>17</v>
      </c>
      <c r="E8381">
        <v>0.30738156445097298</v>
      </c>
      <c r="F8381">
        <v>0.80992945346048495</v>
      </c>
      <c r="G8381">
        <v>12086.2084934711</v>
      </c>
      <c r="H8381">
        <v>230</v>
      </c>
      <c r="I8381">
        <v>264</v>
      </c>
      <c r="J8381">
        <v>30</v>
      </c>
    </row>
    <row r="8382" spans="1:10" x14ac:dyDescent="0.25">
      <c r="A8382" t="s">
        <v>27</v>
      </c>
      <c r="B8382" t="s">
        <v>21</v>
      </c>
      <c r="C8382" t="s">
        <v>18</v>
      </c>
      <c r="D8382" t="s">
        <v>17</v>
      </c>
      <c r="E8382">
        <v>0.35328681601175099</v>
      </c>
      <c r="F8382">
        <v>0.81730914687543099</v>
      </c>
      <c r="G8382">
        <v>13440.890156269001</v>
      </c>
      <c r="H8382">
        <v>269</v>
      </c>
      <c r="I8382">
        <v>307</v>
      </c>
      <c r="J8382">
        <v>30</v>
      </c>
    </row>
    <row r="8383" spans="1:10" x14ac:dyDescent="0.25">
      <c r="A8383" t="s">
        <v>27</v>
      </c>
      <c r="B8383" t="s">
        <v>21</v>
      </c>
      <c r="C8383" t="s">
        <v>18</v>
      </c>
      <c r="D8383" t="s">
        <v>17</v>
      </c>
      <c r="E8383">
        <v>0.32794711715020097</v>
      </c>
      <c r="F8383">
        <v>0.81740586323529196</v>
      </c>
      <c r="G8383">
        <v>13933.564337015099</v>
      </c>
      <c r="H8383">
        <v>266</v>
      </c>
      <c r="I8383">
        <v>316</v>
      </c>
      <c r="J8383">
        <v>30</v>
      </c>
    </row>
    <row r="8384" spans="1:10" x14ac:dyDescent="0.25">
      <c r="A8384" t="s">
        <v>27</v>
      </c>
      <c r="B8384" t="s">
        <v>21</v>
      </c>
      <c r="C8384" t="s">
        <v>18</v>
      </c>
      <c r="D8384" t="s">
        <v>17</v>
      </c>
      <c r="E8384">
        <v>0.29305912596401001</v>
      </c>
      <c r="F8384">
        <v>0.809543847899449</v>
      </c>
      <c r="G8384">
        <v>14100.751829385699</v>
      </c>
      <c r="H8384">
        <v>294</v>
      </c>
      <c r="I8384">
        <v>324</v>
      </c>
      <c r="J8384">
        <v>30</v>
      </c>
    </row>
    <row r="8385" spans="1:10" x14ac:dyDescent="0.25">
      <c r="A8385" t="s">
        <v>27</v>
      </c>
      <c r="B8385" t="s">
        <v>21</v>
      </c>
      <c r="C8385" t="s">
        <v>18</v>
      </c>
      <c r="D8385" t="s">
        <v>17</v>
      </c>
      <c r="E8385">
        <v>0.30444362835108302</v>
      </c>
      <c r="F8385">
        <v>0.81233991204124101</v>
      </c>
      <c r="G8385">
        <v>15233.1630916595</v>
      </c>
      <c r="H8385">
        <v>267</v>
      </c>
      <c r="I8385">
        <v>380</v>
      </c>
      <c r="J8385">
        <v>30</v>
      </c>
    </row>
    <row r="8386" spans="1:10" x14ac:dyDescent="0.25">
      <c r="A8386" t="s">
        <v>27</v>
      </c>
      <c r="B8386" t="s">
        <v>21</v>
      </c>
      <c r="C8386" t="s">
        <v>18</v>
      </c>
      <c r="D8386" t="s">
        <v>17</v>
      </c>
      <c r="E8386">
        <v>0.33455747337495401</v>
      </c>
      <c r="F8386">
        <v>0.81520320700183602</v>
      </c>
      <c r="G8386">
        <v>15360.6410758495</v>
      </c>
      <c r="H8386">
        <v>278</v>
      </c>
      <c r="I8386">
        <v>395</v>
      </c>
      <c r="J8386">
        <v>30</v>
      </c>
    </row>
    <row r="8387" spans="1:10" x14ac:dyDescent="0.25">
      <c r="A8387" t="s">
        <v>27</v>
      </c>
      <c r="B8387" t="s">
        <v>21</v>
      </c>
      <c r="C8387" t="s">
        <v>18</v>
      </c>
      <c r="D8387" t="s">
        <v>17</v>
      </c>
      <c r="E8387">
        <v>0.35916268821153102</v>
      </c>
      <c r="F8387">
        <v>0.82257906513165602</v>
      </c>
      <c r="G8387">
        <v>15433.853936195301</v>
      </c>
      <c r="H8387">
        <v>315</v>
      </c>
      <c r="I8387">
        <v>397</v>
      </c>
      <c r="J8387">
        <v>30</v>
      </c>
    </row>
    <row r="8388" spans="1:10" x14ac:dyDescent="0.25">
      <c r="A8388" t="s">
        <v>27</v>
      </c>
      <c r="B8388" t="s">
        <v>21</v>
      </c>
      <c r="C8388" t="s">
        <v>18</v>
      </c>
      <c r="D8388" t="s">
        <v>17</v>
      </c>
      <c r="E8388">
        <v>0.39588688946015399</v>
      </c>
      <c r="F8388">
        <v>0.82962683250778502</v>
      </c>
      <c r="G8388">
        <v>15579.634830713199</v>
      </c>
      <c r="H8388">
        <v>332</v>
      </c>
      <c r="I8388">
        <v>433</v>
      </c>
      <c r="J8388">
        <v>30</v>
      </c>
    </row>
    <row r="8389" spans="1:10" x14ac:dyDescent="0.25">
      <c r="A8389" t="s">
        <v>27</v>
      </c>
      <c r="B8389" t="s">
        <v>21</v>
      </c>
      <c r="C8389" t="s">
        <v>18</v>
      </c>
      <c r="D8389" t="s">
        <v>17</v>
      </c>
      <c r="E8389">
        <v>0.38193169298567697</v>
      </c>
      <c r="F8389">
        <v>0.82264295918424701</v>
      </c>
      <c r="G8389">
        <v>15673.709950447001</v>
      </c>
      <c r="H8389">
        <v>323</v>
      </c>
      <c r="I8389">
        <v>375</v>
      </c>
      <c r="J8389">
        <v>30</v>
      </c>
    </row>
    <row r="8390" spans="1:10" x14ac:dyDescent="0.25">
      <c r="A8390" t="s">
        <v>27</v>
      </c>
      <c r="B8390" t="s">
        <v>21</v>
      </c>
      <c r="C8390" t="s">
        <v>18</v>
      </c>
      <c r="D8390" t="s">
        <v>17</v>
      </c>
      <c r="E8390">
        <v>0.354755784061696</v>
      </c>
      <c r="F8390">
        <v>0.82062108001630496</v>
      </c>
      <c r="G8390">
        <v>15846.3705384731</v>
      </c>
      <c r="H8390">
        <v>363</v>
      </c>
      <c r="I8390">
        <v>445</v>
      </c>
      <c r="J8390">
        <v>30</v>
      </c>
    </row>
    <row r="8391" spans="1:10" x14ac:dyDescent="0.25">
      <c r="A8391" t="s">
        <v>27</v>
      </c>
      <c r="B8391" t="s">
        <v>21</v>
      </c>
      <c r="C8391" t="s">
        <v>18</v>
      </c>
      <c r="D8391" t="s">
        <v>17</v>
      </c>
      <c r="E8391">
        <v>0.34851266984943002</v>
      </c>
      <c r="F8391">
        <v>0.82104896630752799</v>
      </c>
      <c r="G8391">
        <v>15871.8768308162</v>
      </c>
      <c r="H8391">
        <v>310</v>
      </c>
      <c r="I8391">
        <v>389</v>
      </c>
      <c r="J8391">
        <v>30</v>
      </c>
    </row>
    <row r="8392" spans="1:10" x14ac:dyDescent="0.25">
      <c r="A8392" t="s">
        <v>27</v>
      </c>
      <c r="B8392" t="s">
        <v>21</v>
      </c>
      <c r="C8392" t="s">
        <v>18</v>
      </c>
      <c r="D8392" t="s">
        <v>17</v>
      </c>
      <c r="E8392">
        <v>0.39147998531031902</v>
      </c>
      <c r="F8392">
        <v>0.83181508025328599</v>
      </c>
      <c r="G8392">
        <v>16083.9278066158</v>
      </c>
      <c r="H8392">
        <v>364</v>
      </c>
      <c r="I8392">
        <v>477</v>
      </c>
      <c r="J8392">
        <v>30</v>
      </c>
    </row>
    <row r="8393" spans="1:10" x14ac:dyDescent="0.25">
      <c r="A8393" t="s">
        <v>27</v>
      </c>
      <c r="B8393" t="s">
        <v>21</v>
      </c>
      <c r="C8393" t="s">
        <v>18</v>
      </c>
      <c r="D8393" t="s">
        <v>17</v>
      </c>
      <c r="E8393">
        <v>0.35034887991186098</v>
      </c>
      <c r="F8393">
        <v>0.81653456652030698</v>
      </c>
      <c r="G8393">
        <v>16246.5710315704</v>
      </c>
      <c r="H8393">
        <v>365</v>
      </c>
      <c r="I8393">
        <v>469</v>
      </c>
      <c r="J8393">
        <v>30</v>
      </c>
    </row>
    <row r="8394" spans="1:10" x14ac:dyDescent="0.25">
      <c r="A8394" t="s">
        <v>27</v>
      </c>
      <c r="B8394" t="s">
        <v>21</v>
      </c>
      <c r="C8394" t="s">
        <v>18</v>
      </c>
      <c r="D8394" t="s">
        <v>17</v>
      </c>
      <c r="E8394">
        <v>0.37495409474843899</v>
      </c>
      <c r="F8394">
        <v>0.82281498859375601</v>
      </c>
      <c r="G8394">
        <v>16362.6519193649</v>
      </c>
      <c r="H8394">
        <v>383</v>
      </c>
      <c r="I8394">
        <v>418</v>
      </c>
      <c r="J8394">
        <v>30</v>
      </c>
    </row>
    <row r="8395" spans="1:10" x14ac:dyDescent="0.25">
      <c r="A8395" t="s">
        <v>27</v>
      </c>
      <c r="B8395" t="s">
        <v>21</v>
      </c>
      <c r="C8395" t="s">
        <v>18</v>
      </c>
      <c r="D8395" t="s">
        <v>17</v>
      </c>
      <c r="E8395">
        <v>0.39955930958501601</v>
      </c>
      <c r="F8395">
        <v>0.83046269509669601</v>
      </c>
      <c r="G8395">
        <v>16728.930998802101</v>
      </c>
      <c r="H8395">
        <v>412</v>
      </c>
      <c r="I8395">
        <v>574</v>
      </c>
      <c r="J8395">
        <v>30</v>
      </c>
    </row>
    <row r="8396" spans="1:10" x14ac:dyDescent="0.25">
      <c r="A8396" t="s">
        <v>27</v>
      </c>
      <c r="B8396" t="s">
        <v>21</v>
      </c>
      <c r="C8396" t="s">
        <v>18</v>
      </c>
      <c r="D8396" t="s">
        <v>17</v>
      </c>
      <c r="E8396">
        <v>0.38046272493573202</v>
      </c>
      <c r="F8396">
        <v>0.82220903867697404</v>
      </c>
      <c r="G8396">
        <v>17142.7424452304</v>
      </c>
      <c r="H8396">
        <v>468</v>
      </c>
      <c r="I8396">
        <v>572</v>
      </c>
      <c r="J8396">
        <v>30</v>
      </c>
    </row>
    <row r="8397" spans="1:10" x14ac:dyDescent="0.25">
      <c r="A8397" t="s">
        <v>27</v>
      </c>
      <c r="B8397" t="s">
        <v>21</v>
      </c>
      <c r="C8397" t="s">
        <v>18</v>
      </c>
      <c r="D8397" t="s">
        <v>17</v>
      </c>
      <c r="E8397">
        <v>0.45427836944546401</v>
      </c>
      <c r="F8397">
        <v>0.83526345799360802</v>
      </c>
      <c r="G8397">
        <v>17343.688866615201</v>
      </c>
      <c r="H8397">
        <v>512</v>
      </c>
      <c r="I8397">
        <v>688</v>
      </c>
      <c r="J8397">
        <v>30</v>
      </c>
    </row>
    <row r="8398" spans="1:10" x14ac:dyDescent="0.25">
      <c r="A8398" t="s">
        <v>27</v>
      </c>
      <c r="B8398" t="s">
        <v>21</v>
      </c>
      <c r="C8398" t="s">
        <v>18</v>
      </c>
      <c r="D8398" t="s">
        <v>17</v>
      </c>
      <c r="E8398">
        <v>0.49724568490635301</v>
      </c>
      <c r="F8398">
        <v>0.84277513577487995</v>
      </c>
      <c r="G8398">
        <v>17450.8472435474</v>
      </c>
      <c r="H8398">
        <v>548</v>
      </c>
      <c r="I8398">
        <v>789</v>
      </c>
      <c r="J8398">
        <v>30</v>
      </c>
    </row>
    <row r="8399" spans="1:10" x14ac:dyDescent="0.25">
      <c r="A8399" t="s">
        <v>27</v>
      </c>
      <c r="B8399" t="s">
        <v>21</v>
      </c>
      <c r="C8399" t="s">
        <v>18</v>
      </c>
      <c r="D8399" t="s">
        <v>17</v>
      </c>
      <c r="E8399">
        <v>0.45978699963275799</v>
      </c>
      <c r="F8399">
        <v>0.83605024796951899</v>
      </c>
      <c r="G8399">
        <v>17498.239409923499</v>
      </c>
      <c r="H8399">
        <v>526</v>
      </c>
      <c r="I8399">
        <v>757</v>
      </c>
      <c r="J8399">
        <v>30</v>
      </c>
    </row>
    <row r="8400" spans="1:10" x14ac:dyDescent="0.25">
      <c r="A8400" t="s">
        <v>27</v>
      </c>
      <c r="B8400" t="s">
        <v>21</v>
      </c>
      <c r="C8400" t="s">
        <v>18</v>
      </c>
      <c r="D8400" t="s">
        <v>17</v>
      </c>
      <c r="E8400">
        <v>0.52809401395519595</v>
      </c>
      <c r="F8400">
        <v>0.84566344990319298</v>
      </c>
      <c r="G8400">
        <v>17744.448536634402</v>
      </c>
      <c r="H8400">
        <v>702</v>
      </c>
      <c r="I8400">
        <v>1001</v>
      </c>
      <c r="J8400">
        <v>30</v>
      </c>
    </row>
    <row r="8401" spans="1:10" x14ac:dyDescent="0.25">
      <c r="A8401" t="s">
        <v>27</v>
      </c>
      <c r="B8401" t="s">
        <v>21</v>
      </c>
      <c r="C8401" t="s">
        <v>18</v>
      </c>
      <c r="D8401" t="s">
        <v>17</v>
      </c>
      <c r="E8401">
        <v>0.51230260741828804</v>
      </c>
      <c r="F8401">
        <v>0.84231398830752702</v>
      </c>
      <c r="G8401">
        <v>17854.727864742199</v>
      </c>
      <c r="H8401">
        <v>700</v>
      </c>
      <c r="I8401">
        <v>971</v>
      </c>
      <c r="J8401">
        <v>30</v>
      </c>
    </row>
  </sheetData>
  <conditionalFormatting sqref="N4:Q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4:W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strategy_experiment_2_30trials_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LachlanMcGinness</dc:creator>
  <cp:lastModifiedBy>Lachlan McGinness</cp:lastModifiedBy>
  <dcterms:created xsi:type="dcterms:W3CDTF">2025-11-25T19:44:29Z</dcterms:created>
  <dcterms:modified xsi:type="dcterms:W3CDTF">2025-11-27T00:45:39Z</dcterms:modified>
</cp:coreProperties>
</file>