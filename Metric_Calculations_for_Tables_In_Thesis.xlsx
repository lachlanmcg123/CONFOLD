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\GithubRepositories\CONFOLD\"/>
    </mc:Choice>
  </mc:AlternateContent>
  <xr:revisionPtr revIDLastSave="0" documentId="13_ncr:1_{05DCDD1C-A29B-45E7-8FAA-4057606CCA04}" xr6:coauthVersionLast="47" xr6:coauthVersionMax="47" xr10:uidLastSave="{00000000-0000-0000-0000-000000000000}"/>
  <bookViews>
    <workbookView xWindow="-120" yWindow="-120" windowWidth="29040" windowHeight="15720" xr2:uid="{9BD7EB32-8F69-40F7-B2D7-B7E140885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3" i="1" l="1"/>
  <c r="J23" i="1"/>
  <c r="E23" i="1"/>
  <c r="C23" i="1"/>
  <c r="J31" i="1"/>
  <c r="E31" i="1"/>
  <c r="C31" i="1"/>
  <c r="J30" i="1"/>
  <c r="E30" i="1"/>
  <c r="C30" i="1"/>
  <c r="C32" i="1"/>
  <c r="E32" i="1"/>
  <c r="F32" i="1"/>
  <c r="I32" i="1"/>
  <c r="J32" i="1"/>
  <c r="C33" i="1"/>
  <c r="E33" i="1"/>
  <c r="F33" i="1"/>
  <c r="J33" i="1"/>
  <c r="C34" i="1"/>
  <c r="E34" i="1"/>
  <c r="F34" i="1"/>
  <c r="G34" i="1"/>
  <c r="I34" i="1"/>
  <c r="J34" i="1"/>
  <c r="K34" i="1"/>
  <c r="L34" i="1"/>
  <c r="C35" i="1"/>
  <c r="E35" i="1"/>
  <c r="G35" i="1"/>
  <c r="J35" i="1"/>
  <c r="C36" i="1"/>
  <c r="E36" i="1"/>
  <c r="F36" i="1"/>
  <c r="G36" i="1"/>
  <c r="I36" i="1"/>
  <c r="J36" i="1"/>
  <c r="K36" i="1"/>
  <c r="L36" i="1"/>
  <c r="C37" i="1"/>
  <c r="E37" i="1"/>
  <c r="G37" i="1"/>
  <c r="I37" i="1"/>
  <c r="J37" i="1"/>
  <c r="K37" i="1"/>
  <c r="L37" i="1"/>
  <c r="C38" i="1"/>
  <c r="E38" i="1"/>
  <c r="F38" i="1"/>
  <c r="G38" i="1"/>
  <c r="I38" i="1"/>
  <c r="J38" i="1"/>
  <c r="K38" i="1"/>
  <c r="C39" i="1"/>
  <c r="E39" i="1"/>
  <c r="F39" i="1"/>
  <c r="G39" i="1"/>
  <c r="I39" i="1"/>
  <c r="J39" i="1"/>
  <c r="K39" i="1"/>
  <c r="C40" i="1"/>
  <c r="E40" i="1"/>
  <c r="F40" i="1"/>
  <c r="G40" i="1"/>
  <c r="I40" i="1"/>
  <c r="J40" i="1"/>
  <c r="K40" i="1"/>
  <c r="C41" i="1"/>
  <c r="E41" i="1"/>
  <c r="F41" i="1"/>
  <c r="G41" i="1"/>
  <c r="I41" i="1"/>
  <c r="J41" i="1"/>
  <c r="K41" i="1"/>
  <c r="C42" i="1"/>
  <c r="E42" i="1"/>
  <c r="F42" i="1"/>
  <c r="G42" i="1"/>
  <c r="I42" i="1"/>
  <c r="J42" i="1"/>
  <c r="K42" i="1"/>
  <c r="O42" i="1"/>
  <c r="M42" i="1"/>
  <c r="O41" i="1"/>
  <c r="M41" i="1"/>
  <c r="O40" i="1"/>
  <c r="M40" i="1"/>
  <c r="O39" i="1"/>
  <c r="M39" i="1"/>
  <c r="O38" i="1"/>
  <c r="M38" i="1"/>
  <c r="O37" i="1"/>
  <c r="M37" i="1"/>
  <c r="O36" i="1"/>
  <c r="M36" i="1"/>
  <c r="O34" i="1"/>
  <c r="M34" i="1"/>
  <c r="J10" i="1"/>
  <c r="E10" i="1"/>
  <c r="C10" i="1"/>
  <c r="J9" i="1"/>
  <c r="E9" i="1"/>
  <c r="C9" i="1"/>
  <c r="J19" i="1"/>
  <c r="E19" i="1"/>
  <c r="C19" i="1"/>
  <c r="J18" i="1"/>
  <c r="E18" i="1"/>
  <c r="C18" i="1"/>
  <c r="J17" i="1"/>
  <c r="E17" i="1"/>
  <c r="C17" i="1"/>
  <c r="J16" i="1"/>
  <c r="E16" i="1"/>
  <c r="C16" i="1"/>
  <c r="J15" i="1"/>
  <c r="E15" i="1"/>
  <c r="C15" i="1"/>
  <c r="C14" i="1"/>
  <c r="E14" i="1"/>
  <c r="G14" i="1"/>
  <c r="I14" i="1"/>
  <c r="J14" i="1"/>
  <c r="K14" i="1"/>
  <c r="M14" i="1"/>
  <c r="J13" i="1"/>
  <c r="E13" i="1"/>
  <c r="C13" i="1"/>
  <c r="J12" i="1"/>
  <c r="E12" i="1"/>
  <c r="C12" i="1"/>
  <c r="J11" i="1"/>
  <c r="E11" i="1"/>
  <c r="C11" i="1"/>
  <c r="J8" i="1"/>
  <c r="E8" i="1"/>
  <c r="C8" i="1"/>
  <c r="J5" i="1"/>
  <c r="J6" i="1"/>
  <c r="J7" i="1"/>
  <c r="J25" i="1"/>
  <c r="J26" i="1"/>
  <c r="J27" i="1"/>
  <c r="J28" i="1"/>
  <c r="J29" i="1"/>
  <c r="K4" i="1"/>
  <c r="J4" i="1"/>
  <c r="C28" i="1"/>
  <c r="C29" i="1"/>
  <c r="C27" i="1"/>
  <c r="C26" i="1"/>
  <c r="C25" i="1"/>
  <c r="E7" i="1"/>
  <c r="E25" i="1"/>
  <c r="E26" i="1"/>
  <c r="E27" i="1"/>
  <c r="E28" i="1"/>
  <c r="E29" i="1"/>
  <c r="C7" i="1"/>
  <c r="I4" i="1"/>
  <c r="F5" i="1"/>
  <c r="F6" i="1"/>
  <c r="G4" i="1"/>
  <c r="F4" i="1"/>
  <c r="E6" i="1"/>
  <c r="E5" i="1"/>
  <c r="K23" i="1" l="1"/>
  <c r="I23" i="1"/>
  <c r="G23" i="1"/>
  <c r="F23" i="1"/>
  <c r="H23" i="1" s="1"/>
  <c r="O23" i="1"/>
  <c r="L23" i="1"/>
  <c r="N23" i="1" s="1"/>
  <c r="G33" i="1"/>
  <c r="K31" i="1"/>
  <c r="L31" i="1" s="1"/>
  <c r="N31" i="1" s="1"/>
  <c r="I31" i="1"/>
  <c r="G31" i="1"/>
  <c r="F31" i="1"/>
  <c r="K30" i="1"/>
  <c r="L30" i="1" s="1"/>
  <c r="N30" i="1" s="1"/>
  <c r="I30" i="1"/>
  <c r="G30" i="1"/>
  <c r="F30" i="1"/>
  <c r="L39" i="1"/>
  <c r="F35" i="1"/>
  <c r="I35" i="1"/>
  <c r="K35" i="1"/>
  <c r="F37" i="1"/>
  <c r="L38" i="1"/>
  <c r="L40" i="1"/>
  <c r="L41" i="1"/>
  <c r="L42" i="1"/>
  <c r="N34" i="1"/>
  <c r="N36" i="1"/>
  <c r="N37" i="1"/>
  <c r="M4" i="1"/>
  <c r="G25" i="1"/>
  <c r="F25" i="1"/>
  <c r="H42" i="1"/>
  <c r="H34" i="1"/>
  <c r="H36" i="1"/>
  <c r="H38" i="1"/>
  <c r="H39" i="1"/>
  <c r="H40" i="1"/>
  <c r="H41" i="1"/>
  <c r="H4" i="1"/>
  <c r="F14" i="1"/>
  <c r="H14" i="1" s="1"/>
  <c r="L14" i="1"/>
  <c r="N14" i="1" s="1"/>
  <c r="K32" i="1"/>
  <c r="L32" i="1" s="1"/>
  <c r="N32" i="1" s="1"/>
  <c r="I33" i="1"/>
  <c r="K33" i="1"/>
  <c r="G32" i="1"/>
  <c r="I10" i="1"/>
  <c r="G10" i="1"/>
  <c r="F10" i="1"/>
  <c r="H10" i="1" s="1"/>
  <c r="K10" i="1"/>
  <c r="L10" i="1" s="1"/>
  <c r="N10" i="1" s="1"/>
  <c r="K9" i="1"/>
  <c r="L9" i="1" s="1"/>
  <c r="N9" i="1" s="1"/>
  <c r="I9" i="1"/>
  <c r="G9" i="1"/>
  <c r="F9" i="1"/>
  <c r="O14" i="1"/>
  <c r="O4" i="1"/>
  <c r="K19" i="1"/>
  <c r="L19" i="1" s="1"/>
  <c r="N19" i="1" s="1"/>
  <c r="I19" i="1"/>
  <c r="G19" i="1"/>
  <c r="F19" i="1"/>
  <c r="H19" i="1" s="1"/>
  <c r="K18" i="1"/>
  <c r="L18" i="1" s="1"/>
  <c r="N18" i="1" s="1"/>
  <c r="I18" i="1"/>
  <c r="G18" i="1"/>
  <c r="F18" i="1"/>
  <c r="H18" i="1" s="1"/>
  <c r="I17" i="1"/>
  <c r="K17" i="1"/>
  <c r="L17" i="1" s="1"/>
  <c r="N17" i="1" s="1"/>
  <c r="G17" i="1"/>
  <c r="F17" i="1"/>
  <c r="K16" i="1"/>
  <c r="L16" i="1" s="1"/>
  <c r="N16" i="1" s="1"/>
  <c r="I16" i="1"/>
  <c r="G16" i="1"/>
  <c r="F16" i="1"/>
  <c r="H16" i="1" s="1"/>
  <c r="K15" i="1"/>
  <c r="L15" i="1" s="1"/>
  <c r="N15" i="1" s="1"/>
  <c r="I15" i="1"/>
  <c r="G15" i="1"/>
  <c r="F15" i="1"/>
  <c r="H15" i="1" s="1"/>
  <c r="L4" i="1"/>
  <c r="N4" i="1" s="1"/>
  <c r="K13" i="1"/>
  <c r="L13" i="1" s="1"/>
  <c r="N13" i="1" s="1"/>
  <c r="I13" i="1"/>
  <c r="G13" i="1"/>
  <c r="F13" i="1"/>
  <c r="H13" i="1" s="1"/>
  <c r="K12" i="1"/>
  <c r="L12" i="1" s="1"/>
  <c r="N12" i="1" s="1"/>
  <c r="I12" i="1"/>
  <c r="G12" i="1"/>
  <c r="F12" i="1"/>
  <c r="H12" i="1" s="1"/>
  <c r="K5" i="1"/>
  <c r="O5" i="1" s="1"/>
  <c r="K6" i="1"/>
  <c r="K26" i="1"/>
  <c r="L26" i="1" s="1"/>
  <c r="N26" i="1" s="1"/>
  <c r="K27" i="1"/>
  <c r="L27" i="1" s="1"/>
  <c r="N27" i="1" s="1"/>
  <c r="K28" i="1"/>
  <c r="L28" i="1" s="1"/>
  <c r="N28" i="1" s="1"/>
  <c r="K29" i="1"/>
  <c r="L29" i="1" s="1"/>
  <c r="N29" i="1" s="1"/>
  <c r="K25" i="1"/>
  <c r="L25" i="1" s="1"/>
  <c r="N25" i="1" s="1"/>
  <c r="K11" i="1"/>
  <c r="L11" i="1" s="1"/>
  <c r="N11" i="1" s="1"/>
  <c r="I11" i="1"/>
  <c r="G11" i="1"/>
  <c r="F11" i="1"/>
  <c r="K8" i="1"/>
  <c r="L8" i="1" s="1"/>
  <c r="N8" i="1" s="1"/>
  <c r="I8" i="1"/>
  <c r="G8" i="1"/>
  <c r="F8" i="1"/>
  <c r="H8" i="1" s="1"/>
  <c r="K7" i="1"/>
  <c r="I25" i="1"/>
  <c r="F26" i="1"/>
  <c r="G26" i="1"/>
  <c r="I26" i="1"/>
  <c r="F27" i="1"/>
  <c r="G27" i="1"/>
  <c r="I27" i="1"/>
  <c r="F28" i="1"/>
  <c r="G28" i="1"/>
  <c r="I28" i="1"/>
  <c r="F29" i="1"/>
  <c r="G29" i="1"/>
  <c r="I29" i="1"/>
  <c r="G7" i="1"/>
  <c r="F7" i="1"/>
  <c r="H7" i="1" s="1"/>
  <c r="I7" i="1"/>
  <c r="I5" i="1"/>
  <c r="I6" i="1"/>
  <c r="G5" i="1"/>
  <c r="G6" i="1"/>
  <c r="H17" i="1" l="1"/>
  <c r="H33" i="1"/>
  <c r="O31" i="1"/>
  <c r="M31" i="1"/>
  <c r="H31" i="1"/>
  <c r="H9" i="1"/>
  <c r="H11" i="1"/>
  <c r="H30" i="1"/>
  <c r="O30" i="1"/>
  <c r="M30" i="1"/>
  <c r="H25" i="1"/>
  <c r="M35" i="1"/>
  <c r="O35" i="1"/>
  <c r="L35" i="1"/>
  <c r="N35" i="1" s="1"/>
  <c r="N38" i="1"/>
  <c r="N39" i="1"/>
  <c r="N40" i="1"/>
  <c r="N41" i="1"/>
  <c r="N42" i="1"/>
  <c r="H35" i="1"/>
  <c r="H37" i="1"/>
  <c r="H28" i="1"/>
  <c r="H27" i="1"/>
  <c r="H26" i="1"/>
  <c r="H29" i="1"/>
  <c r="H32" i="1"/>
  <c r="H5" i="1"/>
  <c r="H6" i="1"/>
  <c r="M33" i="1"/>
  <c r="O33" i="1"/>
  <c r="L33" i="1"/>
  <c r="N33" i="1" s="1"/>
  <c r="O32" i="1"/>
  <c r="M32" i="1"/>
  <c r="O29" i="1"/>
  <c r="M29" i="1"/>
  <c r="O28" i="1"/>
  <c r="M28" i="1"/>
  <c r="O27" i="1"/>
  <c r="M27" i="1"/>
  <c r="O26" i="1"/>
  <c r="M26" i="1"/>
  <c r="O25" i="1"/>
  <c r="M25" i="1"/>
  <c r="O10" i="1"/>
  <c r="M9" i="1"/>
  <c r="M10" i="1"/>
  <c r="O9" i="1"/>
  <c r="O15" i="1"/>
  <c r="O16" i="1"/>
  <c r="O17" i="1"/>
  <c r="O18" i="1"/>
  <c r="O19" i="1"/>
  <c r="O8" i="1"/>
  <c r="O11" i="1"/>
  <c r="O12" i="1"/>
  <c r="O13" i="1"/>
  <c r="L6" i="1"/>
  <c r="N6" i="1" s="1"/>
  <c r="O6" i="1"/>
  <c r="L7" i="1"/>
  <c r="N7" i="1" s="1"/>
  <c r="O7" i="1"/>
  <c r="M19" i="1"/>
  <c r="M18" i="1"/>
  <c r="M17" i="1"/>
  <c r="M16" i="1"/>
  <c r="M15" i="1"/>
  <c r="M13" i="1"/>
  <c r="M12" i="1"/>
  <c r="M5" i="1"/>
  <c r="M6" i="1"/>
  <c r="L5" i="1"/>
  <c r="N5" i="1" s="1"/>
  <c r="M11" i="1"/>
  <c r="M8" i="1"/>
  <c r="M7" i="1"/>
</calcChain>
</file>

<file path=xl/sharedStrings.xml><?xml version="1.0" encoding="utf-8"?>
<sst xmlns="http://schemas.openxmlformats.org/spreadsheetml/2006/main" count="30" uniqueCount="16">
  <si>
    <t>fp</t>
  </si>
  <si>
    <t>tn</t>
  </si>
  <si>
    <t>tp</t>
  </si>
  <si>
    <t>fn</t>
  </si>
  <si>
    <t>tptn</t>
  </si>
  <si>
    <t>fpfn</t>
  </si>
  <si>
    <t>tp+tn-fp-fn</t>
  </si>
  <si>
    <t>tptn-fpfn</t>
  </si>
  <si>
    <t>Uneven classes (more negative examples)</t>
  </si>
  <si>
    <t>H_norm</t>
  </si>
  <si>
    <t>H_FOLD</t>
  </si>
  <si>
    <t>GI</t>
  </si>
  <si>
    <t>tot_p</t>
  </si>
  <si>
    <t>tot_n</t>
  </si>
  <si>
    <t>tot</t>
  </si>
  <si>
    <t>Even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</si>
</sst>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8DDA-55E9-49C3-AE3D-A060C467201E}">
  <dimension ref="B2:O42"/>
  <sheetViews>
    <sheetView tabSelected="1" topLeftCell="A19" workbookViewId="0">
      <selection activeCell="M24" sqref="M24"/>
    </sheetView>
  </sheetViews>
  <sheetFormatPr defaultRowHeight="15" x14ac:dyDescent="0.25"/>
  <sheetData>
    <row r="2" spans="2:15" x14ac:dyDescent="0.25">
      <c r="B2" t="s">
        <v>15</v>
      </c>
    </row>
    <row r="3" spans="2:15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7</v>
      </c>
      <c r="I3" t="s">
        <v>6</v>
      </c>
      <c r="J3" t="s">
        <v>12</v>
      </c>
      <c r="K3" t="s">
        <v>13</v>
      </c>
      <c r="L3" t="s">
        <v>14</v>
      </c>
      <c r="M3" t="s">
        <v>9</v>
      </c>
      <c r="N3" t="s">
        <v>10</v>
      </c>
      <c r="O3" t="s">
        <v>11</v>
      </c>
    </row>
    <row r="4" spans="2:15" x14ac:dyDescent="0.25">
      <c r="B4">
        <v>50</v>
      </c>
      <c r="C4">
        <v>150</v>
      </c>
      <c r="D4">
        <v>1</v>
      </c>
      <c r="E4">
        <v>199</v>
      </c>
      <c r="F4">
        <f>D4*C4</f>
        <v>150</v>
      </c>
      <c r="G4">
        <f>E4*B4</f>
        <v>9950</v>
      </c>
      <c r="H4">
        <f>F4-G4</f>
        <v>-9800</v>
      </c>
      <c r="I4">
        <f>D4+C4-E4-B4</f>
        <v>-98</v>
      </c>
      <c r="J4">
        <f>D4+B4</f>
        <v>51</v>
      </c>
      <c r="K4">
        <f>E4+C4</f>
        <v>349</v>
      </c>
      <c r="L4">
        <f>K4+J4</f>
        <v>400</v>
      </c>
      <c r="M4">
        <f>-D4/J4*LN(D4/J4)-B4/J4*LN(B4/J4)-C4/K4*LN(C4/K4)-E4/K4*LN(E4/K4)</f>
        <v>0.77976726048962863</v>
      </c>
      <c r="N4">
        <f>-D4/L4*LN(D4/J4)-B4/L4*LN(B4/J4)-C4/L4*LN(C4/K4)-E4/L4*LN(E4/K4)</f>
        <v>0.60844775902892012</v>
      </c>
      <c r="O4">
        <f>D4/J4*(1-D4/J4)+B4/J4*(1-B4/J4)+C4/K4*(1-C4/K4)+E4/K4*(1-E4/K4)</f>
        <v>0.52859051033195714</v>
      </c>
    </row>
    <row r="5" spans="2:15" x14ac:dyDescent="0.25">
      <c r="B5">
        <v>50</v>
      </c>
      <c r="C5">
        <v>150</v>
      </c>
      <c r="D5">
        <v>2</v>
      </c>
      <c r="E5">
        <f>200-D5</f>
        <v>198</v>
      </c>
      <c r="F5">
        <f t="shared" ref="F5:F6" si="0">D5*C5</f>
        <v>300</v>
      </c>
      <c r="G5">
        <f t="shared" ref="G5:G6" si="1">E5*B5</f>
        <v>9900</v>
      </c>
      <c r="H5">
        <f t="shared" ref="H5:H19" si="2">F5-G5</f>
        <v>-9600</v>
      </c>
      <c r="I5">
        <f t="shared" ref="I5:I6" si="3">D5+C5-E5-B5</f>
        <v>-96</v>
      </c>
      <c r="J5">
        <f t="shared" ref="J5:J29" si="4">D5+B5</f>
        <v>52</v>
      </c>
      <c r="K5">
        <f t="shared" ref="K5:K29" si="5">E5+C5</f>
        <v>348</v>
      </c>
      <c r="L5">
        <f t="shared" ref="L5:L29" si="6">K5+J5</f>
        <v>400</v>
      </c>
      <c r="M5">
        <f t="shared" ref="M5:M7" si="7">-D5/J5*LN(D5/J5)-B5/J5*LN(B5/J5)-C5/K5*LN(C5/K5)-E5/K5*LN(E5/K5)</f>
        <v>0.84662793055632202</v>
      </c>
      <c r="N5">
        <f t="shared" ref="N5:N19" si="8">-D5/L5*LN(D5/J5)-B5/L5*LN(B5/J5)-C5/L5*LN(C5/K5)-E5/L5*LN(E5/K5)</f>
        <v>0.61592881375816932</v>
      </c>
      <c r="O5">
        <f t="shared" ref="O5:O19" si="9">D5/J5*(1-D5/J5)+B5/J5*(1-B5/J5)+C5/K5*(1-C5/K5)+E5/K5*(1-E5/K5)</f>
        <v>0.56445201190467809</v>
      </c>
    </row>
    <row r="6" spans="2:15" x14ac:dyDescent="0.25">
      <c r="B6">
        <v>50</v>
      </c>
      <c r="C6">
        <v>150</v>
      </c>
      <c r="D6">
        <v>5</v>
      </c>
      <c r="E6">
        <f>200-D6</f>
        <v>195</v>
      </c>
      <c r="F6">
        <f t="shared" si="0"/>
        <v>750</v>
      </c>
      <c r="G6">
        <f t="shared" si="1"/>
        <v>9750</v>
      </c>
      <c r="H6">
        <f t="shared" si="2"/>
        <v>-9000</v>
      </c>
      <c r="I6">
        <f t="shared" si="3"/>
        <v>-90</v>
      </c>
      <c r="J6">
        <f t="shared" si="4"/>
        <v>55</v>
      </c>
      <c r="K6">
        <f t="shared" si="5"/>
        <v>345</v>
      </c>
      <c r="L6">
        <f t="shared" si="6"/>
        <v>400</v>
      </c>
      <c r="M6">
        <f t="shared" si="7"/>
        <v>0.98925237515054287</v>
      </c>
      <c r="N6">
        <f t="shared" si="8"/>
        <v>0.63236900298914556</v>
      </c>
      <c r="O6">
        <f t="shared" si="9"/>
        <v>0.65678263994125829</v>
      </c>
    </row>
    <row r="7" spans="2:15" x14ac:dyDescent="0.25">
      <c r="B7">
        <v>50</v>
      </c>
      <c r="C7">
        <f>200-B7</f>
        <v>150</v>
      </c>
      <c r="D7">
        <v>10</v>
      </c>
      <c r="E7">
        <f t="shared" ref="E7:E42" si="10">200-D7</f>
        <v>190</v>
      </c>
      <c r="F7">
        <f t="shared" ref="F7:F29" si="11">D7*C7</f>
        <v>1500</v>
      </c>
      <c r="G7">
        <f t="shared" ref="G7:G29" si="12">E7*B7</f>
        <v>9500</v>
      </c>
      <c r="H7">
        <f t="shared" si="2"/>
        <v>-8000</v>
      </c>
      <c r="I7">
        <f t="shared" ref="I7:I29" si="13">D7+C7-E7-B7</f>
        <v>-80</v>
      </c>
      <c r="J7">
        <f t="shared" si="4"/>
        <v>60</v>
      </c>
      <c r="K7">
        <f t="shared" si="5"/>
        <v>340</v>
      </c>
      <c r="L7">
        <f t="shared" si="6"/>
        <v>400</v>
      </c>
      <c r="M7">
        <f t="shared" si="7"/>
        <v>1.1367719211090683</v>
      </c>
      <c r="N7">
        <f t="shared" si="8"/>
        <v>0.6508632867362949</v>
      </c>
      <c r="O7">
        <f t="shared" si="9"/>
        <v>0.7708573625528643</v>
      </c>
    </row>
    <row r="8" spans="2:15" x14ac:dyDescent="0.25">
      <c r="B8">
        <v>50</v>
      </c>
      <c r="C8">
        <f>200-B8</f>
        <v>150</v>
      </c>
      <c r="D8">
        <v>20</v>
      </c>
      <c r="E8">
        <f t="shared" si="10"/>
        <v>180</v>
      </c>
      <c r="F8">
        <f t="shared" ref="F8" si="14">D8*C8</f>
        <v>3000</v>
      </c>
      <c r="G8">
        <f t="shared" ref="G8" si="15">E8*B8</f>
        <v>9000</v>
      </c>
      <c r="H8">
        <f t="shared" si="2"/>
        <v>-6000</v>
      </c>
      <c r="I8">
        <f t="shared" ref="I8" si="16">D8+C8-E8-B8</f>
        <v>-60</v>
      </c>
      <c r="J8">
        <f t="shared" ref="J8" si="17">D8+B8</f>
        <v>70</v>
      </c>
      <c r="K8">
        <f t="shared" ref="K8" si="18">E8+C8</f>
        <v>330</v>
      </c>
      <c r="L8">
        <f t="shared" ref="L8" si="19">K8+J8</f>
        <v>400</v>
      </c>
      <c r="M8">
        <f t="shared" ref="M8" si="20">-D8/J8*LN(D8/J8)-B8/J8*LN(B8/J8)-C8/K8*LN(C8/K8)-E8/K8*LN(E8/K8)</f>
        <v>1.2872788270619158</v>
      </c>
      <c r="N8">
        <f t="shared" si="8"/>
        <v>0.67312979974566334</v>
      </c>
      <c r="O8">
        <f t="shared" si="9"/>
        <v>0.90403103390116368</v>
      </c>
    </row>
    <row r="9" spans="2:15" x14ac:dyDescent="0.25">
      <c r="B9">
        <v>50</v>
      </c>
      <c r="C9">
        <f>200-B9</f>
        <v>150</v>
      </c>
      <c r="D9">
        <v>48</v>
      </c>
      <c r="E9">
        <f t="shared" si="10"/>
        <v>152</v>
      </c>
      <c r="F9">
        <f t="shared" ref="F9:F10" si="21">D9*C9</f>
        <v>7200</v>
      </c>
      <c r="G9">
        <f t="shared" ref="G9:G10" si="22">E9*B9</f>
        <v>7600</v>
      </c>
      <c r="H9">
        <f t="shared" si="2"/>
        <v>-400</v>
      </c>
      <c r="I9">
        <f t="shared" ref="I9:I10" si="23">D9+C9-E9-B9</f>
        <v>-4</v>
      </c>
      <c r="J9">
        <f t="shared" ref="J9:J10" si="24">D9+B9</f>
        <v>98</v>
      </c>
      <c r="K9">
        <f t="shared" ref="K9:K10" si="25">E9+C9</f>
        <v>302</v>
      </c>
      <c r="L9">
        <f t="shared" ref="L9:L10" si="26">K9+J9</f>
        <v>400</v>
      </c>
      <c r="M9">
        <f t="shared" ref="M9:M10" si="27">-D9/J9*LN(D9/J9)-B9/J9*LN(B9/J9)-C9/K9*LN(C9/K9)-E9/K9*LN(E9/K9)</f>
        <v>1.3860641710749426</v>
      </c>
      <c r="N9">
        <f t="shared" si="8"/>
        <v>0.69307960019717063</v>
      </c>
      <c r="O9">
        <f t="shared" ref="O9:O10" si="28">D9/J9*(1-D9/J9)+B9/J9*(1-B9/J9)+C9/K9*(1-C9/K9)+E9/K9*(1-E9/K9)</f>
        <v>0.9997698245732991</v>
      </c>
    </row>
    <row r="10" spans="2:15" x14ac:dyDescent="0.25">
      <c r="B10">
        <v>50</v>
      </c>
      <c r="C10">
        <f>200-B10</f>
        <v>150</v>
      </c>
      <c r="D10">
        <v>49</v>
      </c>
      <c r="E10">
        <f t="shared" si="10"/>
        <v>151</v>
      </c>
      <c r="F10">
        <f t="shared" si="21"/>
        <v>7350</v>
      </c>
      <c r="G10">
        <f t="shared" si="22"/>
        <v>7550</v>
      </c>
      <c r="H10">
        <f t="shared" si="2"/>
        <v>-200</v>
      </c>
      <c r="I10">
        <f t="shared" si="23"/>
        <v>-2</v>
      </c>
      <c r="J10">
        <f t="shared" si="24"/>
        <v>99</v>
      </c>
      <c r="K10">
        <f t="shared" si="25"/>
        <v>301</v>
      </c>
      <c r="L10">
        <f t="shared" si="26"/>
        <v>400</v>
      </c>
      <c r="M10">
        <f t="shared" si="27"/>
        <v>1.3862378263367718</v>
      </c>
      <c r="N10">
        <f t="shared" si="8"/>
        <v>0.6931304012510402</v>
      </c>
      <c r="O10">
        <f t="shared" si="28"/>
        <v>0.99994346609458562</v>
      </c>
    </row>
    <row r="11" spans="2:15" x14ac:dyDescent="0.25">
      <c r="B11">
        <v>50</v>
      </c>
      <c r="C11">
        <f>200-B11</f>
        <v>150</v>
      </c>
      <c r="D11">
        <v>50</v>
      </c>
      <c r="E11">
        <f t="shared" si="10"/>
        <v>150</v>
      </c>
      <c r="F11">
        <f t="shared" ref="F11" si="29">D11*C11</f>
        <v>7500</v>
      </c>
      <c r="G11">
        <f t="shared" ref="G11" si="30">E11*B11</f>
        <v>7500</v>
      </c>
      <c r="H11">
        <f t="shared" si="2"/>
        <v>0</v>
      </c>
      <c r="I11">
        <f t="shared" ref="I11" si="31">D11+C11-E11-B11</f>
        <v>0</v>
      </c>
      <c r="J11">
        <f t="shared" ref="J11" si="32">D11+B11</f>
        <v>100</v>
      </c>
      <c r="K11">
        <f t="shared" ref="K11" si="33">E11+C11</f>
        <v>300</v>
      </c>
      <c r="L11">
        <f t="shared" ref="L11" si="34">K11+J11</f>
        <v>400</v>
      </c>
      <c r="M11">
        <f t="shared" ref="M11" si="35">-D11/J11*LN(D11/J11)-B11/J11*LN(B11/J11)-C11/K11*LN(C11/K11)-E11/K11*LN(E11/K11)</f>
        <v>1.3862943611198906</v>
      </c>
      <c r="N11">
        <f t="shared" si="8"/>
        <v>0.69314718055994518</v>
      </c>
      <c r="O11">
        <f t="shared" si="9"/>
        <v>1</v>
      </c>
    </row>
    <row r="12" spans="2:15" x14ac:dyDescent="0.25">
      <c r="B12">
        <v>50</v>
      </c>
      <c r="C12">
        <f>200-B12</f>
        <v>150</v>
      </c>
      <c r="D12">
        <v>51</v>
      </c>
      <c r="E12">
        <f t="shared" si="10"/>
        <v>149</v>
      </c>
      <c r="F12">
        <f t="shared" ref="F12" si="36">D12*C12</f>
        <v>7650</v>
      </c>
      <c r="G12">
        <f t="shared" ref="G12" si="37">E12*B12</f>
        <v>7450</v>
      </c>
      <c r="H12">
        <f t="shared" si="2"/>
        <v>200</v>
      </c>
      <c r="I12">
        <f t="shared" ref="I12" si="38">D12+C12-E12-B12</f>
        <v>2</v>
      </c>
      <c r="J12">
        <f t="shared" ref="J12" si="39">D12+B12</f>
        <v>101</v>
      </c>
      <c r="K12">
        <f t="shared" ref="K12" si="40">E12+C12</f>
        <v>299</v>
      </c>
      <c r="L12">
        <f t="shared" ref="L12" si="41">K12+J12</f>
        <v>400</v>
      </c>
      <c r="M12">
        <f t="shared" ref="M12" si="42">-D12/J12*LN(D12/J12)-B12/J12*LN(B12/J12)-C12/K12*LN(C12/K12)-E12/K12*LN(E12/K12)</f>
        <v>1.3862397527275412</v>
      </c>
      <c r="N12">
        <f t="shared" si="8"/>
        <v>0.69313062351030696</v>
      </c>
      <c r="O12">
        <f t="shared" si="9"/>
        <v>0.99994539241892544</v>
      </c>
    </row>
    <row r="13" spans="2:15" x14ac:dyDescent="0.25">
      <c r="B13">
        <v>50</v>
      </c>
      <c r="C13">
        <f>200-B13</f>
        <v>150</v>
      </c>
      <c r="D13">
        <v>52</v>
      </c>
      <c r="E13">
        <f t="shared" si="10"/>
        <v>148</v>
      </c>
      <c r="F13">
        <f t="shared" ref="F13" si="43">D13*C13</f>
        <v>7800</v>
      </c>
      <c r="G13">
        <f t="shared" ref="G13" si="44">E13*B13</f>
        <v>7400</v>
      </c>
      <c r="H13">
        <f t="shared" si="2"/>
        <v>400</v>
      </c>
      <c r="I13">
        <f t="shared" ref="I13" si="45">D13+C13-E13-B13</f>
        <v>4</v>
      </c>
      <c r="J13">
        <f t="shared" ref="J13" si="46">D13+B13</f>
        <v>102</v>
      </c>
      <c r="K13">
        <f t="shared" ref="K13" si="47">E13+C13</f>
        <v>298</v>
      </c>
      <c r="L13">
        <f t="shared" ref="L13" si="48">K13+J13</f>
        <v>400</v>
      </c>
      <c r="M13">
        <f t="shared" ref="M13" si="49">-D13/J13*LN(D13/J13)-B13/J13*LN(B13/J13)-C13/K13*LN(C13/K13)-E13/K13*LN(E13/K13)</f>
        <v>1.3860795933666932</v>
      </c>
      <c r="N13">
        <f t="shared" si="8"/>
        <v>0.69308137916109314</v>
      </c>
      <c r="O13">
        <f t="shared" si="9"/>
        <v>0.99978524473571218</v>
      </c>
    </row>
    <row r="14" spans="2:15" x14ac:dyDescent="0.25">
      <c r="B14">
        <v>50</v>
      </c>
      <c r="C14">
        <f>200-B14</f>
        <v>150</v>
      </c>
      <c r="D14">
        <v>70</v>
      </c>
      <c r="E14">
        <f t="shared" si="10"/>
        <v>130</v>
      </c>
      <c r="F14">
        <f t="shared" ref="F14:F17" si="50">D14*C14</f>
        <v>10500</v>
      </c>
      <c r="G14">
        <f t="shared" ref="G14:G17" si="51">E14*B14</f>
        <v>6500</v>
      </c>
      <c r="H14">
        <f t="shared" si="2"/>
        <v>4000</v>
      </c>
      <c r="I14">
        <f t="shared" ref="I14:I17" si="52">D14+C14-E14-B14</f>
        <v>40</v>
      </c>
      <c r="J14">
        <f t="shared" ref="J14:J17" si="53">D14+B14</f>
        <v>120</v>
      </c>
      <c r="K14">
        <f t="shared" ref="K14:K17" si="54">E14+C14</f>
        <v>280</v>
      </c>
      <c r="L14">
        <f t="shared" ref="L14:L17" si="55">K14+J14</f>
        <v>400</v>
      </c>
      <c r="M14">
        <f t="shared" ref="M14:M17" si="56">-D14/J14*LN(D14/J14)-B14/J14*LN(B14/J14)-C14/K14*LN(C14/K14)-E14/K14*LN(E14/K14)</f>
        <v>1.3697872524691177</v>
      </c>
      <c r="N14">
        <f t="shared" si="8"/>
        <v>0.68717377033177218</v>
      </c>
      <c r="O14">
        <f t="shared" si="9"/>
        <v>0.98356009070294781</v>
      </c>
    </row>
    <row r="15" spans="2:15" x14ac:dyDescent="0.25">
      <c r="B15">
        <v>50</v>
      </c>
      <c r="C15">
        <f>200-B15</f>
        <v>150</v>
      </c>
      <c r="D15">
        <v>100</v>
      </c>
      <c r="E15">
        <f t="shared" si="10"/>
        <v>100</v>
      </c>
      <c r="F15">
        <f t="shared" si="50"/>
        <v>15000</v>
      </c>
      <c r="G15">
        <f t="shared" si="51"/>
        <v>5000</v>
      </c>
      <c r="H15">
        <f t="shared" si="2"/>
        <v>10000</v>
      </c>
      <c r="I15">
        <f t="shared" si="52"/>
        <v>100</v>
      </c>
      <c r="J15">
        <f t="shared" si="53"/>
        <v>150</v>
      </c>
      <c r="K15">
        <f t="shared" si="54"/>
        <v>250</v>
      </c>
      <c r="L15">
        <f t="shared" si="55"/>
        <v>400</v>
      </c>
      <c r="M15">
        <f t="shared" si="56"/>
        <v>1.3095258353040693</v>
      </c>
      <c r="N15">
        <f t="shared" si="8"/>
        <v>0.65932510499134012</v>
      </c>
      <c r="O15">
        <f t="shared" si="9"/>
        <v>0.9244444444444444</v>
      </c>
    </row>
    <row r="16" spans="2:15" x14ac:dyDescent="0.25">
      <c r="B16">
        <v>50</v>
      </c>
      <c r="C16">
        <f>200-B16</f>
        <v>150</v>
      </c>
      <c r="D16">
        <v>120</v>
      </c>
      <c r="E16">
        <f t="shared" si="10"/>
        <v>80</v>
      </c>
      <c r="F16">
        <f t="shared" si="50"/>
        <v>18000</v>
      </c>
      <c r="G16">
        <f t="shared" si="51"/>
        <v>4000</v>
      </c>
      <c r="H16">
        <f t="shared" si="2"/>
        <v>14000</v>
      </c>
      <c r="I16">
        <f t="shared" si="52"/>
        <v>140</v>
      </c>
      <c r="J16">
        <f t="shared" si="53"/>
        <v>170</v>
      </c>
      <c r="K16">
        <f t="shared" si="54"/>
        <v>230</v>
      </c>
      <c r="L16">
        <f t="shared" si="55"/>
        <v>400</v>
      </c>
      <c r="M16">
        <f t="shared" si="56"/>
        <v>1.2518880044331129</v>
      </c>
      <c r="N16">
        <f t="shared" si="8"/>
        <v>0.62896597764319417</v>
      </c>
      <c r="O16">
        <f t="shared" si="9"/>
        <v>0.86891111387288156</v>
      </c>
    </row>
    <row r="17" spans="2:15" x14ac:dyDescent="0.25">
      <c r="B17">
        <v>50</v>
      </c>
      <c r="C17">
        <f>200-B17</f>
        <v>150</v>
      </c>
      <c r="D17">
        <v>150</v>
      </c>
      <c r="E17">
        <f t="shared" si="10"/>
        <v>50</v>
      </c>
      <c r="F17">
        <f t="shared" si="50"/>
        <v>22500</v>
      </c>
      <c r="G17">
        <f t="shared" si="51"/>
        <v>2500</v>
      </c>
      <c r="H17">
        <f t="shared" si="2"/>
        <v>20000</v>
      </c>
      <c r="I17">
        <f t="shared" si="52"/>
        <v>200</v>
      </c>
      <c r="J17">
        <f t="shared" si="53"/>
        <v>200</v>
      </c>
      <c r="K17">
        <f t="shared" si="54"/>
        <v>200</v>
      </c>
      <c r="L17">
        <f t="shared" si="55"/>
        <v>400</v>
      </c>
      <c r="M17">
        <f t="shared" si="56"/>
        <v>1.1246702892376166</v>
      </c>
      <c r="N17">
        <f t="shared" si="8"/>
        <v>0.56233514461880829</v>
      </c>
      <c r="O17">
        <f t="shared" si="9"/>
        <v>0.75</v>
      </c>
    </row>
    <row r="18" spans="2:15" x14ac:dyDescent="0.25">
      <c r="B18">
        <v>50</v>
      </c>
      <c r="C18">
        <f>200-B18</f>
        <v>150</v>
      </c>
      <c r="D18">
        <v>180</v>
      </c>
      <c r="E18">
        <f t="shared" si="10"/>
        <v>20</v>
      </c>
      <c r="F18">
        <f t="shared" ref="F18:F19" si="57">D18*C18</f>
        <v>27000</v>
      </c>
      <c r="G18">
        <f t="shared" ref="G18:G19" si="58">E18*B18</f>
        <v>1000</v>
      </c>
      <c r="H18">
        <f t="shared" si="2"/>
        <v>26000</v>
      </c>
      <c r="I18">
        <f t="shared" ref="I18:I19" si="59">D18+C18-E18-B18</f>
        <v>260</v>
      </c>
      <c r="J18">
        <f t="shared" ref="J18:J19" si="60">D18+B18</f>
        <v>230</v>
      </c>
      <c r="K18">
        <f t="shared" ref="K18:K19" si="61">E18+C18</f>
        <v>170</v>
      </c>
      <c r="L18">
        <f t="shared" ref="L18:L19" si="62">K18+J18</f>
        <v>400</v>
      </c>
      <c r="M18">
        <f t="shared" ref="M18:M19" si="63">-D18/J18*LN(D18/J18)-B18/J18*LN(B18/J18)-C18/K18*LN(C18/K18)-E18/K18*LN(E18/K18)</f>
        <v>0.88579689461670874</v>
      </c>
      <c r="N18">
        <f t="shared" si="8"/>
        <v>0.45500163083429024</v>
      </c>
      <c r="O18">
        <f t="shared" si="9"/>
        <v>0.54787710703095882</v>
      </c>
    </row>
    <row r="19" spans="2:15" x14ac:dyDescent="0.25">
      <c r="B19">
        <v>50</v>
      </c>
      <c r="C19">
        <f>200-B19</f>
        <v>150</v>
      </c>
      <c r="D19">
        <v>190</v>
      </c>
      <c r="E19">
        <f t="shared" si="10"/>
        <v>10</v>
      </c>
      <c r="F19">
        <f t="shared" si="57"/>
        <v>28500</v>
      </c>
      <c r="G19">
        <f t="shared" si="58"/>
        <v>500</v>
      </c>
      <c r="H19">
        <f t="shared" si="2"/>
        <v>28000</v>
      </c>
      <c r="I19">
        <f t="shared" si="59"/>
        <v>280</v>
      </c>
      <c r="J19">
        <f t="shared" si="60"/>
        <v>240</v>
      </c>
      <c r="K19">
        <f t="shared" si="61"/>
        <v>160</v>
      </c>
      <c r="L19">
        <f t="shared" si="62"/>
        <v>400</v>
      </c>
      <c r="M19">
        <f t="shared" si="63"/>
        <v>0.7455317321238687</v>
      </c>
      <c r="N19">
        <f t="shared" si="8"/>
        <v>0.40056070753302936</v>
      </c>
      <c r="O19">
        <f t="shared" si="9"/>
        <v>0.44704861111111116</v>
      </c>
    </row>
    <row r="21" spans="2:15" ht="14.25" customHeight="1" x14ac:dyDescent="0.25">
      <c r="B21" t="s">
        <v>8</v>
      </c>
    </row>
    <row r="22" spans="2:15" x14ac:dyDescent="0.25"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7</v>
      </c>
      <c r="I22" t="s">
        <v>6</v>
      </c>
      <c r="J22" t="s">
        <v>12</v>
      </c>
      <c r="K22" t="s">
        <v>13</v>
      </c>
      <c r="L22" t="s">
        <v>14</v>
      </c>
      <c r="M22" t="s">
        <v>9</v>
      </c>
      <c r="N22" t="s">
        <v>10</v>
      </c>
      <c r="O22" t="s">
        <v>11</v>
      </c>
    </row>
    <row r="23" spans="2:15" x14ac:dyDescent="0.25">
      <c r="B23">
        <v>200</v>
      </c>
      <c r="C23">
        <f>1000-B23</f>
        <v>800</v>
      </c>
      <c r="D23">
        <v>0</v>
      </c>
      <c r="E23">
        <f t="shared" si="10"/>
        <v>200</v>
      </c>
      <c r="F23">
        <f>D23*C23</f>
        <v>0</v>
      </c>
      <c r="G23">
        <f>E23*B23</f>
        <v>40000</v>
      </c>
      <c r="H23">
        <f>F23-G23</f>
        <v>-40000</v>
      </c>
      <c r="I23">
        <f t="shared" ref="I23" si="64">D23+C23-E23-B23</f>
        <v>400</v>
      </c>
      <c r="J23">
        <f t="shared" ref="J23" si="65">D23+B23</f>
        <v>200</v>
      </c>
      <c r="K23">
        <f t="shared" ref="K23" si="66">E23+C23</f>
        <v>1000</v>
      </c>
      <c r="L23">
        <f t="shared" ref="L23" si="67">K23+J23</f>
        <v>1200</v>
      </c>
      <c r="M23">
        <f>-B23/J23*LN(B23/J23)-C23/K23*LN(C23/K23)-E23/K23*LN(E23/K23)</f>
        <v>0.50040242353818787</v>
      </c>
      <c r="N23">
        <f>-B23/L23*LN(B23/J23)-C23/L23*LN(C23/K23)-E23/L23*LN(E23/K23)</f>
        <v>0.41700201961515648</v>
      </c>
      <c r="O23">
        <f>D23/J23*(1-D23/J23)+B23/J23*(1-B23/J23)+C23/K23*(1-C23/K23)+E23/K23*(1-E23/K23)</f>
        <v>0.32</v>
      </c>
    </row>
    <row r="25" spans="2:15" x14ac:dyDescent="0.25">
      <c r="B25">
        <v>200</v>
      </c>
      <c r="C25">
        <f>1000-B25</f>
        <v>800</v>
      </c>
      <c r="D25">
        <v>1</v>
      </c>
      <c r="E25">
        <f t="shared" si="10"/>
        <v>199</v>
      </c>
      <c r="F25">
        <f>D25*C25</f>
        <v>800</v>
      </c>
      <c r="G25">
        <f>E25*B25</f>
        <v>39800</v>
      </c>
      <c r="H25">
        <f>F25-G25</f>
        <v>-39000</v>
      </c>
      <c r="I25">
        <f t="shared" si="13"/>
        <v>402</v>
      </c>
      <c r="J25">
        <f t="shared" si="4"/>
        <v>201</v>
      </c>
      <c r="K25">
        <f t="shared" si="5"/>
        <v>999</v>
      </c>
      <c r="L25">
        <f t="shared" si="6"/>
        <v>1200</v>
      </c>
      <c r="M25">
        <f>-D25/J25*LN(D25/J25)-B25/J25*LN(B25/J25)-C25/K25*LN(C25/K25)-E25/K25*LN(E25/K25)</f>
        <v>0.53063760129158921</v>
      </c>
      <c r="N25">
        <f>-D25/L25*LN(D25/J25)-B25/L25*LN(B25/J25)-C25/L25*LN(C25/K25)-E25/L25*LN(E25/K25)</f>
        <v>0.42090982902137997</v>
      </c>
      <c r="O25">
        <f>D25/J25*(1-D25/J25)+B25/J25*(1-B25/J25)+C25/K25*(1-C25/K25)+E25/K25*(1-E25/K25)</f>
        <v>0.32893850150625742</v>
      </c>
    </row>
    <row r="26" spans="2:15" x14ac:dyDescent="0.25">
      <c r="B26">
        <v>200</v>
      </c>
      <c r="C26">
        <f>1000-B26</f>
        <v>800</v>
      </c>
      <c r="D26">
        <v>2</v>
      </c>
      <c r="E26">
        <f t="shared" si="10"/>
        <v>198</v>
      </c>
      <c r="F26">
        <f t="shared" si="11"/>
        <v>1600</v>
      </c>
      <c r="G26">
        <f t="shared" si="12"/>
        <v>39600</v>
      </c>
      <c r="H26">
        <f t="shared" ref="H26:H41" si="68">F26-G26</f>
        <v>-38000</v>
      </c>
      <c r="I26">
        <f t="shared" si="13"/>
        <v>404</v>
      </c>
      <c r="J26">
        <f t="shared" si="4"/>
        <v>202</v>
      </c>
      <c r="K26">
        <f t="shared" si="5"/>
        <v>998</v>
      </c>
      <c r="L26">
        <f t="shared" si="6"/>
        <v>1200</v>
      </c>
      <c r="M26">
        <f t="shared" ref="M26:M42" si="69">-D26/J26*LN(D26/J26)-B26/J26*LN(B26/J26)-C26/K26*LN(C26/K26)-E26/K26*LN(E26/K26)</f>
        <v>0.5537179345344041</v>
      </c>
      <c r="N26">
        <f t="shared" ref="N26:N42" si="70">-D26/L26*LN(D26/J26)-B26/L26*LN(B26/J26)-C26/L26*LN(C26/K26)-E26/L26*LN(E26/K26)</f>
        <v>0.42366318562608113</v>
      </c>
      <c r="O26">
        <f t="shared" ref="O26:O42" si="71">D26/J26*(1-D26/J26)+B26/J26*(1-B26/J26)+C26/K26*(1-C26/K26)+E26/K26*(1-E26/K26)</f>
        <v>0.33767693275114341</v>
      </c>
    </row>
    <row r="27" spans="2:15" x14ac:dyDescent="0.25">
      <c r="B27">
        <v>200</v>
      </c>
      <c r="C27">
        <f>1000-B27</f>
        <v>800</v>
      </c>
      <c r="D27">
        <v>5</v>
      </c>
      <c r="E27">
        <f t="shared" si="10"/>
        <v>195</v>
      </c>
      <c r="F27">
        <f t="shared" si="11"/>
        <v>4000</v>
      </c>
      <c r="G27">
        <f t="shared" si="12"/>
        <v>39000</v>
      </c>
      <c r="H27">
        <f t="shared" si="68"/>
        <v>-35000</v>
      </c>
      <c r="I27">
        <f t="shared" si="13"/>
        <v>410</v>
      </c>
      <c r="J27">
        <f t="shared" si="4"/>
        <v>205</v>
      </c>
      <c r="K27">
        <f t="shared" si="5"/>
        <v>995</v>
      </c>
      <c r="L27">
        <f t="shared" si="6"/>
        <v>1200</v>
      </c>
      <c r="M27">
        <f t="shared" si="69"/>
        <v>0.60944390272403948</v>
      </c>
      <c r="N27">
        <f t="shared" si="70"/>
        <v>0.42984259189176932</v>
      </c>
      <c r="O27">
        <f t="shared" si="71"/>
        <v>0.36273427679052139</v>
      </c>
    </row>
    <row r="28" spans="2:15" x14ac:dyDescent="0.25">
      <c r="B28">
        <v>200</v>
      </c>
      <c r="C28">
        <f>1000-B28</f>
        <v>800</v>
      </c>
      <c r="D28">
        <v>10</v>
      </c>
      <c r="E28">
        <f t="shared" si="10"/>
        <v>190</v>
      </c>
      <c r="F28">
        <f t="shared" si="11"/>
        <v>8000</v>
      </c>
      <c r="G28">
        <f t="shared" si="12"/>
        <v>38000</v>
      </c>
      <c r="H28">
        <f t="shared" si="68"/>
        <v>-30000</v>
      </c>
      <c r="I28">
        <f t="shared" si="13"/>
        <v>420</v>
      </c>
      <c r="J28">
        <f t="shared" si="4"/>
        <v>210</v>
      </c>
      <c r="K28">
        <f t="shared" si="5"/>
        <v>990</v>
      </c>
      <c r="L28">
        <f t="shared" si="6"/>
        <v>1200</v>
      </c>
      <c r="M28">
        <f t="shared" si="69"/>
        <v>0.68043795857641942</v>
      </c>
      <c r="N28">
        <f t="shared" si="70"/>
        <v>0.43692266255302975</v>
      </c>
      <c r="O28">
        <f t="shared" si="71"/>
        <v>0.40087537923035765</v>
      </c>
    </row>
    <row r="29" spans="2:15" x14ac:dyDescent="0.25">
      <c r="B29">
        <v>200</v>
      </c>
      <c r="C29">
        <f>1000-B29</f>
        <v>800</v>
      </c>
      <c r="D29">
        <v>20</v>
      </c>
      <c r="E29">
        <f t="shared" si="10"/>
        <v>180</v>
      </c>
      <c r="F29">
        <f t="shared" si="11"/>
        <v>16000</v>
      </c>
      <c r="G29">
        <f t="shared" si="12"/>
        <v>36000</v>
      </c>
      <c r="H29">
        <f t="shared" si="68"/>
        <v>-20000</v>
      </c>
      <c r="I29">
        <f t="shared" si="13"/>
        <v>440</v>
      </c>
      <c r="J29">
        <f t="shared" si="4"/>
        <v>220</v>
      </c>
      <c r="K29">
        <f t="shared" si="5"/>
        <v>980</v>
      </c>
      <c r="L29">
        <f t="shared" si="6"/>
        <v>1200</v>
      </c>
      <c r="M29">
        <f t="shared" si="69"/>
        <v>0.78155436769285602</v>
      </c>
      <c r="N29">
        <f t="shared" si="70"/>
        <v>0.44533320529464826</v>
      </c>
      <c r="O29">
        <f t="shared" si="71"/>
        <v>0.46516430825998811</v>
      </c>
    </row>
    <row r="30" spans="2:15" x14ac:dyDescent="0.25">
      <c r="B30">
        <v>200</v>
      </c>
      <c r="C30">
        <f>1000-B30</f>
        <v>800</v>
      </c>
      <c r="D30">
        <v>30</v>
      </c>
      <c r="E30">
        <f t="shared" si="10"/>
        <v>170</v>
      </c>
      <c r="F30">
        <f t="shared" ref="F30" si="72">D30*C30</f>
        <v>24000</v>
      </c>
      <c r="G30">
        <f t="shared" ref="G30" si="73">E30*B30</f>
        <v>34000</v>
      </c>
      <c r="H30">
        <f t="shared" ref="H30" si="74">F30-G30</f>
        <v>-10000</v>
      </c>
      <c r="I30">
        <f t="shared" ref="I30" si="75">D30+C30-E30-B30</f>
        <v>460</v>
      </c>
      <c r="J30">
        <f t="shared" ref="J30" si="76">D30+B30</f>
        <v>230</v>
      </c>
      <c r="K30">
        <f t="shared" ref="K30" si="77">E30+C30</f>
        <v>970</v>
      </c>
      <c r="L30">
        <f t="shared" ref="L30" si="78">K30+J30</f>
        <v>1200</v>
      </c>
      <c r="M30">
        <f t="shared" ref="M30" si="79">-D30/J30*LN(D30/J30)-B30/J30*LN(B30/J30)-C30/K30*LN(C30/K30)-E30/K30*LN(E30/K30)</f>
        <v>0.85133822355710231</v>
      </c>
      <c r="N30">
        <f t="shared" ref="N30" si="80">-D30/L30*LN(D30/J30)-B30/L30*LN(B30/J30)-C30/L30*LN(C30/K30)-E30/L30*LN(E30/K30)</f>
        <v>0.44938409934373524</v>
      </c>
      <c r="O30">
        <f t="shared" ref="O30" si="81">D30/J30*(1-D30/J30)+B30/J30*(1-B30/J30)+C30/K30*(1-C30/K30)+E30/K30*(1-E30/K30)</f>
        <v>0.51592801888390249</v>
      </c>
    </row>
    <row r="31" spans="2:15" x14ac:dyDescent="0.25">
      <c r="B31">
        <v>200</v>
      </c>
      <c r="C31">
        <f>1000-B31</f>
        <v>800</v>
      </c>
      <c r="D31">
        <v>38</v>
      </c>
      <c r="E31">
        <f t="shared" si="10"/>
        <v>162</v>
      </c>
      <c r="F31">
        <f t="shared" ref="F31" si="82">D31*C31</f>
        <v>30400</v>
      </c>
      <c r="G31">
        <f t="shared" ref="G31" si="83">E31*B31</f>
        <v>32400</v>
      </c>
      <c r="H31">
        <f t="shared" ref="H31" si="84">F31-G31</f>
        <v>-2000</v>
      </c>
      <c r="I31">
        <f t="shared" ref="I31" si="85">D31+C31-E31-B31</f>
        <v>476</v>
      </c>
      <c r="J31">
        <f t="shared" ref="J31" si="86">D31+B31</f>
        <v>238</v>
      </c>
      <c r="K31">
        <f t="shared" ref="K31" si="87">E31+C31</f>
        <v>962</v>
      </c>
      <c r="L31">
        <f t="shared" ref="L31" si="88">K31+J31</f>
        <v>1200</v>
      </c>
      <c r="M31">
        <f t="shared" ref="M31" si="89">-D31/J31*LN(D31/J31)-B31/J31*LN(B31/J31)-C31/K31*LN(C31/K31)-E31/K31*LN(E31/K31)</f>
        <v>0.89245085824241543</v>
      </c>
      <c r="N31">
        <f t="shared" ref="N31" si="90">-D31/L31*LN(D31/J31)-B31/L31*LN(B31/J31)-C31/L31*LN(C31/K31)-E31/L31*LN(E31/K31)</f>
        <v>0.45051715504418544</v>
      </c>
      <c r="O31">
        <f t="shared" ref="O31" si="91">D31/J31*(1-D31/J31)+B31/J31*(1-B31/J31)+C31/K31*(1-C31/K31)+E31/K31*(1-E31/K31)</f>
        <v>0.54842440813338889</v>
      </c>
    </row>
    <row r="32" spans="2:15" x14ac:dyDescent="0.25">
      <c r="B32">
        <v>200</v>
      </c>
      <c r="C32">
        <f t="shared" ref="C32:C42" si="92">1000-B32</f>
        <v>800</v>
      </c>
      <c r="D32">
        <v>39</v>
      </c>
      <c r="E32">
        <f t="shared" si="10"/>
        <v>161</v>
      </c>
      <c r="F32">
        <f t="shared" ref="F32:F42" si="93">D32*C32</f>
        <v>31200</v>
      </c>
      <c r="G32">
        <f t="shared" ref="G32:G42" si="94">E32*B32</f>
        <v>32200</v>
      </c>
      <c r="H32">
        <f t="shared" si="68"/>
        <v>-1000</v>
      </c>
      <c r="I32">
        <f t="shared" ref="I32:I42" si="95">D32+C32-E32-B32</f>
        <v>478</v>
      </c>
      <c r="J32">
        <f t="shared" ref="J32:J42" si="96">D32+B32</f>
        <v>239</v>
      </c>
      <c r="K32">
        <f t="shared" ref="K32:K42" si="97">E32+C32</f>
        <v>961</v>
      </c>
      <c r="L32">
        <f t="shared" ref="L32:L42" si="98">K32+J32</f>
        <v>1200</v>
      </c>
      <c r="M32">
        <f t="shared" si="69"/>
        <v>0.89685962036492128</v>
      </c>
      <c r="N32">
        <f t="shared" si="70"/>
        <v>0.45055027793881519</v>
      </c>
      <c r="O32">
        <f t="shared" si="71"/>
        <v>0.55203693935779408</v>
      </c>
    </row>
    <row r="33" spans="2:15" x14ac:dyDescent="0.25">
      <c r="B33">
        <v>200</v>
      </c>
      <c r="C33">
        <f t="shared" si="92"/>
        <v>800</v>
      </c>
      <c r="D33">
        <v>40</v>
      </c>
      <c r="E33">
        <f t="shared" si="10"/>
        <v>160</v>
      </c>
      <c r="F33">
        <f t="shared" si="93"/>
        <v>32000</v>
      </c>
      <c r="G33">
        <f t="shared" si="94"/>
        <v>32000</v>
      </c>
      <c r="H33">
        <f t="shared" si="68"/>
        <v>0</v>
      </c>
      <c r="I33">
        <f t="shared" si="95"/>
        <v>480</v>
      </c>
      <c r="J33">
        <f t="shared" si="96"/>
        <v>240</v>
      </c>
      <c r="K33">
        <f t="shared" si="97"/>
        <v>960</v>
      </c>
      <c r="L33">
        <f t="shared" si="98"/>
        <v>1200</v>
      </c>
      <c r="M33">
        <f t="shared" si="69"/>
        <v>0.90112241773260915</v>
      </c>
      <c r="N33">
        <f t="shared" si="70"/>
        <v>0.45056120886630469</v>
      </c>
      <c r="O33">
        <f t="shared" si="71"/>
        <v>0.55555555555555558</v>
      </c>
    </row>
    <row r="34" spans="2:15" x14ac:dyDescent="0.25">
      <c r="B34">
        <v>200</v>
      </c>
      <c r="C34">
        <f t="shared" si="92"/>
        <v>800</v>
      </c>
      <c r="D34">
        <v>41</v>
      </c>
      <c r="E34">
        <f t="shared" si="10"/>
        <v>159</v>
      </c>
      <c r="F34">
        <f t="shared" si="93"/>
        <v>32800</v>
      </c>
      <c r="G34">
        <f t="shared" si="94"/>
        <v>31800</v>
      </c>
      <c r="H34">
        <f t="shared" si="68"/>
        <v>1000</v>
      </c>
      <c r="I34">
        <f t="shared" si="95"/>
        <v>482</v>
      </c>
      <c r="J34">
        <f t="shared" si="96"/>
        <v>241</v>
      </c>
      <c r="K34">
        <f t="shared" si="97"/>
        <v>959</v>
      </c>
      <c r="L34">
        <f t="shared" si="98"/>
        <v>1200</v>
      </c>
      <c r="M34">
        <f t="shared" si="69"/>
        <v>0.90524348752590011</v>
      </c>
      <c r="N34">
        <f t="shared" si="70"/>
        <v>0.45055043621051877</v>
      </c>
      <c r="O34">
        <f t="shared" si="71"/>
        <v>0.55898193765649629</v>
      </c>
    </row>
    <row r="35" spans="2:15" x14ac:dyDescent="0.25">
      <c r="B35">
        <v>200</v>
      </c>
      <c r="C35">
        <f t="shared" si="92"/>
        <v>800</v>
      </c>
      <c r="D35">
        <v>42</v>
      </c>
      <c r="E35">
        <f t="shared" si="10"/>
        <v>158</v>
      </c>
      <c r="F35">
        <f t="shared" si="93"/>
        <v>33600</v>
      </c>
      <c r="G35">
        <f t="shared" si="94"/>
        <v>31600</v>
      </c>
      <c r="H35">
        <f t="shared" si="68"/>
        <v>2000</v>
      </c>
      <c r="I35">
        <f t="shared" si="95"/>
        <v>484</v>
      </c>
      <c r="J35">
        <f t="shared" si="96"/>
        <v>242</v>
      </c>
      <c r="K35">
        <f t="shared" si="97"/>
        <v>958</v>
      </c>
      <c r="L35">
        <f t="shared" si="98"/>
        <v>1200</v>
      </c>
      <c r="M35">
        <f t="shared" si="69"/>
        <v>0.90922686633538685</v>
      </c>
      <c r="N35">
        <f t="shared" si="70"/>
        <v>0.45051842199657594</v>
      </c>
      <c r="O35">
        <f t="shared" si="71"/>
        <v>0.56231772825787552</v>
      </c>
    </row>
    <row r="36" spans="2:15" x14ac:dyDescent="0.25">
      <c r="B36">
        <v>200</v>
      </c>
      <c r="C36">
        <f t="shared" si="92"/>
        <v>800</v>
      </c>
      <c r="D36">
        <v>50</v>
      </c>
      <c r="E36">
        <f t="shared" si="10"/>
        <v>150</v>
      </c>
      <c r="F36">
        <f t="shared" si="93"/>
        <v>40000</v>
      </c>
      <c r="G36">
        <f t="shared" si="94"/>
        <v>30000</v>
      </c>
      <c r="H36">
        <f t="shared" si="68"/>
        <v>10000</v>
      </c>
      <c r="I36">
        <f t="shared" si="95"/>
        <v>500</v>
      </c>
      <c r="J36">
        <f t="shared" si="96"/>
        <v>250</v>
      </c>
      <c r="K36">
        <f t="shared" si="97"/>
        <v>950</v>
      </c>
      <c r="L36">
        <f t="shared" si="98"/>
        <v>1200</v>
      </c>
      <c r="M36">
        <f t="shared" si="69"/>
        <v>0.93656474892353203</v>
      </c>
      <c r="N36">
        <f t="shared" si="70"/>
        <v>0.44954567916718668</v>
      </c>
      <c r="O36">
        <f t="shared" si="71"/>
        <v>0.58592797783933515</v>
      </c>
    </row>
    <row r="37" spans="2:15" x14ac:dyDescent="0.25">
      <c r="B37">
        <v>200</v>
      </c>
      <c r="C37">
        <f t="shared" si="92"/>
        <v>800</v>
      </c>
      <c r="D37">
        <v>70</v>
      </c>
      <c r="E37">
        <f t="shared" si="10"/>
        <v>130</v>
      </c>
      <c r="F37">
        <f t="shared" si="93"/>
        <v>56000</v>
      </c>
      <c r="G37">
        <f t="shared" si="94"/>
        <v>26000</v>
      </c>
      <c r="H37">
        <f t="shared" si="68"/>
        <v>30000</v>
      </c>
      <c r="I37">
        <f t="shared" si="95"/>
        <v>540</v>
      </c>
      <c r="J37">
        <f t="shared" si="96"/>
        <v>270</v>
      </c>
      <c r="K37">
        <f t="shared" si="97"/>
        <v>930</v>
      </c>
      <c r="L37">
        <f t="shared" si="98"/>
        <v>1200</v>
      </c>
      <c r="M37">
        <f t="shared" si="69"/>
        <v>0.97685360678402233</v>
      </c>
      <c r="N37">
        <f t="shared" si="70"/>
        <v>0.44230716091660144</v>
      </c>
      <c r="O37">
        <f t="shared" si="71"/>
        <v>0.62457802157960163</v>
      </c>
    </row>
    <row r="38" spans="2:15" x14ac:dyDescent="0.25">
      <c r="B38">
        <v>200</v>
      </c>
      <c r="C38">
        <f t="shared" si="92"/>
        <v>800</v>
      </c>
      <c r="D38">
        <v>100</v>
      </c>
      <c r="E38">
        <f t="shared" si="10"/>
        <v>100</v>
      </c>
      <c r="F38">
        <f t="shared" si="93"/>
        <v>80000</v>
      </c>
      <c r="G38">
        <f t="shared" si="94"/>
        <v>20000</v>
      </c>
      <c r="H38">
        <f t="shared" si="68"/>
        <v>60000</v>
      </c>
      <c r="I38">
        <f t="shared" si="95"/>
        <v>600</v>
      </c>
      <c r="J38">
        <f t="shared" si="96"/>
        <v>300</v>
      </c>
      <c r="K38">
        <f t="shared" si="97"/>
        <v>900</v>
      </c>
      <c r="L38">
        <f t="shared" si="98"/>
        <v>1200</v>
      </c>
      <c r="M38">
        <f t="shared" si="69"/>
        <v>0.98534626413784476</v>
      </c>
      <c r="N38">
        <f t="shared" si="70"/>
        <v>0.42075261395597713</v>
      </c>
      <c r="O38">
        <f t="shared" si="71"/>
        <v>0.64197530864197538</v>
      </c>
    </row>
    <row r="39" spans="2:15" x14ac:dyDescent="0.25">
      <c r="B39">
        <v>200</v>
      </c>
      <c r="C39">
        <f t="shared" si="92"/>
        <v>800</v>
      </c>
      <c r="D39">
        <v>120</v>
      </c>
      <c r="E39">
        <f t="shared" si="10"/>
        <v>80</v>
      </c>
      <c r="F39">
        <f t="shared" si="93"/>
        <v>96000</v>
      </c>
      <c r="G39">
        <f t="shared" si="94"/>
        <v>16000</v>
      </c>
      <c r="H39">
        <f t="shared" si="68"/>
        <v>80000</v>
      </c>
      <c r="I39">
        <f t="shared" si="95"/>
        <v>640</v>
      </c>
      <c r="J39">
        <f t="shared" si="96"/>
        <v>320</v>
      </c>
      <c r="K39">
        <f t="shared" si="97"/>
        <v>880</v>
      </c>
      <c r="L39">
        <f t="shared" si="98"/>
        <v>1200</v>
      </c>
      <c r="M39">
        <f t="shared" si="69"/>
        <v>0.96619933550722026</v>
      </c>
      <c r="N39">
        <f t="shared" si="70"/>
        <v>0.39981666823156986</v>
      </c>
      <c r="O39">
        <f t="shared" si="71"/>
        <v>0.63403925619834722</v>
      </c>
    </row>
    <row r="40" spans="2:15" x14ac:dyDescent="0.25">
      <c r="B40">
        <v>200</v>
      </c>
      <c r="C40">
        <f t="shared" si="92"/>
        <v>800</v>
      </c>
      <c r="D40">
        <v>150</v>
      </c>
      <c r="E40">
        <f t="shared" si="10"/>
        <v>50</v>
      </c>
      <c r="F40">
        <f t="shared" si="93"/>
        <v>120000</v>
      </c>
      <c r="G40">
        <f t="shared" si="94"/>
        <v>10000</v>
      </c>
      <c r="H40">
        <f t="shared" si="68"/>
        <v>110000</v>
      </c>
      <c r="I40">
        <f t="shared" si="95"/>
        <v>700</v>
      </c>
      <c r="J40">
        <f t="shared" si="96"/>
        <v>350</v>
      </c>
      <c r="K40">
        <f t="shared" si="97"/>
        <v>850</v>
      </c>
      <c r="L40">
        <f t="shared" si="98"/>
        <v>1200</v>
      </c>
      <c r="M40">
        <f t="shared" si="69"/>
        <v>0.90662618076630541</v>
      </c>
      <c r="N40">
        <f t="shared" si="70"/>
        <v>0.35764850108426982</v>
      </c>
      <c r="O40">
        <f t="shared" si="71"/>
        <v>0.60052256196596276</v>
      </c>
    </row>
    <row r="41" spans="2:15" x14ac:dyDescent="0.25">
      <c r="B41">
        <v>200</v>
      </c>
      <c r="C41">
        <f t="shared" si="92"/>
        <v>800</v>
      </c>
      <c r="D41">
        <v>180</v>
      </c>
      <c r="E41">
        <f t="shared" si="10"/>
        <v>20</v>
      </c>
      <c r="F41">
        <f t="shared" si="93"/>
        <v>144000</v>
      </c>
      <c r="G41">
        <f t="shared" si="94"/>
        <v>4000</v>
      </c>
      <c r="H41">
        <f t="shared" si="68"/>
        <v>140000</v>
      </c>
      <c r="I41">
        <f t="shared" si="95"/>
        <v>760</v>
      </c>
      <c r="J41">
        <f t="shared" si="96"/>
        <v>380</v>
      </c>
      <c r="K41">
        <f t="shared" si="97"/>
        <v>820</v>
      </c>
      <c r="L41">
        <f t="shared" si="98"/>
        <v>1200</v>
      </c>
      <c r="M41">
        <f t="shared" si="69"/>
        <v>0.80642678105532428</v>
      </c>
      <c r="N41">
        <f t="shared" si="70"/>
        <v>0.29741241747525177</v>
      </c>
      <c r="O41">
        <f t="shared" si="71"/>
        <v>0.54620567825839061</v>
      </c>
    </row>
    <row r="42" spans="2:15" x14ac:dyDescent="0.25">
      <c r="B42">
        <v>200</v>
      </c>
      <c r="C42">
        <f t="shared" si="92"/>
        <v>800</v>
      </c>
      <c r="D42">
        <v>190</v>
      </c>
      <c r="E42">
        <f t="shared" si="10"/>
        <v>10</v>
      </c>
      <c r="F42">
        <f t="shared" si="93"/>
        <v>152000</v>
      </c>
      <c r="G42">
        <f t="shared" si="94"/>
        <v>2000</v>
      </c>
      <c r="H42">
        <f>F42-G42</f>
        <v>150000</v>
      </c>
      <c r="I42">
        <f t="shared" si="95"/>
        <v>780</v>
      </c>
      <c r="J42">
        <f t="shared" si="96"/>
        <v>390</v>
      </c>
      <c r="K42">
        <f t="shared" si="97"/>
        <v>810</v>
      </c>
      <c r="L42">
        <f t="shared" si="98"/>
        <v>1200</v>
      </c>
      <c r="M42">
        <f t="shared" si="69"/>
        <v>0.75934002768491915</v>
      </c>
      <c r="N42">
        <f t="shared" si="70"/>
        <v>0.27006807398642535</v>
      </c>
      <c r="O42">
        <f t="shared" si="71"/>
        <v>0.52405779534617769</v>
      </c>
    </row>
  </sheetData>
  <conditionalFormatting sqref="N4:N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:M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:O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3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McGinness</dc:creator>
  <cp:lastModifiedBy>Lachlan McGinness</cp:lastModifiedBy>
  <dcterms:created xsi:type="dcterms:W3CDTF">2026-06-10T04:23:47Z</dcterms:created>
  <dcterms:modified xsi:type="dcterms:W3CDTF">2026-06-10T06:58:39Z</dcterms:modified>
</cp:coreProperties>
</file>