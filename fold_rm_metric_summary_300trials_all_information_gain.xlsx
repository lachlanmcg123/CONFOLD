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chlan McGinness\GithubRepositories\CONFOLD\"/>
    </mc:Choice>
  </mc:AlternateContent>
  <xr:revisionPtr revIDLastSave="0" documentId="13_ncr:9_{177FAE36-6176-43CE-AA1B-EF6329E90A7F}" xr6:coauthVersionLast="47" xr6:coauthVersionMax="47" xr10:uidLastSave="{00000000-0000-0000-0000-000000000000}"/>
  <bookViews>
    <workbookView xWindow="-120" yWindow="-120" windowWidth="29040" windowHeight="15720" xr2:uid="{BAB077A9-1DAE-4C70-BE19-FA7462709F72}"/>
  </bookViews>
  <sheets>
    <sheet name="fold_rm_metric_summary_300trial" sheetId="1" r:id="rId1"/>
  </sheets>
  <calcPr calcId="0"/>
</workbook>
</file>

<file path=xl/calcChain.xml><?xml version="1.0" encoding="utf-8"?>
<calcChain xmlns="http://schemas.openxmlformats.org/spreadsheetml/2006/main">
  <c r="T16" i="1" l="1"/>
  <c r="AC16" i="1"/>
  <c r="AL16" i="1"/>
  <c r="AO16" i="1"/>
  <c r="AU16" i="1"/>
  <c r="BD16" i="1"/>
  <c r="BM16" i="1"/>
  <c r="BV16" i="1"/>
  <c r="S16" i="1"/>
  <c r="AB16" i="1"/>
  <c r="AK16" i="1"/>
  <c r="AT16" i="1"/>
  <c r="BC16" i="1"/>
  <c r="BL16" i="1"/>
  <c r="BU16" i="1"/>
  <c r="BS16" i="1"/>
  <c r="BQ16" i="1"/>
  <c r="BP16" i="1"/>
  <c r="BO16" i="1"/>
  <c r="BN16" i="1"/>
  <c r="BJ16" i="1"/>
  <c r="BH16" i="1"/>
  <c r="BG16" i="1"/>
  <c r="BF16" i="1"/>
  <c r="BE16" i="1"/>
  <c r="BA16" i="1"/>
  <c r="AY16" i="1"/>
  <c r="AX16" i="1"/>
  <c r="AW16" i="1"/>
  <c r="AV16" i="1"/>
  <c r="AR16" i="1"/>
  <c r="AP16" i="1"/>
  <c r="AN16" i="1"/>
  <c r="AM16" i="1"/>
  <c r="AI16" i="1"/>
  <c r="AG16" i="1"/>
  <c r="AF16" i="1"/>
  <c r="AE16" i="1"/>
  <c r="AD16" i="1"/>
  <c r="Z16" i="1"/>
  <c r="X16" i="1"/>
  <c r="W16" i="1"/>
  <c r="V16" i="1"/>
  <c r="U16" i="1"/>
  <c r="Q16" i="1"/>
  <c r="O16" i="1"/>
  <c r="N16" i="1"/>
  <c r="M16" i="1"/>
  <c r="L16" i="1"/>
</calcChain>
</file>

<file path=xl/sharedStrings.xml><?xml version="1.0" encoding="utf-8"?>
<sst xmlns="http://schemas.openxmlformats.org/spreadsheetml/2006/main" count="172" uniqueCount="35">
  <si>
    <t>Average</t>
  </si>
  <si>
    <t>Dry Bean</t>
  </si>
  <si>
    <t>Ecoli</t>
  </si>
  <si>
    <t>Nursery</t>
  </si>
  <si>
    <t>Page Blocks</t>
  </si>
  <si>
    <t>Wall Robot</t>
  </si>
  <si>
    <t>Weight Lifting</t>
  </si>
  <si>
    <t>Wine</t>
  </si>
  <si>
    <t>Avg Accuracy</t>
  </si>
  <si>
    <t>Std Accuracy</t>
  </si>
  <si>
    <t>Avg Brier Score</t>
  </si>
  <si>
    <t>Std Brier Score</t>
  </si>
  <si>
    <t>Avg Time</t>
  </si>
  <si>
    <t>Num Rules Avg</t>
  </si>
  <si>
    <t>Num Rules Std</t>
  </si>
  <si>
    <t>Num Preds Avg</t>
  </si>
  <si>
    <t>Num Preds Std</t>
  </si>
  <si>
    <t>Metric</t>
  </si>
  <si>
    <t>Fit Method</t>
  </si>
  <si>
    <t>Binomial_Parameter</t>
  </si>
  <si>
    <t>FOLD-RM (fit)</t>
  </si>
  <si>
    <t>F1</t>
  </si>
  <si>
    <t>Gini_Impurity_Covered</t>
  </si>
  <si>
    <t>Jaccard</t>
  </si>
  <si>
    <t>Laplace</t>
  </si>
  <si>
    <t>Positive_Coverage_Gain</t>
  </si>
  <si>
    <t>RPG</t>
  </si>
  <si>
    <t>Weighted_Harmonic_Mean</t>
  </si>
  <si>
    <t>YoudensJ</t>
  </si>
  <si>
    <t>information_gain</t>
  </si>
  <si>
    <t>precision</t>
  </si>
  <si>
    <t>Conclusions:</t>
  </si>
  <si>
    <t>Effect sizes are small, not statistically significant at the Z=3 level</t>
  </si>
  <si>
    <t>Positive Covereage gain seems to have an overall slight advantage on these datasets</t>
  </si>
  <si>
    <t>Drybean has the biggest effect on averages because the times and number of rules are large, maybe this should be normalised.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</si>
</sst>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4E71F-1EFD-4224-8691-5CE849ACFEB9}">
  <dimension ref="A1:BV21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22" sqref="E22"/>
    </sheetView>
  </sheetViews>
  <sheetFormatPr defaultRowHeight="15" x14ac:dyDescent="0.25"/>
  <sheetData>
    <row r="1" spans="1:74" x14ac:dyDescent="0.2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2</v>
      </c>
      <c r="V1" t="s">
        <v>2</v>
      </c>
      <c r="W1" t="s">
        <v>2</v>
      </c>
      <c r="X1" t="s">
        <v>2</v>
      </c>
      <c r="Y1" t="s">
        <v>2</v>
      </c>
      <c r="Z1" t="s">
        <v>2</v>
      </c>
      <c r="AA1" t="s">
        <v>2</v>
      </c>
      <c r="AB1" t="s">
        <v>2</v>
      </c>
      <c r="AC1" t="s">
        <v>2</v>
      </c>
      <c r="AD1" t="s">
        <v>3</v>
      </c>
      <c r="AE1" t="s">
        <v>3</v>
      </c>
      <c r="AF1" t="s">
        <v>3</v>
      </c>
      <c r="AG1" t="s">
        <v>3</v>
      </c>
      <c r="AH1" t="s">
        <v>3</v>
      </c>
      <c r="AI1" t="s">
        <v>3</v>
      </c>
      <c r="AJ1" t="s">
        <v>3</v>
      </c>
      <c r="AK1" t="s">
        <v>3</v>
      </c>
      <c r="AL1" t="s">
        <v>3</v>
      </c>
      <c r="AM1" t="s">
        <v>4</v>
      </c>
      <c r="AN1" t="s">
        <v>4</v>
      </c>
      <c r="AO1" t="s">
        <v>4</v>
      </c>
      <c r="AP1" t="s">
        <v>4</v>
      </c>
      <c r="AQ1" t="s">
        <v>4</v>
      </c>
      <c r="AR1" t="s">
        <v>4</v>
      </c>
      <c r="AS1" t="s">
        <v>4</v>
      </c>
      <c r="AT1" t="s">
        <v>4</v>
      </c>
      <c r="AU1" t="s">
        <v>4</v>
      </c>
      <c r="AV1" t="s">
        <v>5</v>
      </c>
      <c r="AW1" t="s">
        <v>5</v>
      </c>
      <c r="AX1" t="s">
        <v>5</v>
      </c>
      <c r="AY1" t="s">
        <v>5</v>
      </c>
      <c r="AZ1" t="s">
        <v>5</v>
      </c>
      <c r="BA1" t="s">
        <v>5</v>
      </c>
      <c r="BB1" t="s">
        <v>5</v>
      </c>
      <c r="BC1" t="s">
        <v>5</v>
      </c>
      <c r="BD1" t="s">
        <v>5</v>
      </c>
      <c r="BE1" t="s">
        <v>6</v>
      </c>
      <c r="BF1" t="s">
        <v>6</v>
      </c>
      <c r="BG1" t="s">
        <v>6</v>
      </c>
      <c r="BH1" t="s">
        <v>6</v>
      </c>
      <c r="BI1" t="s">
        <v>6</v>
      </c>
      <c r="BJ1" t="s">
        <v>6</v>
      </c>
      <c r="BK1" t="s">
        <v>6</v>
      </c>
      <c r="BL1" t="s">
        <v>6</v>
      </c>
      <c r="BM1" t="s">
        <v>6</v>
      </c>
      <c r="BN1" t="s">
        <v>7</v>
      </c>
      <c r="BO1" t="s">
        <v>7</v>
      </c>
      <c r="BP1" t="s">
        <v>7</v>
      </c>
      <c r="BQ1" t="s">
        <v>7</v>
      </c>
      <c r="BR1" t="s">
        <v>7</v>
      </c>
      <c r="BS1" t="s">
        <v>7</v>
      </c>
      <c r="BT1" t="s">
        <v>7</v>
      </c>
      <c r="BU1" t="s">
        <v>7</v>
      </c>
      <c r="BV1" t="s">
        <v>7</v>
      </c>
    </row>
    <row r="2" spans="1:74" x14ac:dyDescent="0.25"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 t="s">
        <v>8</v>
      </c>
      <c r="M2" t="s">
        <v>10</v>
      </c>
      <c r="N2" t="s">
        <v>12</v>
      </c>
      <c r="O2" t="s">
        <v>15</v>
      </c>
      <c r="P2" t="s">
        <v>16</v>
      </c>
      <c r="Q2" t="s">
        <v>13</v>
      </c>
      <c r="R2" t="s">
        <v>14</v>
      </c>
      <c r="S2" t="s">
        <v>9</v>
      </c>
      <c r="T2" t="s">
        <v>11</v>
      </c>
      <c r="U2" t="s">
        <v>8</v>
      </c>
      <c r="V2" t="s">
        <v>10</v>
      </c>
      <c r="W2" t="s">
        <v>12</v>
      </c>
      <c r="X2" t="s">
        <v>15</v>
      </c>
      <c r="Y2" t="s">
        <v>16</v>
      </c>
      <c r="Z2" t="s">
        <v>13</v>
      </c>
      <c r="AA2" t="s">
        <v>14</v>
      </c>
      <c r="AB2" t="s">
        <v>9</v>
      </c>
      <c r="AC2" t="s">
        <v>11</v>
      </c>
      <c r="AD2" t="s">
        <v>8</v>
      </c>
      <c r="AE2" t="s">
        <v>10</v>
      </c>
      <c r="AF2" t="s">
        <v>12</v>
      </c>
      <c r="AG2" t="s">
        <v>15</v>
      </c>
      <c r="AH2" t="s">
        <v>16</v>
      </c>
      <c r="AI2" t="s">
        <v>13</v>
      </c>
      <c r="AJ2" t="s">
        <v>14</v>
      </c>
      <c r="AK2" t="s">
        <v>9</v>
      </c>
      <c r="AL2" t="s">
        <v>11</v>
      </c>
      <c r="AM2" t="s">
        <v>8</v>
      </c>
      <c r="AN2" t="s">
        <v>10</v>
      </c>
      <c r="AO2" t="s">
        <v>12</v>
      </c>
      <c r="AP2" t="s">
        <v>15</v>
      </c>
      <c r="AQ2" t="s">
        <v>16</v>
      </c>
      <c r="AR2" t="s">
        <v>13</v>
      </c>
      <c r="AS2" t="s">
        <v>14</v>
      </c>
      <c r="AT2" t="s">
        <v>9</v>
      </c>
      <c r="AU2" t="s">
        <v>11</v>
      </c>
      <c r="AV2" t="s">
        <v>8</v>
      </c>
      <c r="AW2" t="s">
        <v>10</v>
      </c>
      <c r="AX2" t="s">
        <v>12</v>
      </c>
      <c r="AY2" t="s">
        <v>15</v>
      </c>
      <c r="AZ2" t="s">
        <v>16</v>
      </c>
      <c r="BA2" t="s">
        <v>13</v>
      </c>
      <c r="BB2" t="s">
        <v>14</v>
      </c>
      <c r="BC2" t="s">
        <v>9</v>
      </c>
      <c r="BD2" t="s">
        <v>11</v>
      </c>
      <c r="BE2" t="s">
        <v>8</v>
      </c>
      <c r="BF2" t="s">
        <v>10</v>
      </c>
      <c r="BG2" t="s">
        <v>12</v>
      </c>
      <c r="BH2" t="s">
        <v>15</v>
      </c>
      <c r="BI2" t="s">
        <v>16</v>
      </c>
      <c r="BJ2" t="s">
        <v>13</v>
      </c>
      <c r="BK2" t="s">
        <v>14</v>
      </c>
      <c r="BL2" t="s">
        <v>9</v>
      </c>
      <c r="BM2" t="s">
        <v>11</v>
      </c>
      <c r="BN2" t="s">
        <v>8</v>
      </c>
      <c r="BO2" t="s">
        <v>10</v>
      </c>
      <c r="BP2" t="s">
        <v>12</v>
      </c>
      <c r="BQ2" t="s">
        <v>15</v>
      </c>
      <c r="BR2" t="s">
        <v>16</v>
      </c>
      <c r="BS2" t="s">
        <v>13</v>
      </c>
      <c r="BT2" t="s">
        <v>14</v>
      </c>
      <c r="BU2" t="s">
        <v>9</v>
      </c>
      <c r="BV2" t="s">
        <v>11</v>
      </c>
    </row>
    <row r="3" spans="1:74" x14ac:dyDescent="0.25">
      <c r="A3" t="s">
        <v>17</v>
      </c>
      <c r="B3" t="s">
        <v>18</v>
      </c>
    </row>
    <row r="4" spans="1:74" x14ac:dyDescent="0.25">
      <c r="A4" t="s">
        <v>19</v>
      </c>
      <c r="B4" t="s">
        <v>20</v>
      </c>
      <c r="C4">
        <v>0.93625592095254995</v>
      </c>
      <c r="D4">
        <v>1.6413516125051798E-2</v>
      </c>
      <c r="E4">
        <v>0.949370234211525</v>
      </c>
      <c r="F4">
        <v>1.2325742005736299E-2</v>
      </c>
      <c r="G4">
        <v>2.3814696906861799</v>
      </c>
      <c r="H4">
        <v>54.415714285714202</v>
      </c>
      <c r="I4">
        <v>6.7221256552903803</v>
      </c>
      <c r="J4">
        <v>77.958571428571403</v>
      </c>
      <c r="K4">
        <v>10.8313894139038</v>
      </c>
      <c r="L4">
        <v>0.90980413759334</v>
      </c>
      <c r="M4">
        <v>0.92106925665816097</v>
      </c>
      <c r="N4">
        <v>8.1414727369944195</v>
      </c>
      <c r="O4">
        <v>297.40666666666601</v>
      </c>
      <c r="P4">
        <v>36.450194482539302</v>
      </c>
      <c r="Q4">
        <v>160.49666666666599</v>
      </c>
      <c r="R4">
        <v>18.498395181832201</v>
      </c>
      <c r="S4">
        <v>5.7598013159044399E-3</v>
      </c>
      <c r="T4">
        <v>4.7886702260107796E-3</v>
      </c>
      <c r="U4">
        <v>0.79019607843137196</v>
      </c>
      <c r="V4">
        <v>0.85549345892718598</v>
      </c>
      <c r="W4">
        <v>4.0089803536732901E-2</v>
      </c>
      <c r="X4">
        <v>47.726666666666603</v>
      </c>
      <c r="Y4">
        <v>7.0330292589618502</v>
      </c>
      <c r="Z4">
        <v>39.556666666666601</v>
      </c>
      <c r="AA4">
        <v>4.74007911914362</v>
      </c>
      <c r="AB4">
        <v>4.3470786255769597E-2</v>
      </c>
      <c r="AC4">
        <v>3.1546242156857099E-2</v>
      </c>
      <c r="AD4">
        <v>0.959934413580246</v>
      </c>
      <c r="AE4">
        <v>0.96446258306385702</v>
      </c>
      <c r="AF4">
        <v>1.3305912335713701</v>
      </c>
      <c r="AG4">
        <v>26.703333333333301</v>
      </c>
      <c r="AH4">
        <v>2.9807614269685998</v>
      </c>
      <c r="AI4">
        <v>68.099999999999994</v>
      </c>
      <c r="AJ4">
        <v>8.5498733586036497</v>
      </c>
      <c r="AK4">
        <v>1.1962358049955E-2</v>
      </c>
      <c r="AL4">
        <v>9.5730520174879593E-3</v>
      </c>
      <c r="AM4">
        <v>0.96550989345509897</v>
      </c>
      <c r="AN4">
        <v>0.96931354238318002</v>
      </c>
      <c r="AO4">
        <v>1.5819892732302301</v>
      </c>
      <c r="AP4">
        <v>109.62</v>
      </c>
      <c r="AQ4">
        <v>23.323856333108601</v>
      </c>
      <c r="AR4">
        <v>61.19</v>
      </c>
      <c r="AS4">
        <v>11.0967424187322</v>
      </c>
      <c r="AT4">
        <v>5.4210235946245402E-3</v>
      </c>
      <c r="AU4">
        <v>4.72393197175621E-3</v>
      </c>
      <c r="AV4">
        <v>0.99223443223443197</v>
      </c>
      <c r="AW4">
        <v>0.99253913367526403</v>
      </c>
      <c r="AX4">
        <v>3.1915866557757</v>
      </c>
      <c r="AY4">
        <v>40.593333333333298</v>
      </c>
      <c r="AZ4">
        <v>3.7959610055171602</v>
      </c>
      <c r="BA4">
        <v>29.946666666666601</v>
      </c>
      <c r="BB4">
        <v>2.23468153452747</v>
      </c>
      <c r="BC4">
        <v>3.0965899239961E-3</v>
      </c>
      <c r="BD4">
        <v>2.8155613098951099E-3</v>
      </c>
      <c r="BE4">
        <v>0.99889026915113799</v>
      </c>
      <c r="BF4">
        <v>0.99870635049025902</v>
      </c>
      <c r="BG4">
        <v>2.3703298695882098</v>
      </c>
      <c r="BH4">
        <v>16.306666666666601</v>
      </c>
      <c r="BI4">
        <v>1.4210395491410299</v>
      </c>
      <c r="BJ4">
        <v>14.386666666666599</v>
      </c>
      <c r="BK4">
        <v>1.2228956625815399</v>
      </c>
      <c r="BL4">
        <v>1.5517962124094199E-3</v>
      </c>
      <c r="BM4">
        <v>1.4646664949778401E-3</v>
      </c>
      <c r="BN4">
        <v>0.93722222222222196</v>
      </c>
      <c r="BO4">
        <v>0.94400731428276796</v>
      </c>
      <c r="BP4">
        <v>1.42282621065775E-2</v>
      </c>
      <c r="BQ4">
        <v>7.3533333333333299</v>
      </c>
      <c r="BR4">
        <v>0.81488384109053003</v>
      </c>
      <c r="BS4">
        <v>7.2333333333333298</v>
      </c>
      <c r="BT4">
        <v>0.712212311611919</v>
      </c>
      <c r="BU4">
        <v>4.3632257522703499E-2</v>
      </c>
      <c r="BV4">
        <v>3.13680698631695E-2</v>
      </c>
    </row>
    <row r="5" spans="1:74" x14ac:dyDescent="0.25">
      <c r="A5" t="s">
        <v>21</v>
      </c>
      <c r="B5" t="s">
        <v>20</v>
      </c>
      <c r="C5">
        <v>0.93636880143157997</v>
      </c>
      <c r="D5">
        <v>1.6656922062747902E-2</v>
      </c>
      <c r="E5">
        <v>0.94924624936156099</v>
      </c>
      <c r="F5">
        <v>1.26081684514752E-2</v>
      </c>
      <c r="G5">
        <v>2.5369947641236399</v>
      </c>
      <c r="H5">
        <v>54.339999999999897</v>
      </c>
      <c r="I5">
        <v>6.9244388393157301</v>
      </c>
      <c r="J5">
        <v>77.560952380952301</v>
      </c>
      <c r="K5">
        <v>11.213913915490799</v>
      </c>
      <c r="L5">
        <v>0.91056800097931201</v>
      </c>
      <c r="M5">
        <v>0.92131286215031805</v>
      </c>
      <c r="N5">
        <v>9.2457180984814897</v>
      </c>
      <c r="O5">
        <v>293.993333333333</v>
      </c>
      <c r="P5">
        <v>37.128358509017502</v>
      </c>
      <c r="Q5">
        <v>159.15</v>
      </c>
      <c r="R5">
        <v>19.0767022454582</v>
      </c>
      <c r="S5">
        <v>5.7642257874538196E-3</v>
      </c>
      <c r="T5">
        <v>5.0390439598584601E-3</v>
      </c>
      <c r="U5">
        <v>0.79225490196078396</v>
      </c>
      <c r="V5">
        <v>0.855899742520421</v>
      </c>
      <c r="W5">
        <v>5.01516882578531E-2</v>
      </c>
      <c r="X5">
        <v>47.056666666666601</v>
      </c>
      <c r="Y5">
        <v>7.0331362544839102</v>
      </c>
      <c r="Z5">
        <v>38.856666666666598</v>
      </c>
      <c r="AA5">
        <v>4.8298253521214898</v>
      </c>
      <c r="AB5">
        <v>4.6185603624285497E-2</v>
      </c>
      <c r="AC5">
        <v>3.2513879169570298E-2</v>
      </c>
      <c r="AD5">
        <v>0.96078960905349797</v>
      </c>
      <c r="AE5">
        <v>0.96515051856706102</v>
      </c>
      <c r="AF5">
        <v>1.3354467288653</v>
      </c>
      <c r="AG5">
        <v>26.716666666666601</v>
      </c>
      <c r="AH5">
        <v>2.8770320238821898</v>
      </c>
      <c r="AI5">
        <v>69.176666666666605</v>
      </c>
      <c r="AJ5">
        <v>8.38090612725947</v>
      </c>
      <c r="AK5">
        <v>1.21244176194268E-2</v>
      </c>
      <c r="AL5">
        <v>9.7590622202728804E-3</v>
      </c>
      <c r="AM5">
        <v>0.96574429223744296</v>
      </c>
      <c r="AN5">
        <v>0.96960558892694604</v>
      </c>
      <c r="AO5">
        <v>1.5746078109741199</v>
      </c>
      <c r="AP5">
        <v>110.823333333333</v>
      </c>
      <c r="AQ5">
        <v>25.2701548202159</v>
      </c>
      <c r="AR5">
        <v>61.486666666666601</v>
      </c>
      <c r="AS5">
        <v>11.9602108831793</v>
      </c>
      <c r="AT5">
        <v>5.5131925966536597E-3</v>
      </c>
      <c r="AU5">
        <v>4.7642678709890196E-3</v>
      </c>
      <c r="AV5">
        <v>0.99210012210012199</v>
      </c>
      <c r="AW5">
        <v>0.99237443233879397</v>
      </c>
      <c r="AX5">
        <v>3.1452009201049802</v>
      </c>
      <c r="AY5">
        <v>40.523333333333298</v>
      </c>
      <c r="AZ5">
        <v>3.76253164373705</v>
      </c>
      <c r="BA5">
        <v>29.976666666666599</v>
      </c>
      <c r="BB5">
        <v>2.2700880794623899</v>
      </c>
      <c r="BC5">
        <v>3.0506485274315398E-3</v>
      </c>
      <c r="BD5">
        <v>2.8325171025599398E-3</v>
      </c>
      <c r="BE5">
        <v>0.99886542443064097</v>
      </c>
      <c r="BF5">
        <v>0.99866412392550497</v>
      </c>
      <c r="BG5">
        <v>2.39573949337005</v>
      </c>
      <c r="BH5">
        <v>16.440000000000001</v>
      </c>
      <c r="BI5">
        <v>1.6498910473808299</v>
      </c>
      <c r="BJ5">
        <v>14.463333333333299</v>
      </c>
      <c r="BK5">
        <v>1.2330410331860899</v>
      </c>
      <c r="BL5">
        <v>1.46833456415407E-3</v>
      </c>
      <c r="BM5">
        <v>1.3953101069331599E-3</v>
      </c>
      <c r="BN5">
        <v>0.93425925925925901</v>
      </c>
      <c r="BO5">
        <v>0.941716477101879</v>
      </c>
      <c r="BP5">
        <v>1.2098608811696301E-2</v>
      </c>
      <c r="BQ5">
        <v>7.3733333333333304</v>
      </c>
      <c r="BR5">
        <v>0.77629310971836496</v>
      </c>
      <c r="BS5">
        <v>7.27</v>
      </c>
      <c r="BT5">
        <v>0.72029815454305202</v>
      </c>
      <c r="BU5">
        <v>4.2492031719830001E-2</v>
      </c>
      <c r="BV5">
        <v>3.1953098730143001E-2</v>
      </c>
    </row>
    <row r="6" spans="1:74" x14ac:dyDescent="0.25">
      <c r="A6" t="s">
        <v>22</v>
      </c>
      <c r="B6" t="s">
        <v>20</v>
      </c>
      <c r="C6">
        <v>0.936483512001964</v>
      </c>
      <c r="D6">
        <v>1.6606837721712599E-2</v>
      </c>
      <c r="E6">
        <v>0.94938243459951499</v>
      </c>
      <c r="F6">
        <v>1.2216120753094899E-2</v>
      </c>
      <c r="G6">
        <v>2.5372112758954302</v>
      </c>
      <c r="H6">
        <v>54.129047619047597</v>
      </c>
      <c r="I6">
        <v>7.0437211552823502</v>
      </c>
      <c r="J6">
        <v>77.234285714285704</v>
      </c>
      <c r="K6">
        <v>11.371316099818699</v>
      </c>
      <c r="L6">
        <v>0.91038560411310998</v>
      </c>
      <c r="M6">
        <v>0.92150605236677696</v>
      </c>
      <c r="N6">
        <v>9.2400779183705595</v>
      </c>
      <c r="O6">
        <v>293.47666666666601</v>
      </c>
      <c r="P6">
        <v>40.112335431069901</v>
      </c>
      <c r="Q6">
        <v>158.86000000000001</v>
      </c>
      <c r="R6">
        <v>20.018229150645599</v>
      </c>
      <c r="S6">
        <v>6.0845691301928103E-3</v>
      </c>
      <c r="T6">
        <v>5.00135054359792E-3</v>
      </c>
      <c r="U6">
        <v>0.79230392156862695</v>
      </c>
      <c r="V6">
        <v>0.855119497146132</v>
      </c>
      <c r="W6">
        <v>4.6532273292541497E-2</v>
      </c>
      <c r="X6">
        <v>46.81</v>
      </c>
      <c r="Y6">
        <v>7.5203558764436904</v>
      </c>
      <c r="Z6">
        <v>38.656666666666602</v>
      </c>
      <c r="AA6">
        <v>5.0322161672635897</v>
      </c>
      <c r="AB6">
        <v>4.63048606216655E-2</v>
      </c>
      <c r="AC6">
        <v>3.2223758937649102E-2</v>
      </c>
      <c r="AD6">
        <v>0.96044238683127503</v>
      </c>
      <c r="AE6">
        <v>0.96487568047409999</v>
      </c>
      <c r="AF6">
        <v>1.34007340033849</v>
      </c>
      <c r="AG6">
        <v>26.6733333333333</v>
      </c>
      <c r="AH6">
        <v>2.9306286304227802</v>
      </c>
      <c r="AI6">
        <v>68.739999999999995</v>
      </c>
      <c r="AJ6">
        <v>8.9964169753657295</v>
      </c>
      <c r="AK6">
        <v>1.1803173443685E-2</v>
      </c>
      <c r="AL6">
        <v>9.5524170298014605E-3</v>
      </c>
      <c r="AM6">
        <v>0.96580213089802103</v>
      </c>
      <c r="AN6">
        <v>0.96954840935307496</v>
      </c>
      <c r="AO6">
        <v>1.57559337139129</v>
      </c>
      <c r="AP6">
        <v>109.44</v>
      </c>
      <c r="AQ6">
        <v>23.480150301775701</v>
      </c>
      <c r="AR6">
        <v>61.143333333333302</v>
      </c>
      <c r="AS6">
        <v>11.391312283520699</v>
      </c>
      <c r="AT6">
        <v>5.4288595233360796E-3</v>
      </c>
      <c r="AU6">
        <v>4.68276054271736E-3</v>
      </c>
      <c r="AV6">
        <v>0.99214285714285699</v>
      </c>
      <c r="AW6">
        <v>0.99251112332266</v>
      </c>
      <c r="AX6">
        <v>3.17146316369374</v>
      </c>
      <c r="AY6">
        <v>40.613333333333301</v>
      </c>
      <c r="AZ6">
        <v>3.3408121229763301</v>
      </c>
      <c r="BA6">
        <v>29.88</v>
      </c>
      <c r="BB6">
        <v>2.0525536749689999</v>
      </c>
      <c r="BC6">
        <v>2.9756685914113898E-3</v>
      </c>
      <c r="BD6">
        <v>2.8092821544527802E-3</v>
      </c>
      <c r="BE6">
        <v>0.99884472049689399</v>
      </c>
      <c r="BF6">
        <v>0.99863958208756498</v>
      </c>
      <c r="BG6">
        <v>2.3724478793144201</v>
      </c>
      <c r="BH6">
        <v>16.3266666666666</v>
      </c>
      <c r="BI6">
        <v>1.48570295363632</v>
      </c>
      <c r="BJ6">
        <v>14.44</v>
      </c>
      <c r="BK6">
        <v>1.1536187066796899</v>
      </c>
      <c r="BL6">
        <v>1.4032429589640101E-3</v>
      </c>
      <c r="BM6">
        <v>1.32365592096671E-3</v>
      </c>
      <c r="BN6">
        <v>0.93546296296296205</v>
      </c>
      <c r="BO6">
        <v>0.94347669744629603</v>
      </c>
      <c r="BP6">
        <v>1.42909248669942E-2</v>
      </c>
      <c r="BQ6">
        <v>7.3</v>
      </c>
      <c r="BR6">
        <v>0.72922738240608798</v>
      </c>
      <c r="BS6">
        <v>7.18333333333333</v>
      </c>
      <c r="BT6">
        <v>0.66170112853202601</v>
      </c>
      <c r="BU6">
        <v>4.2247489782733599E-2</v>
      </c>
      <c r="BV6">
        <v>2.9919620142478998E-2</v>
      </c>
    </row>
    <row r="7" spans="1:74" x14ac:dyDescent="0.25">
      <c r="A7" t="s">
        <v>23</v>
      </c>
      <c r="B7" t="s">
        <v>20</v>
      </c>
      <c r="C7">
        <v>0.93554393657184698</v>
      </c>
      <c r="D7">
        <v>1.6924576899358099E-2</v>
      </c>
      <c r="E7">
        <v>0.949042636199666</v>
      </c>
      <c r="F7">
        <v>1.2579109117214E-2</v>
      </c>
      <c r="G7">
        <v>2.5157197091692902</v>
      </c>
      <c r="H7">
        <v>53.937142857142803</v>
      </c>
      <c r="I7">
        <v>6.9610473475581003</v>
      </c>
      <c r="J7">
        <v>77.116190476190397</v>
      </c>
      <c r="K7">
        <v>11.177581992063301</v>
      </c>
      <c r="L7">
        <v>0.91003917248133104</v>
      </c>
      <c r="M7">
        <v>0.92126131167473801</v>
      </c>
      <c r="N7">
        <v>9.1526433006922403</v>
      </c>
      <c r="O7">
        <v>293.01666666666603</v>
      </c>
      <c r="P7">
        <v>35.833828520599099</v>
      </c>
      <c r="Q7">
        <v>158.18</v>
      </c>
      <c r="R7">
        <v>18.218506523123899</v>
      </c>
      <c r="S7">
        <v>6.6458998139614402E-3</v>
      </c>
      <c r="T7">
        <v>5.3489897494687997E-3</v>
      </c>
      <c r="U7">
        <v>0.78794117647058803</v>
      </c>
      <c r="V7">
        <v>0.85374061344929397</v>
      </c>
      <c r="W7">
        <v>4.7854425907134998E-2</v>
      </c>
      <c r="X7">
        <v>46.213333333333303</v>
      </c>
      <c r="Y7">
        <v>7.9164421138134999</v>
      </c>
      <c r="Z7">
        <v>38.163333333333298</v>
      </c>
      <c r="AA7">
        <v>5.3994291370082896</v>
      </c>
      <c r="AB7">
        <v>4.76644945425303E-2</v>
      </c>
      <c r="AC7">
        <v>3.3845639314608003E-2</v>
      </c>
      <c r="AD7">
        <v>0.959857253086419</v>
      </c>
      <c r="AE7">
        <v>0.964410485254658</v>
      </c>
      <c r="AF7">
        <v>1.3113789200782699</v>
      </c>
      <c r="AG7">
        <v>26.5133333333333</v>
      </c>
      <c r="AH7">
        <v>2.9629522172479401</v>
      </c>
      <c r="AI7">
        <v>68.373333333333306</v>
      </c>
      <c r="AJ7">
        <v>8.7503820588670695</v>
      </c>
      <c r="AK7">
        <v>1.19121909190042E-2</v>
      </c>
      <c r="AL7">
        <v>9.59823016336038E-3</v>
      </c>
      <c r="AM7">
        <v>0.96567427701674202</v>
      </c>
      <c r="AN7">
        <v>0.96950034824628695</v>
      </c>
      <c r="AO7">
        <v>1.5251756930351199</v>
      </c>
      <c r="AP7">
        <v>110.02</v>
      </c>
      <c r="AQ7">
        <v>25.6012567626295</v>
      </c>
      <c r="AR7">
        <v>61.17</v>
      </c>
      <c r="AS7">
        <v>12.2094773759011</v>
      </c>
      <c r="AT7">
        <v>5.1305205897736496E-3</v>
      </c>
      <c r="AU7">
        <v>4.4482255435517896E-3</v>
      </c>
      <c r="AV7">
        <v>0.99219169719169698</v>
      </c>
      <c r="AW7">
        <v>0.99258985813796996</v>
      </c>
      <c r="AX7">
        <v>3.1896718565622901</v>
      </c>
      <c r="AY7">
        <v>40.229999999999997</v>
      </c>
      <c r="AZ7">
        <v>3.7385857501695998</v>
      </c>
      <c r="BA7">
        <v>29.9433333333333</v>
      </c>
      <c r="BB7">
        <v>2.19152873955065</v>
      </c>
      <c r="BC7">
        <v>3.0055416265961699E-3</v>
      </c>
      <c r="BD7">
        <v>2.7302955743588502E-3</v>
      </c>
      <c r="BE7">
        <v>0.99884472049689399</v>
      </c>
      <c r="BF7">
        <v>0.99866297288958505</v>
      </c>
      <c r="BG7">
        <v>2.3698464186986201</v>
      </c>
      <c r="BH7">
        <v>16.48</v>
      </c>
      <c r="BI7">
        <v>1.3817733746395799</v>
      </c>
      <c r="BJ7">
        <v>14.4966666666666</v>
      </c>
      <c r="BK7">
        <v>1.22269052884201</v>
      </c>
      <c r="BL7">
        <v>1.4395525556594401E-3</v>
      </c>
      <c r="BM7">
        <v>1.34845848909012E-3</v>
      </c>
      <c r="BN7">
        <v>0.93425925925925901</v>
      </c>
      <c r="BO7">
        <v>0.94313286374512895</v>
      </c>
      <c r="BP7">
        <v>1.34673492113749E-2</v>
      </c>
      <c r="BQ7">
        <v>7.34</v>
      </c>
      <c r="BR7">
        <v>0.80823520534383397</v>
      </c>
      <c r="BS7">
        <v>7.2333333333333298</v>
      </c>
      <c r="BT7">
        <v>0.73531706961358201</v>
      </c>
      <c r="BU7">
        <v>4.2673838247981898E-2</v>
      </c>
      <c r="BV7">
        <v>3.0733924986060101E-2</v>
      </c>
    </row>
    <row r="8" spans="1:74" x14ac:dyDescent="0.25">
      <c r="A8" t="s">
        <v>24</v>
      </c>
      <c r="B8" t="s">
        <v>20</v>
      </c>
      <c r="C8">
        <v>0.93678727967865705</v>
      </c>
      <c r="D8">
        <v>1.6200250347470999E-2</v>
      </c>
      <c r="E8">
        <v>0.94942724054098804</v>
      </c>
      <c r="F8">
        <v>1.19915087828209E-2</v>
      </c>
      <c r="G8">
        <v>2.54505845126651</v>
      </c>
      <c r="H8">
        <v>54.220952380952298</v>
      </c>
      <c r="I8">
        <v>7.1834072957711204</v>
      </c>
      <c r="J8">
        <v>77.846190476190401</v>
      </c>
      <c r="K8">
        <v>11.7905927977649</v>
      </c>
      <c r="L8">
        <v>0.91025951768882296</v>
      </c>
      <c r="M8">
        <v>0.921049577453112</v>
      </c>
      <c r="N8">
        <v>9.3915837613741502</v>
      </c>
      <c r="O8">
        <v>299.91000000000003</v>
      </c>
      <c r="P8">
        <v>40.722101269121303</v>
      </c>
      <c r="Q8">
        <v>161.84333333333299</v>
      </c>
      <c r="R8">
        <v>20.191527468071001</v>
      </c>
      <c r="S8">
        <v>5.2576077103191603E-3</v>
      </c>
      <c r="T8">
        <v>4.5626115810275501E-3</v>
      </c>
      <c r="U8">
        <v>0.79602941176470499</v>
      </c>
      <c r="V8">
        <v>0.85764321740010696</v>
      </c>
      <c r="W8">
        <v>3.8977748552958102E-2</v>
      </c>
      <c r="X8">
        <v>46.4</v>
      </c>
      <c r="Y8">
        <v>7.8018949760549399</v>
      </c>
      <c r="Z8">
        <v>38.57</v>
      </c>
      <c r="AA8">
        <v>5.2552028686469798</v>
      </c>
      <c r="AB8">
        <v>4.5130112950557098E-2</v>
      </c>
      <c r="AC8">
        <v>3.1318959157409801E-2</v>
      </c>
      <c r="AD8">
        <v>0.96083333333333298</v>
      </c>
      <c r="AE8">
        <v>0.96518069224743097</v>
      </c>
      <c r="AF8">
        <v>1.3075486548741599</v>
      </c>
      <c r="AG8">
        <v>26.49</v>
      </c>
      <c r="AH8">
        <v>2.9584468943612698</v>
      </c>
      <c r="AI8">
        <v>67.446666666666601</v>
      </c>
      <c r="AJ8">
        <v>8.6395966915242095</v>
      </c>
      <c r="AK8">
        <v>1.1512380825184101E-2</v>
      </c>
      <c r="AL8">
        <v>9.3131950657791493E-3</v>
      </c>
      <c r="AM8">
        <v>0.96589345509893398</v>
      </c>
      <c r="AN8">
        <v>0.96962893076235102</v>
      </c>
      <c r="AO8">
        <v>1.5055402143796199</v>
      </c>
      <c r="AP8">
        <v>107.89666666666599</v>
      </c>
      <c r="AQ8">
        <v>25.128152918972901</v>
      </c>
      <c r="AR8">
        <v>60.183333333333302</v>
      </c>
      <c r="AS8">
        <v>11.869541226122299</v>
      </c>
      <c r="AT8">
        <v>5.2872072001242396E-3</v>
      </c>
      <c r="AU8">
        <v>4.6488948092518797E-3</v>
      </c>
      <c r="AV8">
        <v>0.99223137973137898</v>
      </c>
      <c r="AW8">
        <v>0.99249092091774205</v>
      </c>
      <c r="AX8">
        <v>3.1773076788584298</v>
      </c>
      <c r="AY8">
        <v>40.520000000000003</v>
      </c>
      <c r="AZ8">
        <v>3.6871284745666002</v>
      </c>
      <c r="BA8">
        <v>29.94</v>
      </c>
      <c r="BB8">
        <v>2.2434743719340902</v>
      </c>
      <c r="BC8">
        <v>3.2235246047088301E-3</v>
      </c>
      <c r="BD8">
        <v>3.0241795052478801E-3</v>
      </c>
      <c r="BE8">
        <v>0.99874534161490602</v>
      </c>
      <c r="BF8">
        <v>0.99855571219235795</v>
      </c>
      <c r="BG8">
        <v>2.3824771388371699</v>
      </c>
      <c r="BH8">
        <v>16.3333333333333</v>
      </c>
      <c r="BI8">
        <v>1.44308600330402</v>
      </c>
      <c r="BJ8">
        <v>14.306666666666599</v>
      </c>
      <c r="BK8">
        <v>1.3780246958709801</v>
      </c>
      <c r="BL8">
        <v>1.48445557881493E-3</v>
      </c>
      <c r="BM8">
        <v>1.39745152886553E-3</v>
      </c>
      <c r="BN8">
        <v>0.93351851851851797</v>
      </c>
      <c r="BO8">
        <v>0.94144163281381399</v>
      </c>
      <c r="BP8">
        <v>1.19739619890848E-2</v>
      </c>
      <c r="BQ8">
        <v>7.3733333333333304</v>
      </c>
      <c r="BR8">
        <v>0.79333904797319699</v>
      </c>
      <c r="BS8">
        <v>7.2566666666666597</v>
      </c>
      <c r="BT8">
        <v>0.70648374822821702</v>
      </c>
      <c r="BU8">
        <v>4.1506463562588698E-2</v>
      </c>
      <c r="BV8">
        <v>2.9675269832165001E-2</v>
      </c>
    </row>
    <row r="9" spans="1:74" x14ac:dyDescent="0.25">
      <c r="A9" t="s">
        <v>25</v>
      </c>
      <c r="B9" t="s">
        <v>20</v>
      </c>
      <c r="C9">
        <v>0.93750149661545201</v>
      </c>
      <c r="D9">
        <v>1.6106854763252101E-2</v>
      </c>
      <c r="E9">
        <v>0.95028986751040301</v>
      </c>
      <c r="F9">
        <v>1.20151239915826E-2</v>
      </c>
      <c r="G9">
        <v>2.51542729411806</v>
      </c>
      <c r="H9">
        <v>53.814761904761902</v>
      </c>
      <c r="I9">
        <v>7.3065395599174403</v>
      </c>
      <c r="J9">
        <v>76.911904761904694</v>
      </c>
      <c r="K9">
        <v>11.603955269130299</v>
      </c>
      <c r="L9">
        <v>0.90960827518668097</v>
      </c>
      <c r="M9">
        <v>0.92069640290503296</v>
      </c>
      <c r="N9">
        <v>9.1795518970489507</v>
      </c>
      <c r="O9">
        <v>292.16000000000003</v>
      </c>
      <c r="P9">
        <v>38.645214131258598</v>
      </c>
      <c r="Q9">
        <v>157.72</v>
      </c>
      <c r="R9">
        <v>20.251304099384601</v>
      </c>
      <c r="S9">
        <v>6.20304622996431E-3</v>
      </c>
      <c r="T9">
        <v>4.8947023312936903E-3</v>
      </c>
      <c r="U9">
        <v>0.79500000000000004</v>
      </c>
      <c r="V9">
        <v>0.85946890493492101</v>
      </c>
      <c r="W9">
        <v>4.88329776128133E-2</v>
      </c>
      <c r="X9">
        <v>46.976666666666603</v>
      </c>
      <c r="Y9">
        <v>7.8050743863298697</v>
      </c>
      <c r="Z9">
        <v>38.81</v>
      </c>
      <c r="AA9">
        <v>5.1350230319309702</v>
      </c>
      <c r="AB9">
        <v>4.3306197473932002E-2</v>
      </c>
      <c r="AC9">
        <v>2.9544569698297701E-2</v>
      </c>
      <c r="AD9">
        <v>0.96012217078189299</v>
      </c>
      <c r="AE9">
        <v>0.96455136091431404</v>
      </c>
      <c r="AF9">
        <v>1.3151628835995901</v>
      </c>
      <c r="AG9">
        <v>26.8533333333333</v>
      </c>
      <c r="AH9">
        <v>2.8481917438240498</v>
      </c>
      <c r="AI9">
        <v>68.206666666666607</v>
      </c>
      <c r="AJ9">
        <v>9.4077436734660793</v>
      </c>
      <c r="AK9">
        <v>1.2196174432027199E-2</v>
      </c>
      <c r="AL9">
        <v>9.8685925604714494E-3</v>
      </c>
      <c r="AM9">
        <v>0.96564383561643796</v>
      </c>
      <c r="AN9">
        <v>0.96937825823396195</v>
      </c>
      <c r="AO9">
        <v>1.49031684080759</v>
      </c>
      <c r="AP9">
        <v>108.186666666666</v>
      </c>
      <c r="AQ9">
        <v>26.106006348100099</v>
      </c>
      <c r="AR9">
        <v>60.243333333333297</v>
      </c>
      <c r="AS9">
        <v>12.4055275017851</v>
      </c>
      <c r="AT9">
        <v>5.42488470104939E-3</v>
      </c>
      <c r="AU9">
        <v>4.7040250890266798E-3</v>
      </c>
      <c r="AV9">
        <v>0.99218864468864398</v>
      </c>
      <c r="AW9">
        <v>0.99251672326413498</v>
      </c>
      <c r="AX9">
        <v>3.20568777243296</v>
      </c>
      <c r="AY9">
        <v>40.436666666666603</v>
      </c>
      <c r="AZ9">
        <v>3.6161088247355</v>
      </c>
      <c r="BA9">
        <v>30.033333333333299</v>
      </c>
      <c r="BB9">
        <v>2.10562764549999</v>
      </c>
      <c r="BC9">
        <v>3.1866901479004599E-3</v>
      </c>
      <c r="BD9">
        <v>2.8808822137597499E-3</v>
      </c>
      <c r="BE9">
        <v>0.99883643892339502</v>
      </c>
      <c r="BF9">
        <v>0.99865443265072196</v>
      </c>
      <c r="BG9">
        <v>2.3539345685640898</v>
      </c>
      <c r="BH9">
        <v>16.34</v>
      </c>
      <c r="BI9">
        <v>1.4322141802796</v>
      </c>
      <c r="BJ9">
        <v>14.4</v>
      </c>
      <c r="BK9">
        <v>1.1766968108291</v>
      </c>
      <c r="BL9">
        <v>1.4219976997082301E-3</v>
      </c>
      <c r="BM9">
        <v>1.3634704053441401E-3</v>
      </c>
      <c r="BN9">
        <v>0.94111111111111101</v>
      </c>
      <c r="BO9">
        <v>0.94676298966973105</v>
      </c>
      <c r="BP9">
        <v>1.45041187604268E-2</v>
      </c>
      <c r="BQ9">
        <v>7.43</v>
      </c>
      <c r="BR9">
        <v>0.77487726938444601</v>
      </c>
      <c r="BS9">
        <v>7.29</v>
      </c>
      <c r="BT9">
        <v>0.66385415652620805</v>
      </c>
      <c r="BU9">
        <v>4.1008992658183203E-2</v>
      </c>
      <c r="BV9">
        <v>3.0849625642885001E-2</v>
      </c>
    </row>
    <row r="10" spans="1:74" x14ac:dyDescent="0.25">
      <c r="A10" t="s">
        <v>26</v>
      </c>
      <c r="B10" t="s">
        <v>20</v>
      </c>
      <c r="C10">
        <v>0.93638046273418296</v>
      </c>
      <c r="D10">
        <v>1.685564104175E-2</v>
      </c>
      <c r="E10">
        <v>0.94917509012245405</v>
      </c>
      <c r="F10">
        <v>1.24657944138299E-2</v>
      </c>
      <c r="G10">
        <v>2.37150614613578</v>
      </c>
      <c r="H10">
        <v>54.032380952380898</v>
      </c>
      <c r="I10">
        <v>6.8901077928980401</v>
      </c>
      <c r="J10">
        <v>77.301904761904694</v>
      </c>
      <c r="K10">
        <v>11.006816393475701</v>
      </c>
      <c r="L10">
        <v>0.90926061941486103</v>
      </c>
      <c r="M10">
        <v>0.92019294347525304</v>
      </c>
      <c r="N10">
        <v>8.0634551548957791</v>
      </c>
      <c r="O10">
        <v>291.74</v>
      </c>
      <c r="P10">
        <v>36.643529134415303</v>
      </c>
      <c r="Q10">
        <v>157.71666666666599</v>
      </c>
      <c r="R10">
        <v>18.5964822676582</v>
      </c>
      <c r="S10">
        <v>6.3038660755525503E-3</v>
      </c>
      <c r="T10">
        <v>4.8239055540107399E-3</v>
      </c>
      <c r="U10">
        <v>0.79357843137254902</v>
      </c>
      <c r="V10">
        <v>0.85606364066545504</v>
      </c>
      <c r="W10">
        <v>4.7063319683074901E-2</v>
      </c>
      <c r="X10">
        <v>47.25</v>
      </c>
      <c r="Y10">
        <v>7.1543541014333103</v>
      </c>
      <c r="Z10">
        <v>39.086666666666602</v>
      </c>
      <c r="AA10">
        <v>5.0488406121914</v>
      </c>
      <c r="AB10">
        <v>4.8383778844551299E-2</v>
      </c>
      <c r="AC10">
        <v>3.3005825271094198E-2</v>
      </c>
      <c r="AD10">
        <v>0.95904578189300405</v>
      </c>
      <c r="AE10">
        <v>0.96378303387217901</v>
      </c>
      <c r="AF10">
        <v>1.3226250735918601</v>
      </c>
      <c r="AG10">
        <v>26.67</v>
      </c>
      <c r="AH10">
        <v>2.8509987688410301</v>
      </c>
      <c r="AI10">
        <v>68.096666666666593</v>
      </c>
      <c r="AJ10">
        <v>8.8722250203426505</v>
      </c>
      <c r="AK10">
        <v>1.20189174377026E-2</v>
      </c>
      <c r="AL10">
        <v>9.5826064219138099E-3</v>
      </c>
      <c r="AM10">
        <v>0.96533637747336298</v>
      </c>
      <c r="AN10">
        <v>0.96908141698502803</v>
      </c>
      <c r="AO10">
        <v>1.58088357925415</v>
      </c>
      <c r="AP10">
        <v>111.22</v>
      </c>
      <c r="AQ10">
        <v>24.420609203010301</v>
      </c>
      <c r="AR10">
        <v>61.63</v>
      </c>
      <c r="AS10">
        <v>11.7111172634607</v>
      </c>
      <c r="AT10">
        <v>5.1309799743444297E-3</v>
      </c>
      <c r="AU10">
        <v>4.4956026121381002E-3</v>
      </c>
      <c r="AV10">
        <v>0.99206349206349198</v>
      </c>
      <c r="AW10">
        <v>0.99243857721599205</v>
      </c>
      <c r="AX10">
        <v>3.2029673409461901</v>
      </c>
      <c r="AY10">
        <v>40.616666666666603</v>
      </c>
      <c r="AZ10">
        <v>3.6488494849887299</v>
      </c>
      <c r="BA10">
        <v>30.066666666666599</v>
      </c>
      <c r="BB10">
        <v>2.14106736319403</v>
      </c>
      <c r="BC10">
        <v>3.2234158445370201E-3</v>
      </c>
      <c r="BD10">
        <v>2.9830092301625999E-3</v>
      </c>
      <c r="BE10">
        <v>0.99898964803312595</v>
      </c>
      <c r="BF10">
        <v>0.99875302372292596</v>
      </c>
      <c r="BG10">
        <v>2.3715759412447599</v>
      </c>
      <c r="BH10">
        <v>16.239999999999998</v>
      </c>
      <c r="BI10">
        <v>1.5568598874112201</v>
      </c>
      <c r="BJ10">
        <v>14.396666666666601</v>
      </c>
      <c r="BK10">
        <v>1.1678477856254099</v>
      </c>
      <c r="BL10">
        <v>1.29222158284585E-3</v>
      </c>
      <c r="BM10">
        <v>1.27181246113969E-3</v>
      </c>
      <c r="BN10">
        <v>0.93638888888888805</v>
      </c>
      <c r="BO10">
        <v>0.94391299492034197</v>
      </c>
      <c r="BP10">
        <v>1.1972613334655701E-2</v>
      </c>
      <c r="BQ10">
        <v>7.3766666666666598</v>
      </c>
      <c r="BR10">
        <v>0.77251417423037905</v>
      </c>
      <c r="BS10">
        <v>7.2333333333333298</v>
      </c>
      <c r="BT10">
        <v>0.69317423781383003</v>
      </c>
      <c r="BU10">
        <v>4.1636307532716098E-2</v>
      </c>
      <c r="BV10">
        <v>3.10977993463506E-2</v>
      </c>
    </row>
    <row r="11" spans="1:74" x14ac:dyDescent="0.25">
      <c r="A11" t="s">
        <v>27</v>
      </c>
      <c r="B11" t="s">
        <v>20</v>
      </c>
      <c r="C11">
        <v>0.936664393305222</v>
      </c>
      <c r="D11">
        <v>1.6251592571721301E-2</v>
      </c>
      <c r="E11">
        <v>0.94933989981299705</v>
      </c>
      <c r="F11">
        <v>1.23994179847531E-2</v>
      </c>
      <c r="G11">
        <v>2.5472391365823199</v>
      </c>
      <c r="H11">
        <v>54.187142857142803</v>
      </c>
      <c r="I11">
        <v>6.9592614917222999</v>
      </c>
      <c r="J11">
        <v>77.571904761904705</v>
      </c>
      <c r="K11">
        <v>11.134014560505801</v>
      </c>
      <c r="L11">
        <v>0.91055698371893701</v>
      </c>
      <c r="M11">
        <v>0.92124049121491702</v>
      </c>
      <c r="N11">
        <v>9.3301692446072799</v>
      </c>
      <c r="O11">
        <v>296.10333333333301</v>
      </c>
      <c r="P11">
        <v>37.659262549090897</v>
      </c>
      <c r="Q11">
        <v>159.75333333333299</v>
      </c>
      <c r="R11">
        <v>19.452175009431301</v>
      </c>
      <c r="S11">
        <v>5.3782515231827399E-3</v>
      </c>
      <c r="T11">
        <v>4.6355665158070896E-3</v>
      </c>
      <c r="U11">
        <v>0.79191176470588198</v>
      </c>
      <c r="V11">
        <v>0.85580158107954896</v>
      </c>
      <c r="W11">
        <v>4.2599591414133699E-2</v>
      </c>
      <c r="X11">
        <v>47.103333333333303</v>
      </c>
      <c r="Y11">
        <v>7.1855011640677002</v>
      </c>
      <c r="Z11">
        <v>38.86</v>
      </c>
      <c r="AA11">
        <v>4.8571982234555504</v>
      </c>
      <c r="AB11">
        <v>4.5547442291017398E-2</v>
      </c>
      <c r="AC11">
        <v>3.2476596934692598E-2</v>
      </c>
      <c r="AD11">
        <v>0.96047839506172805</v>
      </c>
      <c r="AE11">
        <v>0.964945806174209</v>
      </c>
      <c r="AF11">
        <v>1.32762093067169</v>
      </c>
      <c r="AG11">
        <v>26.74</v>
      </c>
      <c r="AH11">
        <v>2.8948807312496498</v>
      </c>
      <c r="AI11">
        <v>68.536666666666605</v>
      </c>
      <c r="AJ11">
        <v>8.5634747164699991</v>
      </c>
      <c r="AK11">
        <v>1.14682129733822E-2</v>
      </c>
      <c r="AL11">
        <v>9.2443037276178103E-3</v>
      </c>
      <c r="AM11">
        <v>0.965853881278538</v>
      </c>
      <c r="AN11">
        <v>0.96962734570202203</v>
      </c>
      <c r="AO11">
        <v>1.51328622023264</v>
      </c>
      <c r="AP11">
        <v>108.39666666666599</v>
      </c>
      <c r="AQ11">
        <v>23.978515792703998</v>
      </c>
      <c r="AR11">
        <v>60.386666666666599</v>
      </c>
      <c r="AS11">
        <v>11.637953518375699</v>
      </c>
      <c r="AT11">
        <v>5.2003488793083497E-3</v>
      </c>
      <c r="AU11">
        <v>4.5219999738032096E-3</v>
      </c>
      <c r="AV11">
        <v>0.992264957264957</v>
      </c>
      <c r="AW11">
        <v>0.99262678770915203</v>
      </c>
      <c r="AX11">
        <v>3.21121074517567</v>
      </c>
      <c r="AY11">
        <v>40.869999999999997</v>
      </c>
      <c r="AZ11">
        <v>3.9680707257155698</v>
      </c>
      <c r="BA11">
        <v>30.126666666666601</v>
      </c>
      <c r="BB11">
        <v>2.19393102292057</v>
      </c>
      <c r="BC11">
        <v>3.1536980848999802E-3</v>
      </c>
      <c r="BD11">
        <v>2.7994050485014598E-3</v>
      </c>
      <c r="BE11">
        <v>0.99873291925465801</v>
      </c>
      <c r="BF11">
        <v>0.99852928481307501</v>
      </c>
      <c r="BG11">
        <v>2.3913101681073501</v>
      </c>
      <c r="BH11">
        <v>16.376666666666601</v>
      </c>
      <c r="BI11">
        <v>1.4658163644433</v>
      </c>
      <c r="BJ11">
        <v>14.39</v>
      </c>
      <c r="BK11">
        <v>1.3179618398767201</v>
      </c>
      <c r="BL11">
        <v>1.5067306876699201E-3</v>
      </c>
      <c r="BM11">
        <v>1.4757901009185999E-3</v>
      </c>
      <c r="BN11">
        <v>0.93685185185185105</v>
      </c>
      <c r="BO11">
        <v>0.94260800199805495</v>
      </c>
      <c r="BP11">
        <v>1.4477055867513E-2</v>
      </c>
      <c r="BQ11">
        <v>7.4133333333333304</v>
      </c>
      <c r="BR11">
        <v>0.78605459626962904</v>
      </c>
      <c r="BS11">
        <v>7.2566666666666597</v>
      </c>
      <c r="BT11">
        <v>0.69213611152610999</v>
      </c>
      <c r="BU11">
        <v>4.1506463562588698E-2</v>
      </c>
      <c r="BV11">
        <v>3.1642263591931202E-2</v>
      </c>
    </row>
    <row r="12" spans="1:74" x14ac:dyDescent="0.25">
      <c r="A12" t="s">
        <v>28</v>
      </c>
      <c r="B12" t="s">
        <v>20</v>
      </c>
      <c r="C12">
        <v>0.93612699411158495</v>
      </c>
      <c r="D12">
        <v>1.68106615101302E-2</v>
      </c>
      <c r="E12">
        <v>0.949155439894243</v>
      </c>
      <c r="F12">
        <v>1.24557879161614E-2</v>
      </c>
      <c r="G12">
        <v>2.5526596449670298</v>
      </c>
      <c r="H12">
        <v>54.2980952380952</v>
      </c>
      <c r="I12">
        <v>7.0382185227408698</v>
      </c>
      <c r="J12">
        <v>77.533333333333303</v>
      </c>
      <c r="K12">
        <v>11.5567987393087</v>
      </c>
      <c r="L12">
        <v>0.91001224140041603</v>
      </c>
      <c r="M12">
        <v>0.92092822561238696</v>
      </c>
      <c r="N12">
        <v>9.2770025610923703</v>
      </c>
      <c r="O12">
        <v>294.12333333333299</v>
      </c>
      <c r="P12">
        <v>39.797246869814302</v>
      </c>
      <c r="Q12">
        <v>158.72999999999999</v>
      </c>
      <c r="R12">
        <v>20.192644940646002</v>
      </c>
      <c r="S12">
        <v>6.1597455704451697E-3</v>
      </c>
      <c r="T12">
        <v>4.9384361958702098E-3</v>
      </c>
      <c r="U12">
        <v>0.78872549019607796</v>
      </c>
      <c r="V12">
        <v>0.85273213342117105</v>
      </c>
      <c r="W12">
        <v>4.4646108150482103E-2</v>
      </c>
      <c r="X12">
        <v>47.2</v>
      </c>
      <c r="Y12">
        <v>6.9368870062725199</v>
      </c>
      <c r="Z12">
        <v>38.909999999999997</v>
      </c>
      <c r="AA12">
        <v>4.7627912616454902</v>
      </c>
      <c r="AB12">
        <v>4.7425553947914097E-2</v>
      </c>
      <c r="AC12">
        <v>3.2415504294208503E-2</v>
      </c>
      <c r="AD12">
        <v>0.96128858024691299</v>
      </c>
      <c r="AE12">
        <v>0.96552441496860597</v>
      </c>
      <c r="AF12">
        <v>1.34501034736633</v>
      </c>
      <c r="AG12">
        <v>26.44</v>
      </c>
      <c r="AH12">
        <v>2.9758897379508902</v>
      </c>
      <c r="AI12">
        <v>69.033333333333303</v>
      </c>
      <c r="AJ12">
        <v>8.0532647084128595</v>
      </c>
      <c r="AK12">
        <v>1.15875138740563E-2</v>
      </c>
      <c r="AL12">
        <v>9.3452976106322902E-3</v>
      </c>
      <c r="AM12">
        <v>0.96544901065448996</v>
      </c>
      <c r="AN12">
        <v>0.96920312341213999</v>
      </c>
      <c r="AO12">
        <v>1.5854591576258299</v>
      </c>
      <c r="AP12">
        <v>110.67333333333301</v>
      </c>
      <c r="AQ12">
        <v>25.3287407090953</v>
      </c>
      <c r="AR12">
        <v>61.703333333333298</v>
      </c>
      <c r="AS12">
        <v>12.390064617519499</v>
      </c>
      <c r="AT12">
        <v>5.4528317662902101E-3</v>
      </c>
      <c r="AU12">
        <v>4.7638460172122398E-3</v>
      </c>
      <c r="AV12">
        <v>0.99227411477411398</v>
      </c>
      <c r="AW12">
        <v>0.99260666003297604</v>
      </c>
      <c r="AX12">
        <v>3.1868046180407199</v>
      </c>
      <c r="AY12">
        <v>40.356666666666598</v>
      </c>
      <c r="AZ12">
        <v>3.6045477901479401</v>
      </c>
      <c r="BA12">
        <v>29.843333333333302</v>
      </c>
      <c r="BB12">
        <v>2.1496182025990902</v>
      </c>
      <c r="BC12">
        <v>2.9304204771384199E-3</v>
      </c>
      <c r="BD12">
        <v>2.6599345851862498E-3</v>
      </c>
      <c r="BE12">
        <v>0.99893581780538299</v>
      </c>
      <c r="BF12">
        <v>0.99875849476526102</v>
      </c>
      <c r="BG12">
        <v>2.4174903798103302</v>
      </c>
      <c r="BH12">
        <v>16.5966666666666</v>
      </c>
      <c r="BI12">
        <v>1.47917163234991</v>
      </c>
      <c r="BJ12">
        <v>14.61</v>
      </c>
      <c r="BK12">
        <v>1.0270098168370101</v>
      </c>
      <c r="BL12">
        <v>1.4166159626727399E-3</v>
      </c>
      <c r="BM12">
        <v>1.3328215757495399E-3</v>
      </c>
      <c r="BN12">
        <v>0.93620370370370298</v>
      </c>
      <c r="BO12">
        <v>0.94433502704715699</v>
      </c>
      <c r="BP12">
        <v>1.2204342683156301E-2</v>
      </c>
      <c r="BQ12">
        <v>7.3433333333333302</v>
      </c>
      <c r="BR12">
        <v>0.77510742953042699</v>
      </c>
      <c r="BS12">
        <v>7.2566666666666597</v>
      </c>
      <c r="BT12">
        <v>0.69213611152610999</v>
      </c>
      <c r="BU12">
        <v>4.2701948972394502E-2</v>
      </c>
      <c r="BV12">
        <v>3.17346751342708E-2</v>
      </c>
    </row>
    <row r="13" spans="1:74" x14ac:dyDescent="0.25">
      <c r="A13" t="s">
        <v>29</v>
      </c>
      <c r="B13" t="s">
        <v>20</v>
      </c>
      <c r="C13">
        <v>0.93621060126470401</v>
      </c>
      <c r="D13">
        <v>1.6895481547255401E-2</v>
      </c>
      <c r="E13">
        <v>0.94925785110474403</v>
      </c>
      <c r="F13">
        <v>1.26341806750219E-2</v>
      </c>
      <c r="G13">
        <v>2.53780360903058</v>
      </c>
      <c r="H13">
        <v>54.346190476190401</v>
      </c>
      <c r="I13">
        <v>7.2037439641764998</v>
      </c>
      <c r="J13">
        <v>77.947142857142794</v>
      </c>
      <c r="K13">
        <v>11.7381351446632</v>
      </c>
      <c r="L13">
        <v>0.91029501775002997</v>
      </c>
      <c r="M13">
        <v>0.92113130368721396</v>
      </c>
      <c r="N13">
        <v>9.2887439250946002</v>
      </c>
      <c r="O13">
        <v>298.16333333333301</v>
      </c>
      <c r="P13">
        <v>40.383239207852199</v>
      </c>
      <c r="Q13">
        <v>160.803333333333</v>
      </c>
      <c r="R13">
        <v>20.132287971118899</v>
      </c>
      <c r="S13">
        <v>5.5488377649555104E-3</v>
      </c>
      <c r="T13">
        <v>4.9066361320533698E-3</v>
      </c>
      <c r="U13">
        <v>0.79142156862744995</v>
      </c>
      <c r="V13">
        <v>0.85515144333087201</v>
      </c>
      <c r="W13">
        <v>3.97522226969401E-2</v>
      </c>
      <c r="X13">
        <v>46.853333333333303</v>
      </c>
      <c r="Y13">
        <v>7.5032984199941799</v>
      </c>
      <c r="Z13">
        <v>38.706666666666599</v>
      </c>
      <c r="AA13">
        <v>5.2016805448358596</v>
      </c>
      <c r="AB13">
        <v>4.5250047118895499E-2</v>
      </c>
      <c r="AC13">
        <v>3.2725336026099998E-2</v>
      </c>
      <c r="AD13">
        <v>0.95921682098765404</v>
      </c>
      <c r="AE13">
        <v>0.963821174681322</v>
      </c>
      <c r="AF13">
        <v>1.33667102495829</v>
      </c>
      <c r="AG13">
        <v>26.723333333333301</v>
      </c>
      <c r="AH13">
        <v>3.0316263098372098</v>
      </c>
      <c r="AI13">
        <v>68.0266666666666</v>
      </c>
      <c r="AJ13">
        <v>8.5836015912015107</v>
      </c>
      <c r="AK13">
        <v>1.1850170978838399E-2</v>
      </c>
      <c r="AL13">
        <v>9.5752293025545294E-3</v>
      </c>
      <c r="AM13">
        <v>0.96524809741248097</v>
      </c>
      <c r="AN13">
        <v>0.96916228612010202</v>
      </c>
      <c r="AO13">
        <v>1.5207926988601601</v>
      </c>
      <c r="AP13">
        <v>109.8</v>
      </c>
      <c r="AQ13">
        <v>25.3921748144191</v>
      </c>
      <c r="AR13">
        <v>61.353333333333303</v>
      </c>
      <c r="AS13">
        <v>12.291137556399001</v>
      </c>
      <c r="AT13">
        <v>5.7470789977034304E-3</v>
      </c>
      <c r="AU13">
        <v>4.9572830133537103E-3</v>
      </c>
      <c r="AV13">
        <v>0.99232295482295396</v>
      </c>
      <c r="AW13">
        <v>0.99262317871787797</v>
      </c>
      <c r="AX13">
        <v>3.2156956052780101</v>
      </c>
      <c r="AY13">
        <v>40.409999999999997</v>
      </c>
      <c r="AZ13">
        <v>3.5388763025782302</v>
      </c>
      <c r="BA13">
        <v>29.94</v>
      </c>
      <c r="BB13">
        <v>2.1937277569406599</v>
      </c>
      <c r="BC13">
        <v>3.1638069167165498E-3</v>
      </c>
      <c r="BD13">
        <v>2.9797418219012798E-3</v>
      </c>
      <c r="BE13">
        <v>0.998766045548654</v>
      </c>
      <c r="BF13">
        <v>0.99859245079757797</v>
      </c>
      <c r="BG13">
        <v>2.3485957455634998</v>
      </c>
      <c r="BH13">
        <v>16.36</v>
      </c>
      <c r="BI13">
        <v>1.51372759684766</v>
      </c>
      <c r="BJ13">
        <v>14.39</v>
      </c>
      <c r="BK13">
        <v>1.3000771780537901</v>
      </c>
      <c r="BL13">
        <v>1.5967103444778201E-3</v>
      </c>
      <c r="BM13">
        <v>1.4971521600221701E-3</v>
      </c>
      <c r="BN13">
        <v>0.93620370370370298</v>
      </c>
      <c r="BO13">
        <v>0.94432312039823996</v>
      </c>
      <c r="BP13">
        <v>1.43740407625834E-2</v>
      </c>
      <c r="BQ13">
        <v>7.32</v>
      </c>
      <c r="BR13">
        <v>0.804003361113791</v>
      </c>
      <c r="BS13">
        <v>7.2033333333333296</v>
      </c>
      <c r="BT13">
        <v>0.72369515068568402</v>
      </c>
      <c r="BU13">
        <v>4.5111718709200999E-2</v>
      </c>
      <c r="BV13">
        <v>3.1797886269168303E-2</v>
      </c>
    </row>
    <row r="14" spans="1:74" x14ac:dyDescent="0.25">
      <c r="A14" t="s">
        <v>30</v>
      </c>
      <c r="B14" t="s">
        <v>20</v>
      </c>
      <c r="C14">
        <v>0.93625338963583504</v>
      </c>
      <c r="D14">
        <v>1.6743666061713E-2</v>
      </c>
      <c r="E14">
        <v>0.94940969238033002</v>
      </c>
      <c r="F14">
        <v>1.21976634625804E-2</v>
      </c>
      <c r="G14">
        <v>2.5413760982240898</v>
      </c>
      <c r="H14">
        <v>54.347619047618998</v>
      </c>
      <c r="I14">
        <v>7.0905640963886301</v>
      </c>
      <c r="J14">
        <v>77.649047619047593</v>
      </c>
      <c r="K14">
        <v>11.137489552764199</v>
      </c>
      <c r="L14">
        <v>0.91007344840249704</v>
      </c>
      <c r="M14">
        <v>0.92107694163185905</v>
      </c>
      <c r="N14">
        <v>9.2383231560389198</v>
      </c>
      <c r="O14">
        <v>295.52333333333303</v>
      </c>
      <c r="P14">
        <v>37.318696017730403</v>
      </c>
      <c r="Q14">
        <v>159.89666666666599</v>
      </c>
      <c r="R14">
        <v>19.385009264105399</v>
      </c>
      <c r="S14">
        <v>6.0228772232137602E-3</v>
      </c>
      <c r="T14">
        <v>4.9579164993682904E-3</v>
      </c>
      <c r="U14">
        <v>0.79112745098039206</v>
      </c>
      <c r="V14">
        <v>0.85536249547316101</v>
      </c>
      <c r="W14">
        <v>4.0002593199411997E-2</v>
      </c>
      <c r="X14">
        <v>46.843333333333298</v>
      </c>
      <c r="Y14">
        <v>7.2623177949424598</v>
      </c>
      <c r="Z14">
        <v>38.643333333333302</v>
      </c>
      <c r="AA14">
        <v>5.0279608381053</v>
      </c>
      <c r="AB14">
        <v>4.7049882544617699E-2</v>
      </c>
      <c r="AC14">
        <v>3.1155509983153001E-2</v>
      </c>
      <c r="AD14">
        <v>0.96102109053497897</v>
      </c>
      <c r="AE14">
        <v>0.96538066249769405</v>
      </c>
      <c r="AF14">
        <v>1.3528420050938901</v>
      </c>
      <c r="AG14">
        <v>27.11</v>
      </c>
      <c r="AH14">
        <v>3.20188594090971</v>
      </c>
      <c r="AI14">
        <v>69.03</v>
      </c>
      <c r="AJ14">
        <v>9.7690265430421501</v>
      </c>
      <c r="AK14">
        <v>1.26427404082201E-2</v>
      </c>
      <c r="AL14">
        <v>1.01606906905608E-2</v>
      </c>
      <c r="AM14">
        <v>0.96563774733637697</v>
      </c>
      <c r="AN14">
        <v>0.96947496365928398</v>
      </c>
      <c r="AO14">
        <v>1.55826173782348</v>
      </c>
      <c r="AP14">
        <v>109.906666666666</v>
      </c>
      <c r="AQ14">
        <v>24.087034680255801</v>
      </c>
      <c r="AR14">
        <v>61.356666666666598</v>
      </c>
      <c r="AS14">
        <v>11.391312283520699</v>
      </c>
      <c r="AT14">
        <v>5.4835704468852E-3</v>
      </c>
      <c r="AU14">
        <v>4.7412006888920399E-3</v>
      </c>
      <c r="AV14">
        <v>0.992518315018315</v>
      </c>
      <c r="AW14">
        <v>0.992733046180029</v>
      </c>
      <c r="AX14">
        <v>3.20505310455958</v>
      </c>
      <c r="AY14">
        <v>40.5</v>
      </c>
      <c r="AZ14">
        <v>3.7429979220961398</v>
      </c>
      <c r="BA14">
        <v>29.896666666666601</v>
      </c>
      <c r="BB14">
        <v>2.1294217553746999</v>
      </c>
      <c r="BC14">
        <v>2.9095453289392898E-3</v>
      </c>
      <c r="BD14">
        <v>2.6827254726500402E-3</v>
      </c>
      <c r="BE14">
        <v>0.998766045548654</v>
      </c>
      <c r="BF14">
        <v>0.99855549525591403</v>
      </c>
      <c r="BG14">
        <v>2.3808680049578301</v>
      </c>
      <c r="BH14">
        <v>16.286666666666601</v>
      </c>
      <c r="BI14">
        <v>1.5271748751271399</v>
      </c>
      <c r="BJ14">
        <v>14.3633333333333</v>
      </c>
      <c r="BK14">
        <v>1.2094896055397</v>
      </c>
      <c r="BL14">
        <v>1.5607501688856499E-3</v>
      </c>
      <c r="BM14">
        <v>1.5135464076028E-3</v>
      </c>
      <c r="BN14">
        <v>0.93462962962962903</v>
      </c>
      <c r="BO14">
        <v>0.94328424196437</v>
      </c>
      <c r="BP14">
        <v>1.42820858955383E-2</v>
      </c>
      <c r="BQ14">
        <v>7.3733333333333304</v>
      </c>
      <c r="BR14">
        <v>0.82231963828789501</v>
      </c>
      <c r="BS14">
        <v>7.2466666666666599</v>
      </c>
      <c r="BT14">
        <v>0.72172838503236503</v>
      </c>
      <c r="BU14">
        <v>4.1536296311229397E-2</v>
      </c>
      <c r="BV14">
        <v>3.0172054495836001E-2</v>
      </c>
    </row>
    <row r="16" spans="1:74" x14ac:dyDescent="0.25">
      <c r="L16">
        <f>(MAX(L4:L14)-MIN(L4:L14))*100</f>
        <v>0.13073815644509823</v>
      </c>
      <c r="M16">
        <f>(MAX(M4:M14)-MIN(M4:M14))*100</f>
        <v>0.13131088915239175</v>
      </c>
      <c r="N16">
        <f>(MAX(N4:N14)-MIN(N4:N14))</f>
        <v>1.3281286064783711</v>
      </c>
      <c r="O16" s="1">
        <f>(MAX(O4:O14)-MIN(O4:O14))</f>
        <v>8.1700000000000159</v>
      </c>
      <c r="Q16" s="1">
        <f>(MAX(Q4:Q14)-MIN(Q4:Q14))</f>
        <v>4.1266666666670062</v>
      </c>
      <c r="S16">
        <f>AVERAGE(S4:S14)*SQRT(2)</f>
        <v>8.373266422088672E-3</v>
      </c>
      <c r="T16">
        <f>L16/S16/100*SQRT(300)</f>
        <v>2.7043822331203571</v>
      </c>
      <c r="U16" s="1">
        <f>(MAX(U4:U14)-MIN(U4:U14))*100</f>
        <v>0.80882352941169522</v>
      </c>
      <c r="V16">
        <f>(MAX(V4:V14)-MIN(V4:V14))*100</f>
        <v>0.67367715137499617</v>
      </c>
      <c r="W16">
        <f>(MAX(W4:W14)-MIN(W4:W14))</f>
        <v>1.1173939704894997E-2</v>
      </c>
      <c r="X16">
        <f>(MAX(X4:X14)-MIN(X4:X14))</f>
        <v>1.5133333333332999</v>
      </c>
      <c r="Z16" s="1">
        <f>(MAX(Z4:Z14)-MIN(Z4:Z14))</f>
        <v>1.3933333333333024</v>
      </c>
      <c r="AB16">
        <f>AVERAGE(AB4:AB14)*SQRT(2)</f>
        <v>6.5017666313054653E-2</v>
      </c>
      <c r="AC16">
        <f>U16/AB16/100*SQRT(300)</f>
        <v>2.1546812224125462</v>
      </c>
      <c r="AD16">
        <f>(MAX(AD4:AD14)-MIN(AD4:AD14))*100</f>
        <v>0.2242798353908948</v>
      </c>
      <c r="AE16">
        <f>(MAX(AE4:AE14)-MIN(AE4:AE14))*100</f>
        <v>0.17413810964269638</v>
      </c>
      <c r="AF16">
        <f>(MAX(AF4:AF14)-MIN(AF4:AF14))</f>
        <v>4.5293350219730133E-2</v>
      </c>
      <c r="AG16">
        <f>(MAX(AG4:AG14)-MIN(AG4:AG14))</f>
        <v>0.66999999999999815</v>
      </c>
      <c r="AI16">
        <f>(MAX(AI4:AI14)-MIN(AI4:AI14))</f>
        <v>1.730000000000004</v>
      </c>
      <c r="AK16">
        <f>AVERAGE(AK4:AK14)*SQRT(2)</f>
        <v>1.6852058203806537E-2</v>
      </c>
      <c r="AL16">
        <f>AD16/AK16/100*SQRT(300)</f>
        <v>2.3051431778372811</v>
      </c>
      <c r="AM16">
        <f>(MAX(AM4:AM14)-MIN(AM4:AM14))*100</f>
        <v>6.4535768645301861E-2</v>
      </c>
      <c r="AN16">
        <f>(MAX(AN4:AN14)-MIN(AN4:AN14))*100</f>
        <v>5.4751377732298323E-2</v>
      </c>
      <c r="AO16">
        <f>(MAX(AO4:AO14)-MIN(AO4:AO14))</f>
        <v>9.5142316818239925E-2</v>
      </c>
      <c r="AP16">
        <f>(MAX(AP4:AP14)-MIN(AP4:AP14))</f>
        <v>3.3233333333340056</v>
      </c>
      <c r="AR16" s="1">
        <f>(MAX(AR4:AR14)-MIN(AR4:AR14))</f>
        <v>1.519999999999996</v>
      </c>
      <c r="AT16">
        <f>AVERAGE(AT4:AT14)*SQRT(2)</f>
        <v>7.6136756203689267E-3</v>
      </c>
      <c r="AU16">
        <f>AM16/AT16/100*SQRT(300)</f>
        <v>1.4681375431878063</v>
      </c>
      <c r="AV16">
        <f>(MAX(AV4:AV14)-MIN(AV4:AV14))*100</f>
        <v>4.5482295482301982E-2</v>
      </c>
      <c r="AW16">
        <f>(MAX(AW4:AW14)-MIN(AW4:AW14))*100</f>
        <v>3.586138412350337E-2</v>
      </c>
      <c r="AX16">
        <f>(MAX(AX4:AX14)-MIN(AX4:AX14))</f>
        <v>7.0494685173029925E-2</v>
      </c>
      <c r="AY16">
        <f>(MAX(AY4:AY14)-MIN(AY4:AY14))</f>
        <v>0.64000000000000057</v>
      </c>
      <c r="BA16">
        <f>(MAX(BA4:BA14)-MIN(BA4:BA14))</f>
        <v>0.28333333333329946</v>
      </c>
      <c r="BC16">
        <f>AVERAGE(BC4:BC14)*SQRT(2)</f>
        <v>4.3608625222394618E-3</v>
      </c>
      <c r="BD16">
        <f>AV16/BC16/100*SQRT(300)</f>
        <v>1.8064693903662037</v>
      </c>
      <c r="BE16">
        <f>(MAX(BE4:BE14)-MIN(BE4:BE14))*100</f>
        <v>2.5672877846794062E-2</v>
      </c>
      <c r="BF16">
        <f>(MAX(BF4:BF14)-MIN(BF4:BF14))*100</f>
        <v>2.2920995218600471E-2</v>
      </c>
      <c r="BG16">
        <f>(MAX(BG4:BG14)-MIN(BG4:BG14))</f>
        <v>6.88946342468304E-2</v>
      </c>
      <c r="BH16">
        <f>(MAX(BH4:BH14)-MIN(BH4:BH14))</f>
        <v>0.35666666666660163</v>
      </c>
      <c r="BJ16">
        <f>(MAX(BJ4:BJ14)-MIN(BJ4:BJ14))</f>
        <v>0.30333333333340029</v>
      </c>
      <c r="BL16">
        <f>AVERAGE(BL4:BL14)*SQRT(2)</f>
        <v>2.0753466154747337E-3</v>
      </c>
      <c r="BM16">
        <f>BE16/BL16/100*SQRT(300)</f>
        <v>2.1426169718153356</v>
      </c>
      <c r="BN16" s="1">
        <f>(MAX(BN4:BN14)-MIN(BN4:BN14))*100</f>
        <v>0.75925925925930393</v>
      </c>
      <c r="BO16">
        <f>(MAX(BO4:BO14)-MIN(BO4:BO14))*100</f>
        <v>0.53213568559170588</v>
      </c>
      <c r="BP16">
        <f>(MAX(BP4:BP14)-MIN(BP4:BP14))</f>
        <v>2.5315054257710988E-3</v>
      </c>
      <c r="BQ16">
        <f>(MAX(BQ4:BQ14)-MIN(BQ4:BQ14))</f>
        <v>0.12999999999999989</v>
      </c>
      <c r="BS16">
        <f>(MAX(BS4:BS14)-MIN(BS4:BS14))</f>
        <v>0.10666666666667002</v>
      </c>
      <c r="BU16">
        <f>AVERAGE(BU4:BU14)*SQRT(2)</f>
        <v>5.9918146990228342E-2</v>
      </c>
      <c r="BV16">
        <f>BN16/BU16/100*SQRT(300)</f>
        <v>2.194786853753492</v>
      </c>
    </row>
    <row r="18" spans="5:5" x14ac:dyDescent="0.25">
      <c r="E18" t="s">
        <v>31</v>
      </c>
    </row>
    <row r="19" spans="5:5" x14ac:dyDescent="0.25">
      <c r="E19" t="s">
        <v>32</v>
      </c>
    </row>
    <row r="20" spans="5:5" x14ac:dyDescent="0.25">
      <c r="E20" t="s">
        <v>33</v>
      </c>
    </row>
    <row r="21" spans="5:5" x14ac:dyDescent="0.25">
      <c r="E21" t="s">
        <v>34</v>
      </c>
    </row>
  </sheetData>
  <conditionalFormatting sqref="C4:C14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:E14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:G14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:H14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:J14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:Q14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:O14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:Z1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:X14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R4:AR1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:U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N4:BN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fold_rm_metric_summary_300trial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LachlanMcGinness</dc:creator>
  <cp:lastModifiedBy>Lachlan McGinness</cp:lastModifiedBy>
  <dcterms:created xsi:type="dcterms:W3CDTF">2025-10-16T03:00:12Z</dcterms:created>
  <dcterms:modified xsi:type="dcterms:W3CDTF">2025-10-16T03:14:37Z</dcterms:modified>
</cp:coreProperties>
</file>